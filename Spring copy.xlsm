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/Users/yurishabanov/Desktop/Python project/"/>
    </mc:Choice>
  </mc:AlternateContent>
  <xr:revisionPtr revIDLastSave="0" documentId="13_ncr:1_{EDD8B1B4-93BA-0049-AF2D-090E145FA5E9}" xr6:coauthVersionLast="46" xr6:coauthVersionMax="46" xr10:uidLastSave="{00000000-0000-0000-0000-000000000000}"/>
  <bookViews>
    <workbookView xWindow="0" yWindow="0" windowWidth="28800" windowHeight="18000" xr2:uid="{00000000-000D-0000-FFFF-FFFF00000000}"/>
  </bookViews>
  <sheets>
    <sheet name="Весенний рейтинг" sheetId="1" r:id="rId1"/>
    <sheet name="Зимний рейтинг" sheetId="6" r:id="rId2"/>
    <sheet name="Макра" sheetId="4" r:id="rId3"/>
    <sheet name="Английский" sheetId="2" r:id="rId4"/>
    <sheet name="Матан" sheetId="3" r:id="rId5"/>
    <sheet name="Статистика" sheetId="5" r:id="rId6"/>
  </sheets>
  <externalReferences>
    <externalReference r:id="rId7"/>
    <externalReference r:id="rId8"/>
    <externalReference r:id="rId9"/>
    <externalReference r:id="rId10"/>
  </externalReferences>
  <definedNames>
    <definedName name="_xlnm._FilterDatabase" localSheetId="3" hidden="1">Английский!$A$2:$AH$319</definedName>
    <definedName name="_xlnm._FilterDatabase" localSheetId="0" hidden="1">'Весенний рейтинг'!$A$6:$O$301</definedName>
    <definedName name="_xlnm._FilterDatabase" localSheetId="1" hidden="1">'Зимний рейтинг'!$A$3:$AG$328</definedName>
    <definedName name="_xlnm._FilterDatabase" localSheetId="2" hidden="1">Макра!$A$4:$I$330</definedName>
    <definedName name="_xlnm._FilterDatabase" localSheetId="5" hidden="1">Статистика!$A$2:$T$335</definedName>
    <definedName name="балл">Матан!$E$4:$E$304</definedName>
    <definedName name="ВПРдек">'Зимний рейтинг'!$D$4:$AD$301</definedName>
    <definedName name="зачетки" localSheetId="1">#REF!</definedName>
    <definedName name="зачетки">#REF!</definedName>
    <definedName name="Имя">Матан!$C$4:$C$304</definedName>
    <definedName name="матанВесна">Матан!$B$3:$E$304</definedName>
    <definedName name="студак">Матан!$B$4:$B$304</definedName>
    <definedName name="dada2" localSheetId="1">#REF!</definedName>
    <definedName name="dada2">#REF!</definedName>
    <definedName name="Data">Макра!$A$4:$I$314</definedName>
    <definedName name="data1" localSheetId="1">#REF!</definedName>
    <definedName name="data1">#REF!</definedName>
    <definedName name="data3" localSheetId="1">#REF!</definedName>
    <definedName name="data3">#REF!</definedName>
    <definedName name="data4" localSheetId="1">#REF!</definedName>
    <definedName name="data4">#REF!</definedName>
    <definedName name="DATAA" localSheetId="1">'Зимний рейтинг'!$A$2:$AD$301</definedName>
    <definedName name="DATAA">'[1]расчет рейтинга'!$A$2:$AD$301</definedName>
    <definedName name="December">'Зимний рейтинг'!$A$4:$AD$301</definedName>
    <definedName name="December2">'[1]расчет рейтинга'!$D$4:$AE$301</definedName>
    <definedName name="Detalization">[2]Detail!$C$1:$T$36</definedName>
    <definedName name="EngMarch">Английский!$R$2:$S$319</definedName>
    <definedName name="Group" localSheetId="2">Макра!$D$3:$D$306</definedName>
    <definedName name="group">Матан!$D$4:$D$304</definedName>
    <definedName name="List_1" localSheetId="1">#REF!</definedName>
    <definedName name="List_1">#REF!</definedName>
    <definedName name="MacroSpring">Макра!$A$5:$I$330</definedName>
    <definedName name="MacroSpring1">Макра!$B$5:$I$330</definedName>
    <definedName name="name_1" localSheetId="1">#REF!</definedName>
    <definedName name="name_1">#REF!</definedName>
    <definedName name="Scale" localSheetId="1">'[3]Grade conversion scale'!$A$2:$B$11</definedName>
    <definedName name="Scale">'[4]Grade conversion scale'!$A$2:$B$11</definedName>
    <definedName name="StatSpring">Статистика!$C$3:$T$335</definedName>
    <definedName name="table1" localSheetId="1">#REF!</definedName>
    <definedName name="table1">#REF!</definedName>
    <definedName name="table2" localSheetId="1">#REF!</definedName>
    <definedName name="table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1" l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7" i="1"/>
  <c r="N8" i="1"/>
  <c r="N10" i="1"/>
  <c r="N9" i="1"/>
  <c r="N11" i="1"/>
  <c r="N14" i="1"/>
  <c r="N13" i="1"/>
  <c r="N20" i="1"/>
  <c r="N42" i="1"/>
  <c r="N23" i="1"/>
  <c r="N12" i="1"/>
  <c r="N16" i="1"/>
  <c r="N19" i="1"/>
  <c r="N27" i="1"/>
  <c r="N15" i="1"/>
  <c r="N25" i="1"/>
  <c r="N37" i="1"/>
  <c r="N21" i="1"/>
  <c r="N31" i="1"/>
  <c r="N38" i="1"/>
  <c r="N35" i="1"/>
  <c r="N30" i="1"/>
  <c r="N17" i="1"/>
  <c r="N32" i="1"/>
  <c r="N26" i="1"/>
  <c r="N24" i="1"/>
  <c r="N18" i="1"/>
  <c r="N49" i="1"/>
  <c r="N67" i="1"/>
  <c r="N57" i="1"/>
  <c r="N29" i="1"/>
  <c r="N33" i="1"/>
  <c r="N22" i="1"/>
  <c r="N28" i="1"/>
  <c r="N34" i="1"/>
  <c r="N55" i="1"/>
  <c r="N62" i="1"/>
  <c r="N39" i="1"/>
  <c r="N51" i="1"/>
  <c r="N64" i="1"/>
  <c r="N66" i="1"/>
  <c r="N40" i="1"/>
  <c r="N36" i="1"/>
  <c r="N44" i="1"/>
  <c r="N91" i="1"/>
  <c r="N43" i="1"/>
  <c r="N72" i="1"/>
  <c r="N53" i="1"/>
  <c r="N45" i="1"/>
  <c r="N46" i="1"/>
  <c r="N56" i="1"/>
  <c r="N48" i="1"/>
  <c r="N47" i="1"/>
  <c r="N71" i="1"/>
  <c r="N76" i="1"/>
  <c r="N77" i="1"/>
  <c r="N79" i="1"/>
  <c r="N50" i="1"/>
  <c r="N68" i="1"/>
  <c r="N41" i="1"/>
  <c r="N52" i="1"/>
  <c r="N59" i="1"/>
  <c r="N74" i="1"/>
  <c r="N65" i="1"/>
  <c r="N80" i="1"/>
  <c r="N61" i="1"/>
  <c r="N54" i="1"/>
  <c r="N63" i="1"/>
  <c r="N58" i="1"/>
  <c r="N82" i="1"/>
  <c r="N81" i="1"/>
  <c r="N70" i="1"/>
  <c r="N75" i="1"/>
  <c r="N109" i="1"/>
  <c r="N73" i="1"/>
  <c r="N153" i="1"/>
  <c r="N98" i="1"/>
  <c r="N85" i="1"/>
  <c r="N88" i="1"/>
  <c r="N78" i="1"/>
  <c r="N103" i="1"/>
  <c r="N69" i="1"/>
  <c r="N239" i="1"/>
  <c r="N104" i="1"/>
  <c r="N141" i="1"/>
  <c r="N126" i="1"/>
  <c r="N90" i="1"/>
  <c r="N105" i="1"/>
  <c r="N93" i="1"/>
  <c r="N96" i="1"/>
  <c r="N97" i="1"/>
  <c r="N60" i="1"/>
  <c r="N84" i="1"/>
  <c r="N113" i="1"/>
  <c r="N131" i="1"/>
  <c r="N83" i="1"/>
  <c r="N122" i="1"/>
  <c r="N92" i="1"/>
  <c r="N118" i="1"/>
  <c r="N165" i="1"/>
  <c r="N115" i="1"/>
  <c r="N87" i="1"/>
  <c r="N108" i="1"/>
  <c r="N145" i="1"/>
  <c r="N106" i="1"/>
  <c r="N232" i="1"/>
  <c r="N166" i="1"/>
  <c r="N107" i="1"/>
  <c r="N139" i="1"/>
  <c r="N100" i="1"/>
  <c r="N95" i="1"/>
  <c r="N94" i="1"/>
  <c r="N155" i="1"/>
  <c r="N86" i="1"/>
  <c r="N133" i="1"/>
  <c r="N112" i="1"/>
  <c r="N137" i="1"/>
  <c r="N99" i="1"/>
  <c r="N102" i="1"/>
  <c r="N110" i="1"/>
  <c r="N89" i="1"/>
  <c r="N114" i="1"/>
  <c r="N121" i="1"/>
  <c r="N142" i="1"/>
  <c r="N132" i="1"/>
  <c r="N140" i="1"/>
  <c r="N261" i="1"/>
  <c r="N101" i="1"/>
  <c r="N144" i="1"/>
  <c r="N135" i="1"/>
  <c r="N116" i="1"/>
  <c r="N152" i="1"/>
  <c r="N117" i="1"/>
  <c r="N260" i="1"/>
  <c r="N128" i="1"/>
  <c r="N206" i="1"/>
  <c r="N149" i="1"/>
  <c r="N150" i="1"/>
  <c r="N164" i="1"/>
  <c r="N127" i="1"/>
  <c r="N123" i="1"/>
  <c r="N148" i="1"/>
  <c r="N119" i="1"/>
  <c r="N201" i="1"/>
  <c r="N193" i="1"/>
  <c r="N120" i="1"/>
  <c r="N167" i="1"/>
  <c r="N138" i="1"/>
  <c r="N154" i="1"/>
  <c r="N130" i="1"/>
  <c r="N171" i="1"/>
  <c r="N185" i="1"/>
  <c r="N169" i="1"/>
  <c r="N194" i="1"/>
  <c r="N195" i="1"/>
  <c r="N136" i="1"/>
  <c r="N151" i="1"/>
  <c r="N156" i="1"/>
  <c r="N190" i="1"/>
  <c r="N161" i="1"/>
  <c r="N146" i="1"/>
  <c r="N125" i="1"/>
  <c r="N129" i="1"/>
  <c r="N180" i="1"/>
  <c r="N158" i="1"/>
  <c r="N177" i="1"/>
  <c r="N174" i="1"/>
  <c r="N170" i="1"/>
  <c r="N143" i="1"/>
  <c r="N184" i="1"/>
  <c r="N111" i="1"/>
  <c r="N134" i="1"/>
  <c r="N163" i="1"/>
  <c r="N147" i="1"/>
  <c r="N186" i="1"/>
  <c r="N196" i="1"/>
  <c r="N191" i="1"/>
  <c r="N178" i="1"/>
  <c r="N183" i="1"/>
  <c r="N220" i="1"/>
  <c r="N207" i="1"/>
  <c r="N124" i="1"/>
  <c r="N218" i="1"/>
  <c r="N247" i="1"/>
  <c r="N162" i="1"/>
  <c r="N172" i="1"/>
  <c r="N173" i="1"/>
  <c r="N157" i="1"/>
  <c r="N192" i="1"/>
  <c r="N187" i="1"/>
  <c r="N198" i="1"/>
  <c r="N182" i="1"/>
  <c r="N188" i="1"/>
  <c r="N159" i="1"/>
  <c r="N212" i="1"/>
  <c r="N244" i="1"/>
  <c r="N231" i="1"/>
  <c r="N210" i="1"/>
  <c r="N181" i="1"/>
  <c r="N238" i="1"/>
  <c r="N211" i="1"/>
  <c r="N160" i="1"/>
  <c r="N168" i="1"/>
  <c r="N205" i="1"/>
  <c r="N176" i="1"/>
  <c r="N215" i="1"/>
  <c r="N230" i="1"/>
  <c r="N219" i="1"/>
  <c r="N229" i="1"/>
  <c r="N267" i="1"/>
  <c r="N221" i="1"/>
  <c r="N243" i="1"/>
  <c r="N208" i="1"/>
  <c r="N240" i="1"/>
  <c r="N200" i="1"/>
  <c r="N204" i="1"/>
  <c r="N214" i="1"/>
  <c r="N224" i="1"/>
  <c r="N175" i="1"/>
  <c r="N263" i="1"/>
  <c r="N199" i="1"/>
  <c r="N282" i="1"/>
  <c r="N202" i="1"/>
  <c r="N189" i="1"/>
  <c r="N209" i="1"/>
  <c r="N225" i="1"/>
  <c r="N241" i="1"/>
  <c r="N250" i="1"/>
  <c r="N242" i="1"/>
  <c r="N228" i="1"/>
  <c r="N226" i="1"/>
  <c r="N216" i="1"/>
  <c r="N179" i="1"/>
  <c r="N222" i="1"/>
  <c r="N237" i="1"/>
  <c r="N213" i="1"/>
  <c r="N252" i="1"/>
  <c r="N217" i="1"/>
  <c r="N235" i="1"/>
  <c r="N258" i="1"/>
  <c r="N236" i="1"/>
  <c r="N275" i="1"/>
  <c r="N259" i="1"/>
  <c r="N286" i="1"/>
  <c r="N257" i="1"/>
  <c r="N203" i="1"/>
  <c r="N255" i="1"/>
  <c r="N227" i="1"/>
  <c r="N223" i="1"/>
  <c r="N248" i="1"/>
  <c r="N234" i="1"/>
  <c r="N269" i="1"/>
  <c r="N268" i="1"/>
  <c r="N281" i="1"/>
  <c r="N245" i="1"/>
  <c r="N249" i="1"/>
  <c r="N233" i="1"/>
  <c r="N273" i="1"/>
  <c r="N246" i="1"/>
  <c r="N264" i="1"/>
  <c r="N266" i="1"/>
  <c r="N253" i="1"/>
  <c r="N197" i="1"/>
  <c r="N262" i="1"/>
  <c r="N274" i="1"/>
  <c r="N277" i="1"/>
  <c r="N256" i="1"/>
  <c r="N270" i="1"/>
  <c r="N251" i="1"/>
  <c r="N280" i="1"/>
  <c r="N292" i="1"/>
  <c r="N278" i="1"/>
  <c r="N279" i="1"/>
  <c r="N272" i="1"/>
  <c r="N276" i="1"/>
  <c r="N288" i="1"/>
  <c r="N290" i="1"/>
  <c r="N271" i="1"/>
  <c r="N285" i="1"/>
  <c r="N283" i="1"/>
  <c r="N265" i="1"/>
  <c r="N294" i="1"/>
  <c r="N254" i="1"/>
  <c r="N287" i="1"/>
  <c r="N289" i="1"/>
  <c r="N284" i="1"/>
  <c r="N295" i="1"/>
  <c r="N298" i="1"/>
  <c r="N297" i="1"/>
  <c r="N291" i="1"/>
  <c r="N293" i="1"/>
  <c r="N296" i="1"/>
  <c r="N301" i="1"/>
  <c r="N300" i="1"/>
  <c r="N299" i="1"/>
  <c r="N7" i="1"/>
  <c r="L296" i="1"/>
  <c r="L293" i="1"/>
  <c r="L291" i="1"/>
  <c r="L289" i="1"/>
  <c r="L285" i="1"/>
  <c r="L288" i="1"/>
  <c r="L272" i="1"/>
  <c r="L197" i="1"/>
  <c r="L281" i="1"/>
  <c r="L213" i="1"/>
  <c r="L237" i="1"/>
  <c r="L250" i="1"/>
  <c r="L204" i="1"/>
  <c r="L240" i="1"/>
  <c r="L243" i="1"/>
  <c r="L230" i="1"/>
  <c r="L210" i="1"/>
  <c r="L157" i="1"/>
  <c r="L162" i="1"/>
  <c r="L177" i="1"/>
  <c r="L195" i="1"/>
  <c r="L169" i="1"/>
  <c r="L194" i="1"/>
  <c r="L120" i="1"/>
  <c r="L201" i="1"/>
  <c r="L149" i="1"/>
  <c r="L128" i="1"/>
  <c r="L260" i="1"/>
  <c r="L261" i="1"/>
  <c r="L112" i="1"/>
  <c r="L86" i="1"/>
  <c r="L100" i="1"/>
  <c r="L232" i="1"/>
  <c r="L118" i="1"/>
  <c r="L122" i="1"/>
  <c r="L96" i="1"/>
  <c r="L126" i="1"/>
  <c r="L104" i="1"/>
  <c r="L98" i="1"/>
  <c r="L73" i="1"/>
  <c r="L61" i="1"/>
  <c r="L80" i="1"/>
  <c r="L74" i="1"/>
  <c r="L72" i="1"/>
  <c r="L91" i="1"/>
  <c r="L36" i="1"/>
  <c r="L62" i="1"/>
  <c r="L12" i="1"/>
  <c r="L42" i="1"/>
  <c r="L10" i="1"/>
  <c r="L8" i="1"/>
  <c r="L7" i="1"/>
  <c r="L9" i="1"/>
  <c r="L11" i="1"/>
  <c r="L14" i="1"/>
  <c r="L13" i="1"/>
  <c r="L20" i="1"/>
  <c r="L23" i="1"/>
  <c r="L16" i="1"/>
  <c r="L19" i="1"/>
  <c r="L27" i="1"/>
  <c r="L15" i="1"/>
  <c r="L25" i="1"/>
  <c r="L37" i="1"/>
  <c r="L21" i="1"/>
  <c r="L31" i="1"/>
  <c r="L38" i="1"/>
  <c r="L35" i="1"/>
  <c r="L30" i="1"/>
  <c r="L17" i="1"/>
  <c r="L32" i="1"/>
  <c r="L26" i="1"/>
  <c r="L24" i="1"/>
  <c r="L18" i="1"/>
  <c r="L49" i="1"/>
  <c r="L67" i="1"/>
  <c r="L57" i="1"/>
  <c r="L29" i="1"/>
  <c r="L33" i="1"/>
  <c r="L22" i="1"/>
  <c r="L28" i="1"/>
  <c r="L34" i="1"/>
  <c r="L55" i="1"/>
  <c r="L39" i="1"/>
  <c r="L51" i="1"/>
  <c r="L64" i="1"/>
  <c r="L66" i="1"/>
  <c r="L40" i="1"/>
  <c r="L44" i="1"/>
  <c r="L43" i="1"/>
  <c r="L53" i="1"/>
  <c r="L45" i="1"/>
  <c r="L46" i="1"/>
  <c r="L56" i="1"/>
  <c r="L48" i="1"/>
  <c r="L47" i="1"/>
  <c r="L71" i="1"/>
  <c r="L76" i="1"/>
  <c r="L77" i="1"/>
  <c r="L79" i="1"/>
  <c r="L50" i="1"/>
  <c r="L68" i="1"/>
  <c r="L41" i="1"/>
  <c r="L52" i="1"/>
  <c r="L59" i="1"/>
  <c r="L65" i="1"/>
  <c r="L54" i="1"/>
  <c r="L63" i="1"/>
  <c r="L58" i="1"/>
  <c r="L82" i="1"/>
  <c r="L81" i="1"/>
  <c r="L70" i="1"/>
  <c r="L75" i="1"/>
  <c r="L109" i="1"/>
  <c r="L153" i="1"/>
  <c r="L85" i="1"/>
  <c r="L88" i="1"/>
  <c r="L78" i="1"/>
  <c r="L103" i="1"/>
  <c r="L69" i="1"/>
  <c r="L239" i="1"/>
  <c r="L141" i="1"/>
  <c r="L90" i="1"/>
  <c r="L105" i="1"/>
  <c r="L93" i="1"/>
  <c r="L97" i="1"/>
  <c r="L60" i="1"/>
  <c r="L84" i="1"/>
  <c r="L113" i="1"/>
  <c r="L131" i="1"/>
  <c r="L83" i="1"/>
  <c r="L92" i="1"/>
  <c r="L165" i="1"/>
  <c r="L115" i="1"/>
  <c r="L87" i="1"/>
  <c r="L108" i="1"/>
  <c r="L145" i="1"/>
  <c r="L106" i="1"/>
  <c r="L166" i="1"/>
  <c r="L107" i="1"/>
  <c r="L139" i="1"/>
  <c r="L95" i="1"/>
  <c r="L94" i="1"/>
  <c r="L155" i="1"/>
  <c r="L133" i="1"/>
  <c r="L137" i="1"/>
  <c r="L99" i="1"/>
  <c r="L102" i="1"/>
  <c r="L110" i="1"/>
  <c r="L89" i="1"/>
  <c r="L114" i="1"/>
  <c r="L121" i="1"/>
  <c r="L142" i="1"/>
  <c r="L132" i="1"/>
  <c r="L140" i="1"/>
  <c r="L101" i="1"/>
  <c r="L144" i="1"/>
  <c r="L135" i="1"/>
  <c r="L116" i="1"/>
  <c r="L152" i="1"/>
  <c r="L117" i="1"/>
  <c r="L206" i="1"/>
  <c r="L150" i="1"/>
  <c r="L164" i="1"/>
  <c r="L127" i="1"/>
  <c r="L123" i="1"/>
  <c r="L148" i="1"/>
  <c r="L119" i="1"/>
  <c r="L193" i="1"/>
  <c r="L167" i="1"/>
  <c r="L138" i="1"/>
  <c r="L154" i="1"/>
  <c r="L130" i="1"/>
  <c r="L171" i="1"/>
  <c r="L185" i="1"/>
  <c r="L136" i="1"/>
  <c r="L151" i="1"/>
  <c r="L156" i="1"/>
  <c r="L190" i="1"/>
  <c r="L161" i="1"/>
  <c r="L146" i="1"/>
  <c r="L125" i="1"/>
  <c r="L129" i="1"/>
  <c r="L180" i="1"/>
  <c r="L158" i="1"/>
  <c r="L174" i="1"/>
  <c r="L170" i="1"/>
  <c r="L143" i="1"/>
  <c r="L184" i="1"/>
  <c r="L111" i="1"/>
  <c r="L134" i="1"/>
  <c r="L163" i="1"/>
  <c r="L147" i="1"/>
  <c r="L186" i="1"/>
  <c r="L196" i="1"/>
  <c r="L191" i="1"/>
  <c r="L178" i="1"/>
  <c r="L183" i="1"/>
  <c r="L220" i="1"/>
  <c r="L207" i="1"/>
  <c r="L124" i="1"/>
  <c r="L218" i="1"/>
  <c r="L247" i="1"/>
  <c r="L172" i="1"/>
  <c r="L173" i="1"/>
  <c r="L192" i="1"/>
  <c r="L187" i="1"/>
  <c r="L198" i="1"/>
  <c r="L182" i="1"/>
  <c r="L188" i="1"/>
  <c r="L159" i="1"/>
  <c r="L212" i="1"/>
  <c r="L244" i="1"/>
  <c r="L231" i="1"/>
  <c r="L181" i="1"/>
  <c r="L238" i="1"/>
  <c r="L211" i="1"/>
  <c r="L160" i="1"/>
  <c r="L168" i="1"/>
  <c r="L205" i="1"/>
  <c r="L176" i="1"/>
  <c r="L215" i="1"/>
  <c r="L219" i="1"/>
  <c r="L229" i="1"/>
  <c r="L267" i="1"/>
  <c r="L221" i="1"/>
  <c r="L208" i="1"/>
  <c r="L200" i="1"/>
  <c r="L214" i="1"/>
  <c r="L224" i="1"/>
  <c r="L175" i="1"/>
  <c r="L263" i="1"/>
  <c r="L199" i="1"/>
  <c r="L282" i="1"/>
  <c r="L202" i="1"/>
  <c r="L189" i="1"/>
  <c r="L209" i="1"/>
  <c r="L225" i="1"/>
  <c r="L241" i="1"/>
  <c r="L242" i="1"/>
  <c r="L228" i="1"/>
  <c r="L226" i="1"/>
  <c r="L216" i="1"/>
  <c r="L179" i="1"/>
  <c r="L222" i="1"/>
  <c r="L252" i="1"/>
  <c r="L217" i="1"/>
  <c r="L235" i="1"/>
  <c r="L258" i="1"/>
  <c r="L236" i="1"/>
  <c r="L275" i="1"/>
  <c r="L259" i="1"/>
  <c r="L286" i="1"/>
  <c r="L257" i="1"/>
  <c r="L203" i="1"/>
  <c r="L255" i="1"/>
  <c r="L227" i="1"/>
  <c r="L223" i="1"/>
  <c r="L248" i="1"/>
  <c r="L234" i="1"/>
  <c r="L269" i="1"/>
  <c r="L268" i="1"/>
  <c r="L245" i="1"/>
  <c r="L249" i="1"/>
  <c r="L233" i="1"/>
  <c r="L273" i="1"/>
  <c r="L246" i="1"/>
  <c r="L266" i="1"/>
  <c r="L253" i="1"/>
  <c r="L262" i="1"/>
  <c r="L274" i="1"/>
  <c r="L277" i="1"/>
  <c r="L256" i="1"/>
  <c r="L270" i="1"/>
  <c r="L251" i="1"/>
  <c r="L280" i="1"/>
  <c r="L292" i="1"/>
  <c r="L278" i="1"/>
  <c r="L279" i="1"/>
  <c r="L276" i="1"/>
  <c r="L290" i="1"/>
  <c r="L271" i="1"/>
  <c r="L283" i="1"/>
  <c r="L265" i="1"/>
  <c r="L294" i="1"/>
  <c r="L254" i="1"/>
  <c r="L287" i="1"/>
  <c r="L284" i="1"/>
  <c r="L295" i="1"/>
  <c r="L298" i="1"/>
  <c r="L297" i="1"/>
  <c r="L301" i="1"/>
  <c r="L300" i="1"/>
  <c r="L299" i="1"/>
  <c r="K8" i="1"/>
  <c r="K9" i="1"/>
  <c r="K13" i="1"/>
  <c r="K15" i="1"/>
  <c r="K260" i="1"/>
  <c r="K288" i="1"/>
  <c r="I8" i="1"/>
  <c r="I10" i="1"/>
  <c r="I9" i="1"/>
  <c r="I11" i="1"/>
  <c r="I14" i="1"/>
  <c r="I13" i="1"/>
  <c r="I20" i="1"/>
  <c r="I42" i="1"/>
  <c r="I23" i="1"/>
  <c r="I12" i="1"/>
  <c r="I16" i="1"/>
  <c r="I19" i="1"/>
  <c r="I27" i="1"/>
  <c r="I15" i="1"/>
  <c r="I25" i="1"/>
  <c r="I37" i="1"/>
  <c r="I21" i="1"/>
  <c r="I31" i="1"/>
  <c r="I38" i="1"/>
  <c r="I35" i="1"/>
  <c r="I30" i="1"/>
  <c r="I17" i="1"/>
  <c r="I32" i="1"/>
  <c r="I26" i="1"/>
  <c r="I24" i="1"/>
  <c r="I18" i="1"/>
  <c r="I49" i="1"/>
  <c r="I67" i="1"/>
  <c r="I57" i="1"/>
  <c r="I29" i="1"/>
  <c r="I33" i="1"/>
  <c r="I22" i="1"/>
  <c r="I28" i="1"/>
  <c r="I34" i="1"/>
  <c r="I55" i="1"/>
  <c r="I62" i="1"/>
  <c r="I39" i="1"/>
  <c r="I51" i="1"/>
  <c r="I64" i="1"/>
  <c r="I66" i="1"/>
  <c r="I40" i="1"/>
  <c r="I36" i="1"/>
  <c r="I44" i="1"/>
  <c r="I91" i="1"/>
  <c r="I43" i="1"/>
  <c r="I72" i="1"/>
  <c r="I53" i="1"/>
  <c r="I45" i="1"/>
  <c r="I46" i="1"/>
  <c r="I56" i="1"/>
  <c r="I48" i="1"/>
  <c r="I47" i="1"/>
  <c r="I71" i="1"/>
  <c r="I76" i="1"/>
  <c r="I77" i="1"/>
  <c r="I79" i="1"/>
  <c r="I50" i="1"/>
  <c r="I68" i="1"/>
  <c r="I41" i="1"/>
  <c r="I52" i="1"/>
  <c r="I59" i="1"/>
  <c r="I74" i="1"/>
  <c r="I65" i="1"/>
  <c r="I80" i="1"/>
  <c r="I61" i="1"/>
  <c r="I54" i="1"/>
  <c r="I63" i="1"/>
  <c r="I58" i="1"/>
  <c r="I82" i="1"/>
  <c r="I81" i="1"/>
  <c r="I70" i="1"/>
  <c r="I75" i="1"/>
  <c r="I109" i="1"/>
  <c r="I73" i="1"/>
  <c r="I153" i="1"/>
  <c r="I98" i="1"/>
  <c r="I85" i="1"/>
  <c r="I88" i="1"/>
  <c r="I78" i="1"/>
  <c r="I103" i="1"/>
  <c r="I69" i="1"/>
  <c r="I239" i="1"/>
  <c r="I104" i="1"/>
  <c r="I141" i="1"/>
  <c r="I126" i="1"/>
  <c r="I90" i="1"/>
  <c r="I105" i="1"/>
  <c r="I93" i="1"/>
  <c r="I96" i="1"/>
  <c r="I97" i="1"/>
  <c r="I60" i="1"/>
  <c r="I84" i="1"/>
  <c r="I113" i="1"/>
  <c r="I131" i="1"/>
  <c r="I83" i="1"/>
  <c r="I122" i="1"/>
  <c r="I92" i="1"/>
  <c r="I118" i="1"/>
  <c r="I165" i="1"/>
  <c r="I115" i="1"/>
  <c r="I87" i="1"/>
  <c r="I108" i="1"/>
  <c r="I145" i="1"/>
  <c r="I106" i="1"/>
  <c r="I232" i="1"/>
  <c r="I166" i="1"/>
  <c r="I107" i="1"/>
  <c r="I139" i="1"/>
  <c r="I100" i="1"/>
  <c r="I95" i="1"/>
  <c r="I94" i="1"/>
  <c r="I155" i="1"/>
  <c r="I86" i="1"/>
  <c r="I133" i="1"/>
  <c r="I112" i="1"/>
  <c r="I137" i="1"/>
  <c r="I99" i="1"/>
  <c r="I102" i="1"/>
  <c r="I110" i="1"/>
  <c r="I89" i="1"/>
  <c r="I114" i="1"/>
  <c r="I121" i="1"/>
  <c r="I142" i="1"/>
  <c r="I132" i="1"/>
  <c r="I140" i="1"/>
  <c r="I261" i="1"/>
  <c r="I101" i="1"/>
  <c r="I144" i="1"/>
  <c r="I135" i="1"/>
  <c r="I116" i="1"/>
  <c r="I152" i="1"/>
  <c r="I117" i="1"/>
  <c r="I260" i="1"/>
  <c r="I128" i="1"/>
  <c r="I206" i="1"/>
  <c r="I149" i="1"/>
  <c r="I150" i="1"/>
  <c r="I164" i="1"/>
  <c r="I127" i="1"/>
  <c r="I123" i="1"/>
  <c r="I148" i="1"/>
  <c r="I119" i="1"/>
  <c r="I201" i="1"/>
  <c r="I193" i="1"/>
  <c r="I120" i="1"/>
  <c r="I167" i="1"/>
  <c r="I138" i="1"/>
  <c r="I154" i="1"/>
  <c r="I130" i="1"/>
  <c r="I171" i="1"/>
  <c r="I185" i="1"/>
  <c r="I169" i="1"/>
  <c r="I194" i="1"/>
  <c r="I195" i="1"/>
  <c r="I136" i="1"/>
  <c r="I151" i="1"/>
  <c r="I156" i="1"/>
  <c r="I190" i="1"/>
  <c r="I161" i="1"/>
  <c r="I146" i="1"/>
  <c r="I125" i="1"/>
  <c r="I129" i="1"/>
  <c r="I180" i="1"/>
  <c r="I158" i="1"/>
  <c r="I177" i="1"/>
  <c r="I174" i="1"/>
  <c r="I170" i="1"/>
  <c r="I143" i="1"/>
  <c r="I184" i="1"/>
  <c r="I111" i="1"/>
  <c r="I134" i="1"/>
  <c r="I163" i="1"/>
  <c r="I147" i="1"/>
  <c r="I186" i="1"/>
  <c r="I196" i="1"/>
  <c r="I191" i="1"/>
  <c r="I178" i="1"/>
  <c r="I183" i="1"/>
  <c r="I220" i="1"/>
  <c r="I207" i="1"/>
  <c r="I124" i="1"/>
  <c r="I218" i="1"/>
  <c r="I247" i="1"/>
  <c r="I162" i="1"/>
  <c r="I172" i="1"/>
  <c r="I173" i="1"/>
  <c r="I157" i="1"/>
  <c r="I192" i="1"/>
  <c r="I187" i="1"/>
  <c r="I198" i="1"/>
  <c r="I182" i="1"/>
  <c r="I188" i="1"/>
  <c r="I159" i="1"/>
  <c r="I212" i="1"/>
  <c r="I244" i="1"/>
  <c r="I231" i="1"/>
  <c r="I210" i="1"/>
  <c r="I181" i="1"/>
  <c r="I238" i="1"/>
  <c r="I211" i="1"/>
  <c r="I160" i="1"/>
  <c r="I168" i="1"/>
  <c r="I205" i="1"/>
  <c r="I176" i="1"/>
  <c r="I215" i="1"/>
  <c r="I230" i="1"/>
  <c r="I219" i="1"/>
  <c r="I229" i="1"/>
  <c r="I267" i="1"/>
  <c r="I221" i="1"/>
  <c r="I243" i="1"/>
  <c r="I208" i="1"/>
  <c r="I240" i="1"/>
  <c r="I200" i="1"/>
  <c r="I204" i="1"/>
  <c r="I214" i="1"/>
  <c r="I224" i="1"/>
  <c r="I175" i="1"/>
  <c r="I263" i="1"/>
  <c r="I199" i="1"/>
  <c r="I282" i="1"/>
  <c r="I202" i="1"/>
  <c r="I189" i="1"/>
  <c r="I209" i="1"/>
  <c r="I225" i="1"/>
  <c r="I241" i="1"/>
  <c r="I250" i="1"/>
  <c r="I242" i="1"/>
  <c r="I228" i="1"/>
  <c r="I226" i="1"/>
  <c r="I216" i="1"/>
  <c r="I179" i="1"/>
  <c r="I222" i="1"/>
  <c r="I237" i="1"/>
  <c r="I213" i="1"/>
  <c r="I252" i="1"/>
  <c r="I217" i="1"/>
  <c r="I235" i="1"/>
  <c r="I258" i="1"/>
  <c r="I236" i="1"/>
  <c r="I275" i="1"/>
  <c r="I259" i="1"/>
  <c r="I286" i="1"/>
  <c r="I257" i="1"/>
  <c r="I203" i="1"/>
  <c r="I255" i="1"/>
  <c r="I227" i="1"/>
  <c r="I223" i="1"/>
  <c r="I248" i="1"/>
  <c r="I234" i="1"/>
  <c r="I269" i="1"/>
  <c r="I268" i="1"/>
  <c r="I281" i="1"/>
  <c r="I245" i="1"/>
  <c r="I249" i="1"/>
  <c r="I233" i="1"/>
  <c r="I273" i="1"/>
  <c r="I246" i="1"/>
  <c r="I264" i="1"/>
  <c r="I266" i="1"/>
  <c r="I253" i="1"/>
  <c r="I197" i="1"/>
  <c r="I262" i="1"/>
  <c r="I274" i="1"/>
  <c r="I277" i="1"/>
  <c r="I256" i="1"/>
  <c r="I270" i="1"/>
  <c r="I251" i="1"/>
  <c r="I280" i="1"/>
  <c r="I292" i="1"/>
  <c r="I278" i="1"/>
  <c r="I279" i="1"/>
  <c r="I272" i="1"/>
  <c r="I276" i="1"/>
  <c r="I288" i="1"/>
  <c r="I290" i="1"/>
  <c r="I271" i="1"/>
  <c r="I285" i="1"/>
  <c r="I283" i="1"/>
  <c r="I265" i="1"/>
  <c r="I294" i="1"/>
  <c r="I254" i="1"/>
  <c r="I287" i="1"/>
  <c r="I289" i="1"/>
  <c r="I284" i="1"/>
  <c r="I295" i="1"/>
  <c r="I298" i="1"/>
  <c r="I297" i="1"/>
  <c r="I291" i="1"/>
  <c r="I293" i="1"/>
  <c r="I296" i="1"/>
  <c r="I301" i="1"/>
  <c r="I300" i="1"/>
  <c r="I299" i="1"/>
  <c r="I7" i="1"/>
  <c r="H10" i="1"/>
  <c r="H9" i="1"/>
  <c r="H11" i="1"/>
  <c r="H14" i="1"/>
  <c r="H13" i="1"/>
  <c r="H20" i="1"/>
  <c r="H42" i="1"/>
  <c r="H23" i="1"/>
  <c r="H12" i="1"/>
  <c r="H16" i="1"/>
  <c r="H19" i="1"/>
  <c r="H27" i="1"/>
  <c r="H15" i="1"/>
  <c r="H25" i="1"/>
  <c r="H37" i="1"/>
  <c r="H21" i="1"/>
  <c r="H31" i="1"/>
  <c r="H38" i="1"/>
  <c r="H35" i="1"/>
  <c r="H30" i="1"/>
  <c r="H17" i="1"/>
  <c r="H32" i="1"/>
  <c r="H26" i="1"/>
  <c r="H24" i="1"/>
  <c r="H18" i="1"/>
  <c r="H49" i="1"/>
  <c r="H67" i="1"/>
  <c r="H57" i="1"/>
  <c r="H29" i="1"/>
  <c r="H33" i="1"/>
  <c r="H22" i="1"/>
  <c r="H28" i="1"/>
  <c r="H34" i="1"/>
  <c r="H55" i="1"/>
  <c r="H62" i="1"/>
  <c r="H39" i="1"/>
  <c r="H51" i="1"/>
  <c r="H64" i="1"/>
  <c r="H66" i="1"/>
  <c r="H40" i="1"/>
  <c r="H36" i="1"/>
  <c r="H44" i="1"/>
  <c r="H91" i="1"/>
  <c r="H43" i="1"/>
  <c r="H72" i="1"/>
  <c r="H53" i="1"/>
  <c r="H45" i="1"/>
  <c r="H46" i="1"/>
  <c r="H56" i="1"/>
  <c r="H48" i="1"/>
  <c r="H47" i="1"/>
  <c r="H71" i="1"/>
  <c r="H76" i="1"/>
  <c r="H77" i="1"/>
  <c r="H79" i="1"/>
  <c r="H50" i="1"/>
  <c r="H68" i="1"/>
  <c r="H41" i="1"/>
  <c r="H52" i="1"/>
  <c r="H59" i="1"/>
  <c r="H74" i="1"/>
  <c r="H65" i="1"/>
  <c r="H80" i="1"/>
  <c r="H61" i="1"/>
  <c r="H54" i="1"/>
  <c r="H63" i="1"/>
  <c r="H58" i="1"/>
  <c r="H82" i="1"/>
  <c r="H81" i="1"/>
  <c r="H70" i="1"/>
  <c r="H75" i="1"/>
  <c r="H109" i="1"/>
  <c r="H73" i="1"/>
  <c r="H153" i="1"/>
  <c r="H98" i="1"/>
  <c r="H85" i="1"/>
  <c r="H88" i="1"/>
  <c r="H78" i="1"/>
  <c r="H103" i="1"/>
  <c r="H69" i="1"/>
  <c r="H239" i="1"/>
  <c r="H104" i="1"/>
  <c r="H141" i="1"/>
  <c r="H126" i="1"/>
  <c r="H90" i="1"/>
  <c r="H105" i="1"/>
  <c r="H93" i="1"/>
  <c r="H96" i="1"/>
  <c r="H97" i="1"/>
  <c r="H60" i="1"/>
  <c r="H84" i="1"/>
  <c r="H113" i="1"/>
  <c r="H131" i="1"/>
  <c r="H83" i="1"/>
  <c r="H122" i="1"/>
  <c r="H92" i="1"/>
  <c r="H118" i="1"/>
  <c r="H165" i="1"/>
  <c r="H115" i="1"/>
  <c r="H87" i="1"/>
  <c r="H108" i="1"/>
  <c r="H145" i="1"/>
  <c r="H106" i="1"/>
  <c r="H232" i="1"/>
  <c r="H166" i="1"/>
  <c r="H107" i="1"/>
  <c r="H139" i="1"/>
  <c r="H100" i="1"/>
  <c r="H95" i="1"/>
  <c r="H94" i="1"/>
  <c r="H155" i="1"/>
  <c r="H86" i="1"/>
  <c r="H133" i="1"/>
  <c r="H112" i="1"/>
  <c r="H137" i="1"/>
  <c r="H99" i="1"/>
  <c r="H102" i="1"/>
  <c r="H110" i="1"/>
  <c r="H89" i="1"/>
  <c r="H114" i="1"/>
  <c r="H121" i="1"/>
  <c r="H142" i="1"/>
  <c r="H132" i="1"/>
  <c r="H140" i="1"/>
  <c r="H261" i="1"/>
  <c r="H101" i="1"/>
  <c r="H144" i="1"/>
  <c r="H135" i="1"/>
  <c r="H116" i="1"/>
  <c r="H152" i="1"/>
  <c r="H117" i="1"/>
  <c r="H260" i="1"/>
  <c r="H128" i="1"/>
  <c r="H206" i="1"/>
  <c r="H149" i="1"/>
  <c r="H150" i="1"/>
  <c r="H164" i="1"/>
  <c r="H127" i="1"/>
  <c r="H123" i="1"/>
  <c r="H148" i="1"/>
  <c r="H119" i="1"/>
  <c r="H201" i="1"/>
  <c r="H193" i="1"/>
  <c r="H120" i="1"/>
  <c r="H167" i="1"/>
  <c r="H138" i="1"/>
  <c r="H154" i="1"/>
  <c r="H130" i="1"/>
  <c r="H171" i="1"/>
  <c r="H185" i="1"/>
  <c r="H169" i="1"/>
  <c r="H194" i="1"/>
  <c r="H195" i="1"/>
  <c r="H136" i="1"/>
  <c r="H151" i="1"/>
  <c r="H156" i="1"/>
  <c r="H190" i="1"/>
  <c r="H161" i="1"/>
  <c r="H146" i="1"/>
  <c r="H125" i="1"/>
  <c r="H129" i="1"/>
  <c r="H180" i="1"/>
  <c r="H158" i="1"/>
  <c r="H177" i="1"/>
  <c r="H174" i="1"/>
  <c r="H170" i="1"/>
  <c r="H143" i="1"/>
  <c r="H184" i="1"/>
  <c r="H111" i="1"/>
  <c r="H134" i="1"/>
  <c r="H163" i="1"/>
  <c r="H147" i="1"/>
  <c r="H186" i="1"/>
  <c r="H196" i="1"/>
  <c r="H191" i="1"/>
  <c r="H178" i="1"/>
  <c r="H183" i="1"/>
  <c r="H220" i="1"/>
  <c r="H207" i="1"/>
  <c r="H124" i="1"/>
  <c r="H218" i="1"/>
  <c r="H247" i="1"/>
  <c r="H162" i="1"/>
  <c r="H172" i="1"/>
  <c r="H173" i="1"/>
  <c r="H157" i="1"/>
  <c r="H192" i="1"/>
  <c r="H187" i="1"/>
  <c r="H198" i="1"/>
  <c r="H182" i="1"/>
  <c r="H188" i="1"/>
  <c r="H159" i="1"/>
  <c r="H212" i="1"/>
  <c r="H244" i="1"/>
  <c r="H231" i="1"/>
  <c r="H210" i="1"/>
  <c r="H181" i="1"/>
  <c r="H238" i="1"/>
  <c r="H211" i="1"/>
  <c r="H160" i="1"/>
  <c r="H168" i="1"/>
  <c r="H205" i="1"/>
  <c r="H176" i="1"/>
  <c r="H215" i="1"/>
  <c r="H230" i="1"/>
  <c r="H219" i="1"/>
  <c r="H229" i="1"/>
  <c r="H267" i="1"/>
  <c r="H221" i="1"/>
  <c r="H243" i="1"/>
  <c r="H208" i="1"/>
  <c r="H240" i="1"/>
  <c r="H200" i="1"/>
  <c r="H204" i="1"/>
  <c r="H214" i="1"/>
  <c r="H224" i="1"/>
  <c r="H175" i="1"/>
  <c r="H263" i="1"/>
  <c r="H199" i="1"/>
  <c r="H282" i="1"/>
  <c r="H202" i="1"/>
  <c r="H189" i="1"/>
  <c r="H209" i="1"/>
  <c r="H225" i="1"/>
  <c r="H241" i="1"/>
  <c r="H250" i="1"/>
  <c r="H242" i="1"/>
  <c r="H228" i="1"/>
  <c r="H226" i="1"/>
  <c r="H216" i="1"/>
  <c r="H179" i="1"/>
  <c r="H222" i="1"/>
  <c r="H237" i="1"/>
  <c r="H213" i="1"/>
  <c r="H252" i="1"/>
  <c r="H217" i="1"/>
  <c r="H235" i="1"/>
  <c r="H258" i="1"/>
  <c r="H236" i="1"/>
  <c r="H275" i="1"/>
  <c r="H259" i="1"/>
  <c r="H286" i="1"/>
  <c r="H257" i="1"/>
  <c r="H203" i="1"/>
  <c r="H255" i="1"/>
  <c r="H227" i="1"/>
  <c r="H223" i="1"/>
  <c r="H248" i="1"/>
  <c r="H234" i="1"/>
  <c r="H269" i="1"/>
  <c r="H268" i="1"/>
  <c r="H281" i="1"/>
  <c r="H245" i="1"/>
  <c r="H249" i="1"/>
  <c r="H233" i="1"/>
  <c r="H273" i="1"/>
  <c r="H246" i="1"/>
  <c r="H264" i="1"/>
  <c r="H266" i="1"/>
  <c r="H253" i="1"/>
  <c r="H197" i="1"/>
  <c r="H262" i="1"/>
  <c r="H274" i="1"/>
  <c r="H277" i="1"/>
  <c r="H256" i="1"/>
  <c r="H270" i="1"/>
  <c r="H251" i="1"/>
  <c r="H280" i="1"/>
  <c r="H292" i="1"/>
  <c r="H278" i="1"/>
  <c r="H279" i="1"/>
  <c r="H272" i="1"/>
  <c r="H276" i="1"/>
  <c r="H288" i="1"/>
  <c r="H290" i="1"/>
  <c r="H271" i="1"/>
  <c r="H285" i="1"/>
  <c r="H283" i="1"/>
  <c r="H265" i="1"/>
  <c r="H294" i="1"/>
  <c r="H254" i="1"/>
  <c r="H287" i="1"/>
  <c r="H289" i="1"/>
  <c r="H284" i="1"/>
  <c r="H295" i="1"/>
  <c r="H298" i="1"/>
  <c r="H297" i="1"/>
  <c r="H291" i="1"/>
  <c r="H293" i="1"/>
  <c r="H296" i="1"/>
  <c r="H301" i="1"/>
  <c r="H300" i="1"/>
  <c r="H299" i="1"/>
  <c r="H7" i="1"/>
  <c r="J8" i="1"/>
  <c r="J10" i="1"/>
  <c r="J9" i="1"/>
  <c r="J11" i="1"/>
  <c r="J14" i="1"/>
  <c r="J13" i="1"/>
  <c r="J20" i="1"/>
  <c r="J42" i="1"/>
  <c r="J23" i="1"/>
  <c r="J12" i="1"/>
  <c r="J16" i="1"/>
  <c r="J19" i="1"/>
  <c r="J27" i="1"/>
  <c r="J15" i="1"/>
  <c r="J25" i="1"/>
  <c r="J37" i="1"/>
  <c r="J21" i="1"/>
  <c r="J31" i="1"/>
  <c r="J38" i="1"/>
  <c r="J35" i="1"/>
  <c r="J30" i="1"/>
  <c r="J17" i="1"/>
  <c r="J32" i="1"/>
  <c r="J26" i="1"/>
  <c r="J24" i="1"/>
  <c r="J18" i="1"/>
  <c r="J49" i="1"/>
  <c r="J67" i="1"/>
  <c r="J57" i="1"/>
  <c r="J29" i="1"/>
  <c r="J33" i="1"/>
  <c r="J22" i="1"/>
  <c r="J28" i="1"/>
  <c r="J34" i="1"/>
  <c r="J55" i="1"/>
  <c r="J62" i="1"/>
  <c r="J39" i="1"/>
  <c r="J51" i="1"/>
  <c r="J64" i="1"/>
  <c r="J66" i="1"/>
  <c r="J40" i="1"/>
  <c r="J36" i="1"/>
  <c r="J44" i="1"/>
  <c r="J91" i="1"/>
  <c r="J43" i="1"/>
  <c r="J72" i="1"/>
  <c r="J53" i="1"/>
  <c r="J45" i="1"/>
  <c r="J46" i="1"/>
  <c r="J56" i="1"/>
  <c r="J48" i="1"/>
  <c r="J47" i="1"/>
  <c r="J71" i="1"/>
  <c r="J76" i="1"/>
  <c r="J77" i="1"/>
  <c r="J79" i="1"/>
  <c r="J50" i="1"/>
  <c r="J68" i="1"/>
  <c r="J41" i="1"/>
  <c r="J52" i="1"/>
  <c r="J59" i="1"/>
  <c r="J74" i="1"/>
  <c r="J65" i="1"/>
  <c r="J80" i="1"/>
  <c r="J61" i="1"/>
  <c r="J54" i="1"/>
  <c r="J63" i="1"/>
  <c r="J58" i="1"/>
  <c r="J82" i="1"/>
  <c r="J81" i="1"/>
  <c r="J70" i="1"/>
  <c r="J75" i="1"/>
  <c r="J109" i="1"/>
  <c r="J73" i="1"/>
  <c r="J153" i="1"/>
  <c r="J98" i="1"/>
  <c r="J85" i="1"/>
  <c r="J88" i="1"/>
  <c r="J78" i="1"/>
  <c r="J103" i="1"/>
  <c r="J69" i="1"/>
  <c r="J239" i="1"/>
  <c r="J104" i="1"/>
  <c r="J141" i="1"/>
  <c r="J126" i="1"/>
  <c r="J90" i="1"/>
  <c r="J105" i="1"/>
  <c r="J93" i="1"/>
  <c r="J96" i="1"/>
  <c r="J97" i="1"/>
  <c r="J60" i="1"/>
  <c r="J84" i="1"/>
  <c r="J113" i="1"/>
  <c r="J131" i="1"/>
  <c r="J83" i="1"/>
  <c r="J122" i="1"/>
  <c r="J92" i="1"/>
  <c r="J118" i="1"/>
  <c r="J165" i="1"/>
  <c r="J115" i="1"/>
  <c r="J87" i="1"/>
  <c r="J108" i="1"/>
  <c r="J145" i="1"/>
  <c r="J106" i="1"/>
  <c r="J232" i="1"/>
  <c r="J166" i="1"/>
  <c r="J107" i="1"/>
  <c r="J139" i="1"/>
  <c r="J100" i="1"/>
  <c r="J95" i="1"/>
  <c r="J94" i="1"/>
  <c r="J155" i="1"/>
  <c r="J86" i="1"/>
  <c r="J133" i="1"/>
  <c r="J112" i="1"/>
  <c r="J137" i="1"/>
  <c r="J99" i="1"/>
  <c r="J102" i="1"/>
  <c r="J110" i="1"/>
  <c r="J89" i="1"/>
  <c r="J114" i="1"/>
  <c r="J121" i="1"/>
  <c r="J142" i="1"/>
  <c r="J132" i="1"/>
  <c r="J140" i="1"/>
  <c r="J261" i="1"/>
  <c r="J101" i="1"/>
  <c r="J144" i="1"/>
  <c r="J135" i="1"/>
  <c r="J116" i="1"/>
  <c r="J152" i="1"/>
  <c r="J117" i="1"/>
  <c r="J260" i="1"/>
  <c r="J128" i="1"/>
  <c r="J206" i="1"/>
  <c r="J149" i="1"/>
  <c r="J150" i="1"/>
  <c r="J164" i="1"/>
  <c r="J127" i="1"/>
  <c r="J123" i="1"/>
  <c r="J148" i="1"/>
  <c r="J119" i="1"/>
  <c r="J201" i="1"/>
  <c r="J193" i="1"/>
  <c r="J120" i="1"/>
  <c r="J167" i="1"/>
  <c r="J138" i="1"/>
  <c r="J154" i="1"/>
  <c r="J130" i="1"/>
  <c r="J171" i="1"/>
  <c r="J185" i="1"/>
  <c r="J169" i="1"/>
  <c r="J194" i="1"/>
  <c r="J195" i="1"/>
  <c r="J136" i="1"/>
  <c r="J151" i="1"/>
  <c r="J156" i="1"/>
  <c r="J190" i="1"/>
  <c r="J161" i="1"/>
  <c r="J146" i="1"/>
  <c r="J125" i="1"/>
  <c r="J129" i="1"/>
  <c r="J180" i="1"/>
  <c r="J158" i="1"/>
  <c r="J177" i="1"/>
  <c r="J174" i="1"/>
  <c r="J170" i="1"/>
  <c r="J143" i="1"/>
  <c r="J184" i="1"/>
  <c r="J111" i="1"/>
  <c r="J134" i="1"/>
  <c r="J163" i="1"/>
  <c r="J147" i="1"/>
  <c r="J186" i="1"/>
  <c r="J196" i="1"/>
  <c r="J191" i="1"/>
  <c r="J178" i="1"/>
  <c r="J183" i="1"/>
  <c r="J220" i="1"/>
  <c r="J207" i="1"/>
  <c r="J124" i="1"/>
  <c r="J218" i="1"/>
  <c r="J247" i="1"/>
  <c r="J162" i="1"/>
  <c r="J172" i="1"/>
  <c r="J173" i="1"/>
  <c r="J157" i="1"/>
  <c r="J192" i="1"/>
  <c r="J187" i="1"/>
  <c r="J198" i="1"/>
  <c r="J182" i="1"/>
  <c r="J188" i="1"/>
  <c r="J159" i="1"/>
  <c r="J212" i="1"/>
  <c r="J244" i="1"/>
  <c r="J231" i="1"/>
  <c r="J210" i="1"/>
  <c r="J181" i="1"/>
  <c r="J238" i="1"/>
  <c r="J211" i="1"/>
  <c r="J160" i="1"/>
  <c r="J168" i="1"/>
  <c r="J205" i="1"/>
  <c r="J176" i="1"/>
  <c r="J215" i="1"/>
  <c r="J230" i="1"/>
  <c r="J219" i="1"/>
  <c r="J229" i="1"/>
  <c r="J267" i="1"/>
  <c r="J221" i="1"/>
  <c r="J243" i="1"/>
  <c r="J208" i="1"/>
  <c r="J240" i="1"/>
  <c r="J200" i="1"/>
  <c r="J204" i="1"/>
  <c r="J214" i="1"/>
  <c r="J224" i="1"/>
  <c r="J175" i="1"/>
  <c r="J263" i="1"/>
  <c r="J199" i="1"/>
  <c r="J282" i="1"/>
  <c r="J202" i="1"/>
  <c r="J189" i="1"/>
  <c r="J209" i="1"/>
  <c r="J225" i="1"/>
  <c r="J241" i="1"/>
  <c r="J250" i="1"/>
  <c r="J242" i="1"/>
  <c r="J228" i="1"/>
  <c r="J226" i="1"/>
  <c r="J216" i="1"/>
  <c r="J179" i="1"/>
  <c r="J222" i="1"/>
  <c r="J237" i="1"/>
  <c r="J213" i="1"/>
  <c r="J252" i="1"/>
  <c r="J217" i="1"/>
  <c r="J235" i="1"/>
  <c r="J258" i="1"/>
  <c r="J236" i="1"/>
  <c r="J275" i="1"/>
  <c r="J259" i="1"/>
  <c r="J286" i="1"/>
  <c r="J257" i="1"/>
  <c r="J203" i="1"/>
  <c r="J255" i="1"/>
  <c r="J227" i="1"/>
  <c r="J223" i="1"/>
  <c r="J248" i="1"/>
  <c r="J234" i="1"/>
  <c r="J269" i="1"/>
  <c r="J268" i="1"/>
  <c r="J281" i="1"/>
  <c r="J245" i="1"/>
  <c r="J249" i="1"/>
  <c r="J233" i="1"/>
  <c r="J273" i="1"/>
  <c r="J246" i="1"/>
  <c r="J264" i="1"/>
  <c r="J266" i="1"/>
  <c r="J253" i="1"/>
  <c r="J197" i="1"/>
  <c r="J262" i="1"/>
  <c r="J274" i="1"/>
  <c r="J277" i="1"/>
  <c r="J256" i="1"/>
  <c r="J270" i="1"/>
  <c r="J251" i="1"/>
  <c r="J280" i="1"/>
  <c r="J292" i="1"/>
  <c r="J278" i="1"/>
  <c r="J279" i="1"/>
  <c r="J272" i="1"/>
  <c r="J276" i="1"/>
  <c r="J288" i="1"/>
  <c r="J290" i="1"/>
  <c r="J271" i="1"/>
  <c r="J285" i="1"/>
  <c r="J283" i="1"/>
  <c r="J265" i="1"/>
  <c r="J294" i="1"/>
  <c r="J254" i="1"/>
  <c r="J287" i="1"/>
  <c r="J289" i="1"/>
  <c r="J284" i="1"/>
  <c r="J295" i="1"/>
  <c r="J298" i="1"/>
  <c r="J297" i="1"/>
  <c r="J291" i="1"/>
  <c r="J293" i="1"/>
  <c r="J296" i="1"/>
  <c r="J301" i="1"/>
  <c r="J300" i="1"/>
  <c r="J299" i="1"/>
  <c r="J7" i="1"/>
  <c r="T114" i="5" a="1"/>
  <c r="T114" i="5" s="1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AJ20" i="6"/>
  <c r="C20" i="6"/>
  <c r="AJ19" i="6"/>
  <c r="C19" i="6"/>
  <c r="AJ18" i="6"/>
  <c r="C18" i="6"/>
  <c r="AJ17" i="6"/>
  <c r="C17" i="6"/>
  <c r="AJ16" i="6"/>
  <c r="C16" i="6"/>
  <c r="AJ15" i="6"/>
  <c r="C15" i="6"/>
  <c r="AJ14" i="6"/>
  <c r="C14" i="6"/>
  <c r="AJ13" i="6"/>
  <c r="C13" i="6"/>
  <c r="AJ12" i="6"/>
  <c r="C12" i="6"/>
  <c r="AJ11" i="6"/>
  <c r="C11" i="6"/>
  <c r="AJ10" i="6"/>
  <c r="C10" i="6"/>
  <c r="AJ9" i="6"/>
  <c r="C9" i="6"/>
  <c r="AJ8" i="6"/>
  <c r="C8" i="6"/>
  <c r="C7" i="6"/>
  <c r="C6" i="6"/>
  <c r="C5" i="6"/>
  <c r="AT4" i="6"/>
  <c r="AS4" i="6"/>
  <c r="AR4" i="6"/>
  <c r="AQ4" i="6"/>
  <c r="AP4" i="6"/>
  <c r="AO4" i="6"/>
  <c r="AN4" i="6"/>
  <c r="AM4" i="6"/>
  <c r="AL4" i="6"/>
  <c r="AK4" i="6"/>
  <c r="AJ4" i="6"/>
  <c r="AI4" i="6"/>
  <c r="C4" i="6"/>
  <c r="S338" i="5"/>
  <c r="R338" i="5"/>
  <c r="Q338" i="5"/>
  <c r="P338" i="5"/>
  <c r="O338" i="5"/>
  <c r="N338" i="5"/>
  <c r="M338" i="5"/>
  <c r="L338" i="5"/>
  <c r="K338" i="5"/>
  <c r="J338" i="5"/>
  <c r="I338" i="5"/>
  <c r="H338" i="5"/>
  <c r="G338" i="5"/>
  <c r="F338" i="5"/>
  <c r="S337" i="5"/>
  <c r="R337" i="5"/>
  <c r="Q337" i="5"/>
  <c r="P337" i="5"/>
  <c r="O337" i="5"/>
  <c r="N337" i="5"/>
  <c r="M337" i="5"/>
  <c r="L337" i="5"/>
  <c r="K337" i="5"/>
  <c r="J337" i="5"/>
  <c r="I337" i="5"/>
  <c r="H337" i="5"/>
  <c r="G337" i="5"/>
  <c r="F337" i="5"/>
  <c r="T335" i="5"/>
  <c r="T335" i="5" a="1"/>
  <c r="T333" i="5" a="1"/>
  <c r="T333" i="5" s="1"/>
  <c r="T332" i="5" a="1"/>
  <c r="T332" i="5" s="1"/>
  <c r="T331" i="5"/>
  <c r="T331" i="5" a="1"/>
  <c r="T330" i="5" a="1"/>
  <c r="T330" i="5" s="1"/>
  <c r="T329" i="5" a="1"/>
  <c r="T329" i="5" s="1"/>
  <c r="T328" i="5" a="1"/>
  <c r="T328" i="5" s="1"/>
  <c r="T327" i="5"/>
  <c r="T327" i="5" a="1"/>
  <c r="T326" i="5" a="1"/>
  <c r="T326" i="5" s="1"/>
  <c r="T325" i="5" a="1"/>
  <c r="T325" i="5" s="1"/>
  <c r="T324" i="5" a="1"/>
  <c r="T324" i="5" s="1"/>
  <c r="T323" i="5"/>
  <c r="T323" i="5" a="1"/>
  <c r="T322" i="5" a="1"/>
  <c r="T322" i="5" s="1"/>
  <c r="T321" i="5" a="1"/>
  <c r="T321" i="5" s="1"/>
  <c r="T320" i="5" a="1"/>
  <c r="T320" i="5" s="1"/>
  <c r="T319" i="5"/>
  <c r="T319" i="5" a="1"/>
  <c r="T318" i="5" a="1"/>
  <c r="T318" i="5" s="1"/>
  <c r="T317" i="5" a="1"/>
  <c r="T317" i="5" s="1"/>
  <c r="T316" i="5" a="1"/>
  <c r="T316" i="5" s="1"/>
  <c r="T315" i="5"/>
  <c r="T315" i="5" a="1"/>
  <c r="T314" i="5" a="1"/>
  <c r="T314" i="5" s="1"/>
  <c r="T313" i="5" a="1"/>
  <c r="T313" i="5" s="1"/>
  <c r="T312" i="5" a="1"/>
  <c r="T312" i="5" s="1"/>
  <c r="T311" i="5"/>
  <c r="T311" i="5" a="1"/>
  <c r="T310" i="5" a="1"/>
  <c r="T310" i="5" s="1"/>
  <c r="T309" i="5" a="1"/>
  <c r="T309" i="5" s="1"/>
  <c r="T308" i="5" a="1"/>
  <c r="T308" i="5" s="1"/>
  <c r="T306" i="5" a="1"/>
  <c r="T306" i="5" s="1"/>
  <c r="T305" i="5" a="1"/>
  <c r="T305" i="5" s="1"/>
  <c r="T304" i="5" a="1"/>
  <c r="T304" i="5" s="1"/>
  <c r="T303" i="5"/>
  <c r="T303" i="5" a="1"/>
  <c r="T302" i="5" a="1"/>
  <c r="T302" i="5" s="1"/>
  <c r="T301" i="5" a="1"/>
  <c r="T301" i="5" s="1"/>
  <c r="T300" i="5" a="1"/>
  <c r="T300" i="5" s="1"/>
  <c r="T299" i="5"/>
  <c r="T299" i="5" a="1"/>
  <c r="T298" i="5" a="1"/>
  <c r="T298" i="5" s="1"/>
  <c r="T297" i="5" a="1"/>
  <c r="T297" i="5" s="1"/>
  <c r="T295" i="5"/>
  <c r="T295" i="5" a="1"/>
  <c r="T294" i="5" a="1"/>
  <c r="T294" i="5" s="1"/>
  <c r="T293" i="5" a="1"/>
  <c r="T293" i="5" s="1"/>
  <c r="T292" i="5" a="1"/>
  <c r="T292" i="5" s="1"/>
  <c r="T291" i="5"/>
  <c r="T291" i="5" a="1"/>
  <c r="T290" i="5" a="1"/>
  <c r="T290" i="5" s="1"/>
  <c r="T289" i="5" a="1"/>
  <c r="T289" i="5" s="1"/>
  <c r="T288" i="5" a="1"/>
  <c r="T288" i="5" s="1"/>
  <c r="T287" i="5"/>
  <c r="T287" i="5" a="1"/>
  <c r="T286" i="5" a="1"/>
  <c r="T286" i="5" s="1"/>
  <c r="T285" i="5" a="1"/>
  <c r="T285" i="5" s="1"/>
  <c r="T284" i="5" a="1"/>
  <c r="T284" i="5" s="1"/>
  <c r="T283" i="5"/>
  <c r="T283" i="5" a="1"/>
  <c r="T282" i="5" a="1"/>
  <c r="T282" i="5" s="1"/>
  <c r="T281" i="5" a="1"/>
  <c r="T281" i="5" s="1"/>
  <c r="T280" i="5" a="1"/>
  <c r="T280" i="5" s="1"/>
  <c r="T279" i="5"/>
  <c r="T279" i="5" a="1"/>
  <c r="T278" i="5" a="1"/>
  <c r="T278" i="5" s="1"/>
  <c r="T277" i="5" a="1"/>
  <c r="T277" i="5" s="1"/>
  <c r="T276" i="5" a="1"/>
  <c r="T276" i="5" s="1"/>
  <c r="T275" i="5"/>
  <c r="T275" i="5" a="1"/>
  <c r="T274" i="5" a="1"/>
  <c r="T274" i="5" s="1"/>
  <c r="T273" i="5" a="1"/>
  <c r="T273" i="5" s="1"/>
  <c r="T272" i="5" a="1"/>
  <c r="T272" i="5" s="1"/>
  <c r="T271" i="5"/>
  <c r="T271" i="5" a="1"/>
  <c r="T270" i="5" a="1"/>
  <c r="T270" i="5" s="1"/>
  <c r="T269" i="5" a="1"/>
  <c r="T269" i="5" s="1"/>
  <c r="T268" i="5" a="1"/>
  <c r="T268" i="5" s="1"/>
  <c r="T267" i="5"/>
  <c r="T267" i="5" a="1"/>
  <c r="T266" i="5" a="1"/>
  <c r="T266" i="5" s="1"/>
  <c r="T265" i="5" a="1"/>
  <c r="T265" i="5" s="1"/>
  <c r="T264" i="5" a="1"/>
  <c r="T264" i="5" s="1"/>
  <c r="T263" i="5"/>
  <c r="T263" i="5" a="1"/>
  <c r="T262" i="5" a="1"/>
  <c r="T262" i="5" s="1"/>
  <c r="T261" i="5" a="1"/>
  <c r="T261" i="5" s="1"/>
  <c r="T260" i="5" a="1"/>
  <c r="T260" i="5" s="1"/>
  <c r="T259" i="5"/>
  <c r="T259" i="5" a="1"/>
  <c r="T258" i="5" a="1"/>
  <c r="T258" i="5" s="1"/>
  <c r="T257" i="5" a="1"/>
  <c r="T257" i="5" s="1"/>
  <c r="T256" i="5" a="1"/>
  <c r="T256" i="5" s="1"/>
  <c r="T255" i="5"/>
  <c r="T255" i="5" a="1"/>
  <c r="T254" i="5" a="1"/>
  <c r="T254" i="5" s="1"/>
  <c r="T253" i="5" a="1"/>
  <c r="T253" i="5" s="1"/>
  <c r="T252" i="5" a="1"/>
  <c r="T252" i="5" s="1"/>
  <c r="T251" i="5"/>
  <c r="T251" i="5" a="1"/>
  <c r="T249" i="5" a="1"/>
  <c r="T249" i="5" s="1"/>
  <c r="T248" i="5" a="1"/>
  <c r="T248" i="5" s="1"/>
  <c r="T247" i="5"/>
  <c r="T247" i="5" a="1"/>
  <c r="T246" i="5" a="1"/>
  <c r="T246" i="5" s="1"/>
  <c r="T245" i="5" a="1"/>
  <c r="T245" i="5" s="1"/>
  <c r="T244" i="5" a="1"/>
  <c r="T244" i="5" s="1"/>
  <c r="T243" i="5"/>
  <c r="T243" i="5" a="1"/>
  <c r="T242" i="5" a="1"/>
  <c r="T242" i="5" s="1"/>
  <c r="T241" i="5" a="1"/>
  <c r="T241" i="5" s="1"/>
  <c r="T240" i="5" a="1"/>
  <c r="T240" i="5" s="1"/>
  <c r="T239" i="5"/>
  <c r="T239" i="5" a="1"/>
  <c r="T238" i="5" a="1"/>
  <c r="T238" i="5" s="1"/>
  <c r="T237" i="5" a="1"/>
  <c r="T237" i="5" s="1"/>
  <c r="T236" i="5" a="1"/>
  <c r="T236" i="5" s="1"/>
  <c r="T235" i="5"/>
  <c r="T235" i="5" a="1"/>
  <c r="T234" i="5" a="1"/>
  <c r="T234" i="5" s="1"/>
  <c r="T233" i="5" a="1"/>
  <c r="T233" i="5" s="1"/>
  <c r="T232" i="5" a="1"/>
  <c r="T232" i="5" s="1"/>
  <c r="T231" i="5"/>
  <c r="T231" i="5" a="1"/>
  <c r="T230" i="5" a="1"/>
  <c r="T230" i="5" s="1"/>
  <c r="T229" i="5" a="1"/>
  <c r="T229" i="5" s="1"/>
  <c r="T228" i="5" a="1"/>
  <c r="T228" i="5" s="1"/>
  <c r="T227" i="5"/>
  <c r="T227" i="5" a="1"/>
  <c r="T226" i="5" a="1"/>
  <c r="T226" i="5" s="1"/>
  <c r="T225" i="5" a="1"/>
  <c r="T225" i="5" s="1"/>
  <c r="T223" i="5"/>
  <c r="T223" i="5" a="1"/>
  <c r="T222" i="5" a="1"/>
  <c r="T222" i="5" s="1"/>
  <c r="T221" i="5" a="1"/>
  <c r="T221" i="5" s="1"/>
  <c r="T220" i="5" a="1"/>
  <c r="T220" i="5" s="1"/>
  <c r="T219" i="5"/>
  <c r="T219" i="5" a="1"/>
  <c r="T218" i="5" a="1"/>
  <c r="T218" i="5" s="1"/>
  <c r="T217" i="5" a="1"/>
  <c r="T217" i="5" s="1"/>
  <c r="T215" i="5"/>
  <c r="T215" i="5" a="1"/>
  <c r="T214" i="5" a="1"/>
  <c r="T214" i="5" s="1"/>
  <c r="T213" i="5" a="1"/>
  <c r="T213" i="5" s="1"/>
  <c r="T212" i="5" a="1"/>
  <c r="T212" i="5" s="1"/>
  <c r="T211" i="5"/>
  <c r="T211" i="5" a="1"/>
  <c r="T209" i="5" a="1"/>
  <c r="T209" i="5" s="1"/>
  <c r="T208" i="5" a="1"/>
  <c r="T208" i="5" s="1"/>
  <c r="T207" i="5"/>
  <c r="T207" i="5" a="1"/>
  <c r="T206" i="5" a="1"/>
  <c r="T206" i="5" s="1"/>
  <c r="T205" i="5" a="1"/>
  <c r="T205" i="5" s="1"/>
  <c r="T204" i="5" a="1"/>
  <c r="T204" i="5" s="1"/>
  <c r="T203" i="5"/>
  <c r="T203" i="5" a="1"/>
  <c r="T201" i="5" a="1"/>
  <c r="T201" i="5" s="1"/>
  <c r="T200" i="5" a="1"/>
  <c r="T200" i="5" s="1"/>
  <c r="T199" i="5"/>
  <c r="T199" i="5" a="1"/>
  <c r="T198" i="5" a="1"/>
  <c r="T198" i="5" s="1"/>
  <c r="T197" i="5" a="1"/>
  <c r="T197" i="5" s="1"/>
  <c r="T196" i="5" a="1"/>
  <c r="T196" i="5" s="1"/>
  <c r="T195" i="5"/>
  <c r="T195" i="5" a="1"/>
  <c r="T194" i="5" a="1"/>
  <c r="T194" i="5" s="1"/>
  <c r="T193" i="5" a="1"/>
  <c r="T193" i="5" s="1"/>
  <c r="T192" i="5" a="1"/>
  <c r="T192" i="5" s="1"/>
  <c r="T191" i="5"/>
  <c r="T191" i="5" a="1"/>
  <c r="T190" i="5" a="1"/>
  <c r="T190" i="5" s="1"/>
  <c r="T189" i="5" a="1"/>
  <c r="T189" i="5" s="1"/>
  <c r="T188" i="5" a="1"/>
  <c r="T188" i="5" s="1"/>
  <c r="T187" i="5"/>
  <c r="T187" i="5" a="1"/>
  <c r="T186" i="5" a="1"/>
  <c r="T186" i="5" s="1"/>
  <c r="T185" i="5" a="1"/>
  <c r="T185" i="5" s="1"/>
  <c r="T184" i="5" a="1"/>
  <c r="T184" i="5" s="1"/>
  <c r="T183" i="5"/>
  <c r="T183" i="5" a="1"/>
  <c r="T182" i="5" a="1"/>
  <c r="T182" i="5" s="1"/>
  <c r="T181" i="5" a="1"/>
  <c r="T181" i="5" s="1"/>
  <c r="T180" i="5" a="1"/>
  <c r="T180" i="5" s="1"/>
  <c r="T179" i="5"/>
  <c r="T179" i="5" a="1"/>
  <c r="T178" i="5" a="1"/>
  <c r="T178" i="5" s="1"/>
  <c r="T177" i="5" a="1"/>
  <c r="T177" i="5" s="1"/>
  <c r="T175" i="5"/>
  <c r="T175" i="5" a="1"/>
  <c r="T174" i="5" a="1"/>
  <c r="T174" i="5" s="1"/>
  <c r="T173" i="5" a="1"/>
  <c r="T173" i="5" s="1"/>
  <c r="T172" i="5" a="1"/>
  <c r="T172" i="5" s="1"/>
  <c r="T171" i="5"/>
  <c r="T171" i="5" a="1"/>
  <c r="T170" i="5" a="1"/>
  <c r="T170" i="5" s="1"/>
  <c r="T169" i="5" a="1"/>
  <c r="T169" i="5" s="1"/>
  <c r="T168" i="5" a="1"/>
  <c r="T168" i="5" s="1"/>
  <c r="T167" i="5"/>
  <c r="T167" i="5" a="1"/>
  <c r="T166" i="5" a="1"/>
  <c r="T166" i="5" s="1"/>
  <c r="T164" i="5" a="1"/>
  <c r="T164" i="5" s="1"/>
  <c r="T163" i="5"/>
  <c r="T163" i="5" a="1"/>
  <c r="T162" i="5" a="1"/>
  <c r="T162" i="5" s="1"/>
  <c r="T161" i="5" a="1"/>
  <c r="T161" i="5" s="1"/>
  <c r="T160" i="5" a="1"/>
  <c r="T160" i="5" s="1"/>
  <c r="T159" i="5"/>
  <c r="T159" i="5" a="1"/>
  <c r="T158" i="5" a="1"/>
  <c r="T158" i="5" s="1"/>
  <c r="T157" i="5" a="1"/>
  <c r="T157" i="5" s="1"/>
  <c r="T156" i="5" a="1"/>
  <c r="T156" i="5" s="1"/>
  <c r="T155" i="5"/>
  <c r="T155" i="5" a="1"/>
  <c r="T154" i="5" a="1"/>
  <c r="T154" i="5" s="1"/>
  <c r="T153" i="5" a="1"/>
  <c r="T153" i="5" s="1"/>
  <c r="T152" i="5" a="1"/>
  <c r="T152" i="5" s="1"/>
  <c r="T151" i="5"/>
  <c r="T151" i="5" a="1"/>
  <c r="T150" i="5" a="1"/>
  <c r="T150" i="5" s="1"/>
  <c r="T149" i="5" a="1"/>
  <c r="T149" i="5" s="1"/>
  <c r="T148" i="5" a="1"/>
  <c r="T148" i="5" s="1"/>
  <c r="T147" i="5"/>
  <c r="T147" i="5" a="1"/>
  <c r="T146" i="5" a="1"/>
  <c r="T146" i="5" s="1"/>
  <c r="T145" i="5" a="1"/>
  <c r="T145" i="5" s="1"/>
  <c r="T144" i="5" a="1"/>
  <c r="T144" i="5" s="1"/>
  <c r="T143" i="5"/>
  <c r="T143" i="5" a="1"/>
  <c r="T142" i="5" a="1"/>
  <c r="T142" i="5" s="1"/>
  <c r="T141" i="5" a="1"/>
  <c r="T141" i="5" s="1"/>
  <c r="T140" i="5" a="1"/>
  <c r="T140" i="5" s="1"/>
  <c r="T139" i="5"/>
  <c r="T139" i="5" a="1"/>
  <c r="T138" i="5" a="1"/>
  <c r="T138" i="5" s="1"/>
  <c r="T137" i="5" a="1"/>
  <c r="T137" i="5" s="1"/>
  <c r="T136" i="5" a="1"/>
  <c r="T136" i="5" s="1"/>
  <c r="T135" i="5"/>
  <c r="T135" i="5" a="1"/>
  <c r="T134" i="5" a="1"/>
  <c r="T134" i="5" s="1"/>
  <c r="T133" i="5" a="1"/>
  <c r="T133" i="5" s="1"/>
  <c r="T132" i="5" a="1"/>
  <c r="T132" i="5" s="1"/>
  <c r="T131" i="5"/>
  <c r="T131" i="5" a="1"/>
  <c r="T130" i="5" a="1"/>
  <c r="T130" i="5" s="1"/>
  <c r="T129" i="5" a="1"/>
  <c r="T129" i="5" s="1"/>
  <c r="T128" i="5" a="1"/>
  <c r="T128" i="5" s="1"/>
  <c r="T126" i="5" a="1"/>
  <c r="T126" i="5" s="1"/>
  <c r="T125" i="5" a="1"/>
  <c r="T125" i="5" s="1"/>
  <c r="T124" i="5" a="1"/>
  <c r="T124" i="5" s="1"/>
  <c r="T123" i="5"/>
  <c r="T123" i="5" a="1"/>
  <c r="T122" i="5" a="1"/>
  <c r="T122" i="5" s="1"/>
  <c r="T120" i="5" a="1"/>
  <c r="T120" i="5" s="1"/>
  <c r="T119" i="5"/>
  <c r="T119" i="5" a="1"/>
  <c r="T118" i="5" a="1"/>
  <c r="T118" i="5" s="1"/>
  <c r="T116" i="5" a="1"/>
  <c r="T116" i="5" s="1"/>
  <c r="T115" i="5"/>
  <c r="T115" i="5" a="1"/>
  <c r="T112" i="5" a="1"/>
  <c r="T112" i="5" s="1"/>
  <c r="T111" i="5"/>
  <c r="T111" i="5" a="1"/>
  <c r="T110" i="5" a="1"/>
  <c r="T110" i="5" s="1"/>
  <c r="T109" i="5" a="1"/>
  <c r="T109" i="5" s="1"/>
  <c r="T108" i="5" a="1"/>
  <c r="T108" i="5" s="1"/>
  <c r="T107" i="5"/>
  <c r="T107" i="5" a="1"/>
  <c r="T106" i="5" a="1"/>
  <c r="T106" i="5" s="1"/>
  <c r="T104" i="5" a="1"/>
  <c r="T104" i="5" s="1"/>
  <c r="T103" i="5"/>
  <c r="T103" i="5" a="1"/>
  <c r="T102" i="5" a="1"/>
  <c r="T102" i="5" s="1"/>
  <c r="T101" i="5" a="1"/>
  <c r="T101" i="5" s="1"/>
  <c r="T100" i="5" a="1"/>
  <c r="T100" i="5" s="1"/>
  <c r="T98" i="5" a="1"/>
  <c r="T98" i="5" s="1"/>
  <c r="T97" i="5" a="1"/>
  <c r="T97" i="5" s="1"/>
  <c r="T96" i="5" a="1"/>
  <c r="T96" i="5" s="1"/>
  <c r="T95" i="5"/>
  <c r="T95" i="5" a="1"/>
  <c r="T94" i="5" a="1"/>
  <c r="T94" i="5" s="1"/>
  <c r="T93" i="5" a="1"/>
  <c r="T93" i="5" s="1"/>
  <c r="T92" i="5" a="1"/>
  <c r="T92" i="5" s="1"/>
  <c r="T91" i="5"/>
  <c r="T91" i="5" a="1"/>
  <c r="T90" i="5" a="1"/>
  <c r="T90" i="5" s="1"/>
  <c r="T89" i="5" a="1"/>
  <c r="T89" i="5" s="1"/>
  <c r="T88" i="5" a="1"/>
  <c r="T88" i="5" s="1"/>
  <c r="T87" i="5"/>
  <c r="T87" i="5" a="1"/>
  <c r="T85" i="5" a="1"/>
  <c r="T85" i="5" s="1"/>
  <c r="T84" i="5" a="1"/>
  <c r="T84" i="5" s="1"/>
  <c r="T83" i="5"/>
  <c r="T83" i="5" a="1"/>
  <c r="T82" i="5" a="1"/>
  <c r="T82" i="5" s="1"/>
  <c r="T81" i="5" a="1"/>
  <c r="T81" i="5" s="1"/>
  <c r="T80" i="5" a="1"/>
  <c r="T80" i="5" s="1"/>
  <c r="T77" i="5" a="1"/>
  <c r="T77" i="5" s="1"/>
  <c r="T76" i="5" a="1"/>
  <c r="T76" i="5" s="1"/>
  <c r="T74" i="5" a="1"/>
  <c r="T74" i="5" s="1"/>
  <c r="T73" i="5" a="1"/>
  <c r="T73" i="5" s="1"/>
  <c r="T71" i="5"/>
  <c r="T71" i="5" a="1"/>
  <c r="T69" i="5" a="1"/>
  <c r="T69" i="5" s="1"/>
  <c r="T67" i="5"/>
  <c r="T67" i="5" a="1"/>
  <c r="T66" i="5" a="1"/>
  <c r="T66" i="5" s="1"/>
  <c r="T65" i="5" a="1"/>
  <c r="T65" i="5" s="1"/>
  <c r="T64" i="5" a="1"/>
  <c r="T64" i="5" s="1"/>
  <c r="T63" i="5"/>
  <c r="T63" i="5" a="1"/>
  <c r="T62" i="5" a="1"/>
  <c r="T62" i="5" s="1"/>
  <c r="T60" i="5" a="1"/>
  <c r="T60" i="5" s="1"/>
  <c r="T59" i="5"/>
  <c r="T59" i="5" a="1"/>
  <c r="T58" i="5" a="1"/>
  <c r="T58" i="5" s="1"/>
  <c r="T57" i="5" a="1"/>
  <c r="T57" i="5" s="1"/>
  <c r="T56" i="5" a="1"/>
  <c r="T56" i="5" s="1"/>
  <c r="T55" i="5"/>
  <c r="T55" i="5" a="1"/>
  <c r="T53" i="5" a="1"/>
  <c r="T53" i="5" s="1"/>
  <c r="T52" i="5" a="1"/>
  <c r="T52" i="5" s="1"/>
  <c r="T51" i="5"/>
  <c r="T51" i="5" a="1"/>
  <c r="T50" i="5" a="1"/>
  <c r="T50" i="5" s="1"/>
  <c r="T49" i="5" a="1"/>
  <c r="T49" i="5" s="1"/>
  <c r="T48" i="5" a="1"/>
  <c r="T48" i="5" s="1"/>
  <c r="T47" i="5"/>
  <c r="T47" i="5" a="1"/>
  <c r="T46" i="5" a="1"/>
  <c r="T46" i="5" s="1"/>
  <c r="T45" i="5" a="1"/>
  <c r="T45" i="5" s="1"/>
  <c r="T44" i="5" a="1"/>
  <c r="T44" i="5" s="1"/>
  <c r="T43" i="5"/>
  <c r="T43" i="5" a="1"/>
  <c r="T42" i="5" a="1"/>
  <c r="T42" i="5" s="1"/>
  <c r="T41" i="5" a="1"/>
  <c r="T41" i="5" s="1"/>
  <c r="T40" i="5" a="1"/>
  <c r="T40" i="5" s="1"/>
  <c r="T39" i="5"/>
  <c r="T39" i="5" a="1"/>
  <c r="T38" i="5" a="1"/>
  <c r="T38" i="5" s="1"/>
  <c r="T37" i="5" a="1"/>
  <c r="T37" i="5" s="1"/>
  <c r="T36" i="5" a="1"/>
  <c r="T36" i="5" s="1"/>
  <c r="T35" i="5"/>
  <c r="T35" i="5" a="1"/>
  <c r="T34" i="5" a="1"/>
  <c r="T34" i="5" s="1"/>
  <c r="T33" i="5" a="1"/>
  <c r="T33" i="5" s="1"/>
  <c r="T32" i="5" a="1"/>
  <c r="T32" i="5" s="1"/>
  <c r="T31" i="5"/>
  <c r="T31" i="5" a="1"/>
  <c r="T30" i="5" a="1"/>
  <c r="T30" i="5" s="1"/>
  <c r="T29" i="5" a="1"/>
  <c r="T29" i="5" s="1"/>
  <c r="T28" i="5" a="1"/>
  <c r="T28" i="5" s="1"/>
  <c r="T26" i="5" a="1"/>
  <c r="T26" i="5" s="1"/>
  <c r="T24" i="5" a="1"/>
  <c r="T24" i="5" s="1"/>
  <c r="T23" i="5"/>
  <c r="T23" i="5" a="1"/>
  <c r="T22" i="5" a="1"/>
  <c r="T22" i="5" s="1"/>
  <c r="T20" i="5" a="1"/>
  <c r="T20" i="5" s="1"/>
  <c r="T19" i="5"/>
  <c r="T19" i="5" a="1"/>
  <c r="T18" i="5" a="1"/>
  <c r="T18" i="5" s="1"/>
  <c r="T17" i="5" a="1"/>
  <c r="T17" i="5" s="1"/>
  <c r="T16" i="5" a="1"/>
  <c r="T16" i="5" s="1"/>
  <c r="T15" i="5"/>
  <c r="T15" i="5" a="1"/>
  <c r="T14" i="5" a="1"/>
  <c r="T14" i="5" s="1"/>
  <c r="T13" i="5" a="1"/>
  <c r="T13" i="5" s="1"/>
  <c r="T12" i="5" a="1"/>
  <c r="T12" i="5" s="1"/>
  <c r="T11" i="5"/>
  <c r="T11" i="5" a="1"/>
  <c r="T10" i="5" a="1"/>
  <c r="T10" i="5" s="1"/>
  <c r="T9" i="5" a="1"/>
  <c r="T9" i="5" s="1"/>
  <c r="T7" i="5"/>
  <c r="T7" i="5" a="1"/>
  <c r="T6" i="5" a="1"/>
  <c r="T6" i="5" s="1"/>
  <c r="T5" i="5" a="1"/>
  <c r="T5" i="5" s="1"/>
  <c r="T4" i="5" a="1"/>
  <c r="T4" i="5" s="1"/>
  <c r="T3" i="5"/>
  <c r="T3" i="5" a="1"/>
  <c r="O8" i="1" l="1"/>
  <c r="O15" i="1"/>
  <c r="O13" i="1"/>
  <c r="O260" i="1"/>
  <c r="O288" i="1"/>
  <c r="O9" i="1"/>
  <c r="T338" i="5"/>
  <c r="T337" i="5"/>
  <c r="I330" i="4"/>
  <c r="I329" i="4"/>
  <c r="I328" i="4"/>
  <c r="I327" i="4"/>
  <c r="I326" i="4"/>
  <c r="K268" i="1" s="1"/>
  <c r="O268" i="1" s="1"/>
  <c r="I325" i="4"/>
  <c r="I324" i="4"/>
  <c r="K295" i="1" s="1"/>
  <c r="O295" i="1" s="1"/>
  <c r="I323" i="4"/>
  <c r="K239" i="1" s="1"/>
  <c r="O239" i="1" s="1"/>
  <c r="I322" i="4"/>
  <c r="K297" i="1" s="1"/>
  <c r="O297" i="1" s="1"/>
  <c r="I321" i="4"/>
  <c r="K286" i="1" s="1"/>
  <c r="O286" i="1" s="1"/>
  <c r="I320" i="4"/>
  <c r="K282" i="1" s="1"/>
  <c r="O282" i="1" s="1"/>
  <c r="I319" i="4"/>
  <c r="K294" i="1" s="1"/>
  <c r="O294" i="1" s="1"/>
  <c r="I318" i="4"/>
  <c r="K298" i="1" s="1"/>
  <c r="O298" i="1" s="1"/>
  <c r="I317" i="4"/>
  <c r="I316" i="4"/>
  <c r="K292" i="1" s="1"/>
  <c r="O292" i="1" s="1"/>
  <c r="I315" i="4"/>
  <c r="K261" i="1" s="1"/>
  <c r="O261" i="1" s="1"/>
  <c r="I314" i="4"/>
  <c r="K293" i="1" s="1"/>
  <c r="O293" i="1" s="1"/>
  <c r="I313" i="4"/>
  <c r="K300" i="1" s="1"/>
  <c r="O300" i="1" s="1"/>
  <c r="I312" i="4"/>
  <c r="K296" i="1" s="1"/>
  <c r="O296" i="1" s="1"/>
  <c r="I311" i="4"/>
  <c r="K244" i="1" s="1"/>
  <c r="O244" i="1" s="1"/>
  <c r="I310" i="4"/>
  <c r="K237" i="1" s="1"/>
  <c r="O237" i="1" s="1"/>
  <c r="I309" i="4"/>
  <c r="K193" i="1" s="1"/>
  <c r="O193" i="1" s="1"/>
  <c r="I308" i="4"/>
  <c r="I307" i="4"/>
  <c r="I306" i="4"/>
  <c r="K291" i="1" s="1"/>
  <c r="O291" i="1" s="1"/>
  <c r="I305" i="4"/>
  <c r="K248" i="1" s="1"/>
  <c r="O248" i="1" s="1"/>
  <c r="I304" i="4"/>
  <c r="K207" i="1" s="1"/>
  <c r="O207" i="1" s="1"/>
  <c r="I303" i="4"/>
  <c r="K279" i="1" s="1"/>
  <c r="O279" i="1" s="1"/>
  <c r="I302" i="4"/>
  <c r="I301" i="4"/>
  <c r="K259" i="1" s="1"/>
  <c r="O259" i="1" s="1"/>
  <c r="I300" i="4"/>
  <c r="K278" i="1" s="1"/>
  <c r="O278" i="1" s="1"/>
  <c r="I299" i="4"/>
  <c r="K273" i="1" s="1"/>
  <c r="O273" i="1" s="1"/>
  <c r="I298" i="4"/>
  <c r="K301" i="1" s="1"/>
  <c r="O301" i="1" s="1"/>
  <c r="I297" i="4"/>
  <c r="K269" i="1" s="1"/>
  <c r="O269" i="1" s="1"/>
  <c r="I296" i="4"/>
  <c r="K258" i="1" s="1"/>
  <c r="O258" i="1" s="1"/>
  <c r="I295" i="4"/>
  <c r="K247" i="1" s="1"/>
  <c r="O247" i="1" s="1"/>
  <c r="I294" i="4"/>
  <c r="K206" i="1" s="1"/>
  <c r="O206" i="1" s="1"/>
  <c r="I293" i="4"/>
  <c r="K265" i="1" s="1"/>
  <c r="O265" i="1" s="1"/>
  <c r="I292" i="4"/>
  <c r="K287" i="1" s="1"/>
  <c r="O287" i="1" s="1"/>
  <c r="I291" i="4"/>
  <c r="K280" i="1" s="1"/>
  <c r="O280" i="1" s="1"/>
  <c r="I290" i="4"/>
  <c r="K275" i="1" s="1"/>
  <c r="O275" i="1" s="1"/>
  <c r="I289" i="4"/>
  <c r="I288" i="4"/>
  <c r="K263" i="1" s="1"/>
  <c r="O263" i="1" s="1"/>
  <c r="I287" i="4"/>
  <c r="K229" i="1" s="1"/>
  <c r="O229" i="1" s="1"/>
  <c r="I286" i="4"/>
  <c r="K267" i="1" s="1"/>
  <c r="O267" i="1" s="1"/>
  <c r="I285" i="4"/>
  <c r="K238" i="1" s="1"/>
  <c r="O238" i="1" s="1"/>
  <c r="I284" i="4"/>
  <c r="I283" i="4"/>
  <c r="K250" i="1" s="1"/>
  <c r="O250" i="1" s="1"/>
  <c r="I282" i="4"/>
  <c r="K255" i="1" s="1"/>
  <c r="O255" i="1" s="1"/>
  <c r="I281" i="4"/>
  <c r="K153" i="1" s="1"/>
  <c r="O153" i="1" s="1"/>
  <c r="I280" i="4"/>
  <c r="K231" i="1" s="1"/>
  <c r="O231" i="1" s="1"/>
  <c r="I279" i="4"/>
  <c r="I278" i="4"/>
  <c r="K274" i="1" s="1"/>
  <c r="O274" i="1" s="1"/>
  <c r="I277" i="4"/>
  <c r="K299" i="1" s="1"/>
  <c r="O299" i="1" s="1"/>
  <c r="I276" i="4"/>
  <c r="K257" i="1" s="1"/>
  <c r="O257" i="1" s="1"/>
  <c r="I275" i="4"/>
  <c r="K283" i="1" s="1"/>
  <c r="O283" i="1" s="1"/>
  <c r="I274" i="4"/>
  <c r="K277" i="1" s="1"/>
  <c r="O277" i="1" s="1"/>
  <c r="I273" i="4"/>
  <c r="I272" i="4"/>
  <c r="K240" i="1" s="1"/>
  <c r="O240" i="1" s="1"/>
  <c r="I271" i="4"/>
  <c r="K220" i="1" s="1"/>
  <c r="O220" i="1" s="1"/>
  <c r="I270" i="4"/>
  <c r="K252" i="1" s="1"/>
  <c r="O252" i="1" s="1"/>
  <c r="I269" i="4"/>
  <c r="K285" i="1" s="1"/>
  <c r="O285" i="1" s="1"/>
  <c r="I268" i="4"/>
  <c r="K243" i="1" s="1"/>
  <c r="O243" i="1" s="1"/>
  <c r="I267" i="4"/>
  <c r="K262" i="1" s="1"/>
  <c r="O262" i="1" s="1"/>
  <c r="I266" i="4"/>
  <c r="K266" i="1" s="1"/>
  <c r="O266" i="1" s="1"/>
  <c r="I265" i="4"/>
  <c r="K166" i="1" s="1"/>
  <c r="O166" i="1" s="1"/>
  <c r="I264" i="4"/>
  <c r="I263" i="4"/>
  <c r="K213" i="1" s="1"/>
  <c r="O213" i="1" s="1"/>
  <c r="I262" i="4"/>
  <c r="K201" i="1" s="1"/>
  <c r="O201" i="1" s="1"/>
  <c r="I261" i="4"/>
  <c r="K225" i="1" s="1"/>
  <c r="O225" i="1" s="1"/>
  <c r="I260" i="4"/>
  <c r="K270" i="1" s="1"/>
  <c r="O270" i="1" s="1"/>
  <c r="I259" i="4"/>
  <c r="K185" i="1" s="1"/>
  <c r="O185" i="1" s="1"/>
  <c r="I258" i="4"/>
  <c r="K284" i="1" s="1"/>
  <c r="O284" i="1" s="1"/>
  <c r="I257" i="4"/>
  <c r="K196" i="1" s="1"/>
  <c r="O196" i="1" s="1"/>
  <c r="I256" i="4"/>
  <c r="K281" i="1" s="1"/>
  <c r="O281" i="1" s="1"/>
  <c r="I255" i="4"/>
  <c r="K230" i="1" s="1"/>
  <c r="O230" i="1" s="1"/>
  <c r="I254" i="4"/>
  <c r="K271" i="1" s="1"/>
  <c r="O271" i="1" s="1"/>
  <c r="I253" i="4"/>
  <c r="K215" i="1" s="1"/>
  <c r="O215" i="1" s="1"/>
  <c r="I252" i="4"/>
  <c r="K212" i="1" s="1"/>
  <c r="O212" i="1" s="1"/>
  <c r="I251" i="4"/>
  <c r="K152" i="1" s="1"/>
  <c r="O152" i="1" s="1"/>
  <c r="I250" i="4"/>
  <c r="I249" i="4"/>
  <c r="K249" i="1" s="1"/>
  <c r="O249" i="1" s="1"/>
  <c r="I248" i="4"/>
  <c r="K198" i="1" s="1"/>
  <c r="O198" i="1" s="1"/>
  <c r="I247" i="4"/>
  <c r="K211" i="1" s="1"/>
  <c r="O211" i="1" s="1"/>
  <c r="I246" i="4"/>
  <c r="K219" i="1" s="1"/>
  <c r="O219" i="1" s="1"/>
  <c r="I245" i="4"/>
  <c r="K217" i="1" s="1"/>
  <c r="O217" i="1" s="1"/>
  <c r="I244" i="4"/>
  <c r="K141" i="1" s="1"/>
  <c r="O141" i="1" s="1"/>
  <c r="I243" i="4"/>
  <c r="K190" i="1" s="1"/>
  <c r="O190" i="1" s="1"/>
  <c r="I242" i="4"/>
  <c r="K253" i="1" s="1"/>
  <c r="O253" i="1" s="1"/>
  <c r="I241" i="4"/>
  <c r="K256" i="1" s="1"/>
  <c r="O256" i="1" s="1"/>
  <c r="I240" i="4"/>
  <c r="K163" i="1" s="1"/>
  <c r="O163" i="1" s="1"/>
  <c r="I239" i="4"/>
  <c r="K195" i="1" s="1"/>
  <c r="O195" i="1" s="1"/>
  <c r="I238" i="4"/>
  <c r="K184" i="1" s="1"/>
  <c r="O184" i="1" s="1"/>
  <c r="I237" i="4"/>
  <c r="K194" i="1" s="1"/>
  <c r="O194" i="1" s="1"/>
  <c r="I236" i="4"/>
  <c r="K91" i="1" s="1"/>
  <c r="O91" i="1" s="1"/>
  <c r="I235" i="4"/>
  <c r="K235" i="1" s="1"/>
  <c r="O235" i="1" s="1"/>
  <c r="I234" i="4"/>
  <c r="K290" i="1" s="1"/>
  <c r="O290" i="1" s="1"/>
  <c r="I233" i="4"/>
  <c r="K200" i="1" s="1"/>
  <c r="O200" i="1" s="1"/>
  <c r="I232" i="4"/>
  <c r="K145" i="1" s="1"/>
  <c r="O145" i="1" s="1"/>
  <c r="I231" i="4"/>
  <c r="I230" i="4"/>
  <c r="K242" i="1" s="1"/>
  <c r="O242" i="1" s="1"/>
  <c r="I229" i="4"/>
  <c r="K226" i="1" s="1"/>
  <c r="O226" i="1" s="1"/>
  <c r="I228" i="4"/>
  <c r="K139" i="1" s="1"/>
  <c r="O139" i="1" s="1"/>
  <c r="I227" i="4"/>
  <c r="K109" i="1" s="1"/>
  <c r="O109" i="1" s="1"/>
  <c r="I226" i="4"/>
  <c r="K241" i="1" s="1"/>
  <c r="O241" i="1" s="1"/>
  <c r="I225" i="4"/>
  <c r="K276" i="1" s="1"/>
  <c r="O276" i="1" s="1"/>
  <c r="I224" i="4"/>
  <c r="K169" i="1" s="1"/>
  <c r="O169" i="1" s="1"/>
  <c r="I223" i="4"/>
  <c r="K177" i="1" s="1"/>
  <c r="O177" i="1" s="1"/>
  <c r="I222" i="4"/>
  <c r="K272" i="1" s="1"/>
  <c r="O272" i="1" s="1"/>
  <c r="I221" i="4"/>
  <c r="K202" i="1" s="1"/>
  <c r="O202" i="1" s="1"/>
  <c r="I220" i="4"/>
  <c r="I219" i="4"/>
  <c r="I218" i="4"/>
  <c r="K218" i="1" s="1"/>
  <c r="O218" i="1" s="1"/>
  <c r="I217" i="4"/>
  <c r="K167" i="1" s="1"/>
  <c r="O167" i="1" s="1"/>
  <c r="I216" i="4"/>
  <c r="K209" i="1" s="1"/>
  <c r="O209" i="1" s="1"/>
  <c r="I215" i="4"/>
  <c r="K186" i="1" s="1"/>
  <c r="O186" i="1" s="1"/>
  <c r="I214" i="4"/>
  <c r="K144" i="1" s="1"/>
  <c r="O144" i="1" s="1"/>
  <c r="I213" i="4"/>
  <c r="K221" i="1" s="1"/>
  <c r="O221" i="1" s="1"/>
  <c r="I212" i="4"/>
  <c r="K154" i="1" s="1"/>
  <c r="O154" i="1" s="1"/>
  <c r="I211" i="4"/>
  <c r="K210" i="1" s="1"/>
  <c r="O210" i="1" s="1"/>
  <c r="I210" i="4"/>
  <c r="K191" i="1" s="1"/>
  <c r="O191" i="1" s="1"/>
  <c r="I209" i="4"/>
  <c r="K104" i="1" s="1"/>
  <c r="O104" i="1" s="1"/>
  <c r="I208" i="4"/>
  <c r="I207" i="4"/>
  <c r="K192" i="1" s="1"/>
  <c r="O192" i="1" s="1"/>
  <c r="I206" i="4"/>
  <c r="K208" i="1" s="1"/>
  <c r="O208" i="1" s="1"/>
  <c r="I205" i="4"/>
  <c r="K187" i="1" s="1"/>
  <c r="O187" i="1" s="1"/>
  <c r="I204" i="4"/>
  <c r="K131" i="1" s="1"/>
  <c r="O131" i="1" s="1"/>
  <c r="I203" i="4"/>
  <c r="I202" i="4"/>
  <c r="K155" i="1" s="1"/>
  <c r="O155" i="1" s="1"/>
  <c r="I201" i="4"/>
  <c r="K137" i="1" s="1"/>
  <c r="O137" i="1" s="1"/>
  <c r="I200" i="4"/>
  <c r="K234" i="1" s="1"/>
  <c r="O234" i="1" s="1"/>
  <c r="I199" i="4"/>
  <c r="I198" i="4"/>
  <c r="I197" i="4"/>
  <c r="K214" i="1" s="1"/>
  <c r="O214" i="1" s="1"/>
  <c r="I196" i="4"/>
  <c r="K140" i="1" s="1"/>
  <c r="O140" i="1" s="1"/>
  <c r="I195" i="4"/>
  <c r="I194" i="4"/>
  <c r="I193" i="4"/>
  <c r="K222" i="1" s="1"/>
  <c r="O222" i="1" s="1"/>
  <c r="I192" i="4"/>
  <c r="K236" i="1" s="1"/>
  <c r="O236" i="1" s="1"/>
  <c r="I191" i="4"/>
  <c r="K142" i="1" s="1"/>
  <c r="O142" i="1" s="1"/>
  <c r="I190" i="4"/>
  <c r="K105" i="1" s="1"/>
  <c r="O105" i="1" s="1"/>
  <c r="I189" i="4"/>
  <c r="K245" i="1" s="1"/>
  <c r="O245" i="1" s="1"/>
  <c r="I188" i="4"/>
  <c r="K72" i="1" s="1"/>
  <c r="O72" i="1" s="1"/>
  <c r="I187" i="4"/>
  <c r="K224" i="1" s="1"/>
  <c r="O224" i="1" s="1"/>
  <c r="I186" i="4"/>
  <c r="K232" i="1" s="1"/>
  <c r="O232" i="1" s="1"/>
  <c r="I185" i="4"/>
  <c r="K164" i="1" s="1"/>
  <c r="O164" i="1" s="1"/>
  <c r="I184" i="4"/>
  <c r="K204" i="1" s="1"/>
  <c r="O204" i="1" s="1"/>
  <c r="I183" i="4"/>
  <c r="K178" i="1" s="1"/>
  <c r="O178" i="1" s="1"/>
  <c r="I182" i="4"/>
  <c r="K182" i="1" s="1"/>
  <c r="O182" i="1" s="1"/>
  <c r="I181" i="4"/>
  <c r="K171" i="1" s="1"/>
  <c r="O171" i="1" s="1"/>
  <c r="I180" i="4"/>
  <c r="K254" i="1" s="1"/>
  <c r="O254" i="1" s="1"/>
  <c r="I179" i="4"/>
  <c r="K246" i="1" s="1"/>
  <c r="O246" i="1" s="1"/>
  <c r="I178" i="4"/>
  <c r="K67" i="1" s="1"/>
  <c r="O67" i="1" s="1"/>
  <c r="I177" i="4"/>
  <c r="K174" i="1" s="1"/>
  <c r="O174" i="1" s="1"/>
  <c r="I176" i="4"/>
  <c r="K162" i="1" s="1"/>
  <c r="O162" i="1" s="1"/>
  <c r="I175" i="4"/>
  <c r="K151" i="1" s="1"/>
  <c r="O151" i="1" s="1"/>
  <c r="I174" i="4"/>
  <c r="K203" i="1" s="1"/>
  <c r="O203" i="1" s="1"/>
  <c r="I173" i="4"/>
  <c r="K42" i="1" s="1"/>
  <c r="O42" i="1" s="1"/>
  <c r="I172" i="4"/>
  <c r="K180" i="1" s="1"/>
  <c r="O180" i="1" s="1"/>
  <c r="I171" i="4"/>
  <c r="K227" i="1" s="1"/>
  <c r="O227" i="1" s="1"/>
  <c r="I170" i="4"/>
  <c r="K188" i="1" s="1"/>
  <c r="O188" i="1" s="1"/>
  <c r="I169" i="4"/>
  <c r="I168" i="4"/>
  <c r="K228" i="1" s="1"/>
  <c r="O228" i="1" s="1"/>
  <c r="I167" i="4"/>
  <c r="K90" i="1" s="1"/>
  <c r="O90" i="1" s="1"/>
  <c r="I166" i="4"/>
  <c r="K216" i="1" s="1"/>
  <c r="O216" i="1" s="1"/>
  <c r="I165" i="4"/>
  <c r="I164" i="4"/>
  <c r="K126" i="1" s="1"/>
  <c r="O126" i="1" s="1"/>
  <c r="I163" i="4"/>
  <c r="K165" i="1" s="1"/>
  <c r="O165" i="1" s="1"/>
  <c r="I162" i="4"/>
  <c r="K233" i="1" s="1"/>
  <c r="O233" i="1" s="1"/>
  <c r="I161" i="4"/>
  <c r="K122" i="1" s="1"/>
  <c r="O122" i="1" s="1"/>
  <c r="I160" i="4"/>
  <c r="K135" i="1" s="1"/>
  <c r="O135" i="1" s="1"/>
  <c r="I159" i="4"/>
  <c r="I158" i="4"/>
  <c r="K146" i="1" s="1"/>
  <c r="O146" i="1" s="1"/>
  <c r="I157" i="4"/>
  <c r="K161" i="1" s="1"/>
  <c r="O161" i="1" s="1"/>
  <c r="I156" i="4"/>
  <c r="K107" i="1" s="1"/>
  <c r="O107" i="1" s="1"/>
  <c r="I155" i="4"/>
  <c r="K71" i="1" s="1"/>
  <c r="O71" i="1" s="1"/>
  <c r="I154" i="4"/>
  <c r="K133" i="1" s="1"/>
  <c r="O133" i="1" s="1"/>
  <c r="I153" i="4"/>
  <c r="K149" i="1" s="1"/>
  <c r="O149" i="1" s="1"/>
  <c r="I152" i="4"/>
  <c r="K175" i="1" s="1"/>
  <c r="O175" i="1" s="1"/>
  <c r="I151" i="4"/>
  <c r="K148" i="1" s="1"/>
  <c r="O148" i="1" s="1"/>
  <c r="I150" i="4"/>
  <c r="K199" i="1" s="1"/>
  <c r="O199" i="1" s="1"/>
  <c r="I149" i="4"/>
  <c r="K103" i="1" s="1"/>
  <c r="O103" i="1" s="1"/>
  <c r="I148" i="4"/>
  <c r="K113" i="1" s="1"/>
  <c r="O113" i="1" s="1"/>
  <c r="I147" i="4"/>
  <c r="K118" i="1" s="1"/>
  <c r="O118" i="1" s="1"/>
  <c r="I146" i="4"/>
  <c r="K157" i="1" s="1"/>
  <c r="O157" i="1" s="1"/>
  <c r="I145" i="4"/>
  <c r="K159" i="1" s="1"/>
  <c r="O159" i="1" s="1"/>
  <c r="I144" i="4"/>
  <c r="K176" i="1" s="1"/>
  <c r="O176" i="1" s="1"/>
  <c r="I143" i="4"/>
  <c r="K170" i="1" s="1"/>
  <c r="O170" i="1" s="1"/>
  <c r="I142" i="4"/>
  <c r="K205" i="1" s="1"/>
  <c r="O205" i="1" s="1"/>
  <c r="I141" i="4"/>
  <c r="K76" i="1" s="1"/>
  <c r="O76" i="1" s="1"/>
  <c r="I140" i="4"/>
  <c r="K172" i="1" s="1"/>
  <c r="O172" i="1" s="1"/>
  <c r="I139" i="4"/>
  <c r="K223" i="1" s="1"/>
  <c r="O223" i="1" s="1"/>
  <c r="I138" i="4"/>
  <c r="K79" i="1" s="1"/>
  <c r="O79" i="1" s="1"/>
  <c r="I137" i="4"/>
  <c r="K173" i="1" s="1"/>
  <c r="O173" i="1" s="1"/>
  <c r="I136" i="4"/>
  <c r="K264" i="1" s="1"/>
  <c r="O264" i="1" s="1"/>
  <c r="I135" i="4"/>
  <c r="I134" i="4"/>
  <c r="K150" i="1" s="1"/>
  <c r="O150" i="1" s="1"/>
  <c r="I133" i="4"/>
  <c r="K64" i="1" s="1"/>
  <c r="O64" i="1" s="1"/>
  <c r="I132" i="4"/>
  <c r="K123" i="1" s="1"/>
  <c r="O123" i="1" s="1"/>
  <c r="I131" i="4"/>
  <c r="I130" i="4"/>
  <c r="K183" i="1" s="1"/>
  <c r="O183" i="1" s="1"/>
  <c r="I129" i="4"/>
  <c r="K106" i="1" s="1"/>
  <c r="O106" i="1" s="1"/>
  <c r="I128" i="4"/>
  <c r="K138" i="1" s="1"/>
  <c r="O138" i="1" s="1"/>
  <c r="I127" i="4"/>
  <c r="K189" i="1" s="1"/>
  <c r="O189" i="1" s="1"/>
  <c r="I126" i="4"/>
  <c r="K130" i="1" s="1"/>
  <c r="O130" i="1" s="1"/>
  <c r="I125" i="4"/>
  <c r="K158" i="1" s="1"/>
  <c r="O158" i="1" s="1"/>
  <c r="I124" i="4"/>
  <c r="K251" i="1" s="1"/>
  <c r="O251" i="1" s="1"/>
  <c r="I123" i="4"/>
  <c r="K114" i="1" s="1"/>
  <c r="O114" i="1" s="1"/>
  <c r="I122" i="4"/>
  <c r="K289" i="1" s="1"/>
  <c r="O289" i="1" s="1"/>
  <c r="I121" i="4"/>
  <c r="K168" i="1" s="1"/>
  <c r="O168" i="1" s="1"/>
  <c r="I120" i="4"/>
  <c r="K132" i="1" s="1"/>
  <c r="O132" i="1" s="1"/>
  <c r="I119" i="4"/>
  <c r="K143" i="1" s="1"/>
  <c r="O143" i="1" s="1"/>
  <c r="I118" i="4"/>
  <c r="K57" i="1" s="1"/>
  <c r="O57" i="1" s="1"/>
  <c r="I117" i="4"/>
  <c r="I116" i="4"/>
  <c r="K88" i="1" s="1"/>
  <c r="O88" i="1" s="1"/>
  <c r="I115" i="4"/>
  <c r="I114" i="4"/>
  <c r="K81" i="1" s="1"/>
  <c r="O81" i="1" s="1"/>
  <c r="I113" i="4"/>
  <c r="K181" i="1" s="1"/>
  <c r="O181" i="1" s="1"/>
  <c r="I112" i="4"/>
  <c r="I111" i="4"/>
  <c r="K136" i="1" s="1"/>
  <c r="O136" i="1" s="1"/>
  <c r="I110" i="4"/>
  <c r="K62" i="1" s="1"/>
  <c r="O62" i="1" s="1"/>
  <c r="I109" i="4"/>
  <c r="K128" i="1" s="1"/>
  <c r="O128" i="1" s="1"/>
  <c r="I108" i="4"/>
  <c r="K80" i="1" s="1"/>
  <c r="O80" i="1" s="1"/>
  <c r="I107" i="4"/>
  <c r="K115" i="1" s="1"/>
  <c r="O115" i="1" s="1"/>
  <c r="I106" i="4"/>
  <c r="K92" i="1" s="1"/>
  <c r="O92" i="1" s="1"/>
  <c r="I105" i="4"/>
  <c r="K116" i="1" s="1"/>
  <c r="O116" i="1" s="1"/>
  <c r="I104" i="4"/>
  <c r="K127" i="1" s="1"/>
  <c r="O127" i="1" s="1"/>
  <c r="I103" i="4"/>
  <c r="K87" i="1" s="1"/>
  <c r="O87" i="1" s="1"/>
  <c r="I102" i="4"/>
  <c r="K77" i="1" s="1"/>
  <c r="O77" i="1" s="1"/>
  <c r="I101" i="4"/>
  <c r="K108" i="1" s="1"/>
  <c r="O108" i="1" s="1"/>
  <c r="I100" i="4"/>
  <c r="K96" i="1" s="1"/>
  <c r="O96" i="1" s="1"/>
  <c r="I99" i="4"/>
  <c r="K75" i="1" s="1"/>
  <c r="O75" i="1" s="1"/>
  <c r="I98" i="4"/>
  <c r="K98" i="1" s="1"/>
  <c r="O98" i="1" s="1"/>
  <c r="I97" i="4"/>
  <c r="K147" i="1" s="1"/>
  <c r="O147" i="1" s="1"/>
  <c r="I96" i="4"/>
  <c r="K37" i="1" s="1"/>
  <c r="O37" i="1" s="1"/>
  <c r="I95" i="4"/>
  <c r="K179" i="1" s="1"/>
  <c r="O179" i="1" s="1"/>
  <c r="I94" i="4"/>
  <c r="K112" i="1" s="1"/>
  <c r="O112" i="1" s="1"/>
  <c r="I93" i="4"/>
  <c r="K49" i="1" s="1"/>
  <c r="O49" i="1" s="1"/>
  <c r="I92" i="4"/>
  <c r="K85" i="1" s="1"/>
  <c r="O85" i="1" s="1"/>
  <c r="I91" i="4"/>
  <c r="K100" i="1" s="1"/>
  <c r="O100" i="1" s="1"/>
  <c r="I90" i="4"/>
  <c r="K156" i="1" s="1"/>
  <c r="O156" i="1" s="1"/>
  <c r="I89" i="4"/>
  <c r="K97" i="1" s="1"/>
  <c r="O97" i="1" s="1"/>
  <c r="I88" i="4"/>
  <c r="K82" i="1" s="1"/>
  <c r="O82" i="1" s="1"/>
  <c r="I87" i="4"/>
  <c r="K121" i="1" s="1"/>
  <c r="O121" i="1" s="1"/>
  <c r="I86" i="4"/>
  <c r="K119" i="1" s="1"/>
  <c r="O119" i="1" s="1"/>
  <c r="I85" i="4"/>
  <c r="K94" i="1" s="1"/>
  <c r="O94" i="1" s="1"/>
  <c r="I84" i="4"/>
  <c r="K68" i="1" s="1"/>
  <c r="O68" i="1" s="1"/>
  <c r="I83" i="4"/>
  <c r="I82" i="4"/>
  <c r="K74" i="1" s="1"/>
  <c r="O74" i="1" s="1"/>
  <c r="I81" i="4"/>
  <c r="K66" i="1" s="1"/>
  <c r="O66" i="1" s="1"/>
  <c r="I80" i="4"/>
  <c r="K84" i="1" s="1"/>
  <c r="O84" i="1" s="1"/>
  <c r="I79" i="4"/>
  <c r="K83" i="1" s="1"/>
  <c r="O83" i="1" s="1"/>
  <c r="I78" i="4"/>
  <c r="K27" i="1" s="1"/>
  <c r="O27" i="1" s="1"/>
  <c r="I77" i="4"/>
  <c r="K73" i="1" s="1"/>
  <c r="O73" i="1" s="1"/>
  <c r="I76" i="4"/>
  <c r="K53" i="1" s="1"/>
  <c r="O53" i="1" s="1"/>
  <c r="I75" i="4"/>
  <c r="K20" i="1" s="1"/>
  <c r="O20" i="1" s="1"/>
  <c r="I74" i="4"/>
  <c r="K93" i="1" s="1"/>
  <c r="O93" i="1" s="1"/>
  <c r="I73" i="4"/>
  <c r="K35" i="1" s="1"/>
  <c r="O35" i="1" s="1"/>
  <c r="I72" i="4"/>
  <c r="K101" i="1" s="1"/>
  <c r="O101" i="1" s="1"/>
  <c r="I71" i="4"/>
  <c r="K102" i="1" s="1"/>
  <c r="O102" i="1" s="1"/>
  <c r="I70" i="4"/>
  <c r="K95" i="1" s="1"/>
  <c r="O95" i="1" s="1"/>
  <c r="I69" i="4"/>
  <c r="K117" i="1" s="1"/>
  <c r="O117" i="1" s="1"/>
  <c r="I68" i="4"/>
  <c r="K197" i="1" s="1"/>
  <c r="O197" i="1" s="1"/>
  <c r="I67" i="4"/>
  <c r="K38" i="1" s="1"/>
  <c r="O38" i="1" s="1"/>
  <c r="I66" i="4"/>
  <c r="K55" i="1" s="1"/>
  <c r="O55" i="1" s="1"/>
  <c r="I65" i="4"/>
  <c r="K78" i="1" s="1"/>
  <c r="O78" i="1" s="1"/>
  <c r="I64" i="4"/>
  <c r="K51" i="1" s="1"/>
  <c r="O51" i="1" s="1"/>
  <c r="I63" i="4"/>
  <c r="K120" i="1" s="1"/>
  <c r="O120" i="1" s="1"/>
  <c r="I62" i="4"/>
  <c r="K65" i="1" s="1"/>
  <c r="O65" i="1" s="1"/>
  <c r="I61" i="4"/>
  <c r="K32" i="1" s="1"/>
  <c r="O32" i="1" s="1"/>
  <c r="I60" i="4"/>
  <c r="K61" i="1" s="1"/>
  <c r="O61" i="1" s="1"/>
  <c r="I59" i="4"/>
  <c r="K134" i="1" s="1"/>
  <c r="O134" i="1" s="1"/>
  <c r="I58" i="4"/>
  <c r="K31" i="1" s="1"/>
  <c r="O31" i="1" s="1"/>
  <c r="I57" i="4"/>
  <c r="K56" i="1" s="1"/>
  <c r="O56" i="1" s="1"/>
  <c r="I56" i="4"/>
  <c r="K63" i="1" s="1"/>
  <c r="O63" i="1" s="1"/>
  <c r="I55" i="4"/>
  <c r="K70" i="1" s="1"/>
  <c r="O70" i="1" s="1"/>
  <c r="I54" i="4"/>
  <c r="K30" i="1" s="1"/>
  <c r="O30" i="1" s="1"/>
  <c r="I53" i="4"/>
  <c r="K59" i="1" s="1"/>
  <c r="O59" i="1" s="1"/>
  <c r="I52" i="4"/>
  <c r="K125" i="1" s="1"/>
  <c r="O125" i="1" s="1"/>
  <c r="I51" i="4"/>
  <c r="K110" i="1" s="1"/>
  <c r="O110" i="1" s="1"/>
  <c r="I50" i="4"/>
  <c r="K39" i="1" s="1"/>
  <c r="O39" i="1" s="1"/>
  <c r="I49" i="4"/>
  <c r="K99" i="1" s="1"/>
  <c r="O99" i="1" s="1"/>
  <c r="I48" i="4"/>
  <c r="K24" i="1" s="1"/>
  <c r="O24" i="1" s="1"/>
  <c r="I47" i="4"/>
  <c r="K129" i="1" s="1"/>
  <c r="O129" i="1" s="1"/>
  <c r="I46" i="4"/>
  <c r="K69" i="1" s="1"/>
  <c r="O69" i="1" s="1"/>
  <c r="I45" i="4"/>
  <c r="K47" i="1" s="1"/>
  <c r="O47" i="1" s="1"/>
  <c r="I44" i="4"/>
  <c r="K86" i="1" s="1"/>
  <c r="O86" i="1" s="1"/>
  <c r="I43" i="4"/>
  <c r="K14" i="1" s="1"/>
  <c r="O14" i="1" s="1"/>
  <c r="I42" i="4"/>
  <c r="K25" i="1" s="1"/>
  <c r="O25" i="1" s="1"/>
  <c r="I41" i="4"/>
  <c r="K46" i="1" s="1"/>
  <c r="O46" i="1" s="1"/>
  <c r="I40" i="4"/>
  <c r="K45" i="1" s="1"/>
  <c r="O45" i="1" s="1"/>
  <c r="I39" i="4"/>
  <c r="K23" i="1" s="1"/>
  <c r="O23" i="1" s="1"/>
  <c r="I38" i="4"/>
  <c r="I37" i="4"/>
  <c r="K124" i="1" s="1"/>
  <c r="O124" i="1" s="1"/>
  <c r="I36" i="4"/>
  <c r="K89" i="1" s="1"/>
  <c r="O89" i="1" s="1"/>
  <c r="I35" i="4"/>
  <c r="K160" i="1" s="1"/>
  <c r="O160" i="1" s="1"/>
  <c r="I34" i="4"/>
  <c r="K19" i="1" s="1"/>
  <c r="O19" i="1" s="1"/>
  <c r="I33" i="4"/>
  <c r="K21" i="1" s="1"/>
  <c r="O21" i="1" s="1"/>
  <c r="I32" i="4"/>
  <c r="K58" i="1" s="1"/>
  <c r="O58" i="1" s="1"/>
  <c r="I31" i="4"/>
  <c r="K44" i="1" s="1"/>
  <c r="O44" i="1" s="1"/>
  <c r="I30" i="4"/>
  <c r="K48" i="1" s="1"/>
  <c r="O48" i="1" s="1"/>
  <c r="I29" i="4"/>
  <c r="K34" i="1" s="1"/>
  <c r="O34" i="1" s="1"/>
  <c r="I28" i="4"/>
  <c r="K40" i="1" s="1"/>
  <c r="O40" i="1" s="1"/>
  <c r="I27" i="4"/>
  <c r="K36" i="1" s="1"/>
  <c r="O36" i="1" s="1"/>
  <c r="I26" i="4"/>
  <c r="K43" i="1" s="1"/>
  <c r="O43" i="1" s="1"/>
  <c r="I25" i="4"/>
  <c r="K52" i="1" s="1"/>
  <c r="O52" i="1" s="1"/>
  <c r="I24" i="4"/>
  <c r="K10" i="1" s="1"/>
  <c r="O10" i="1" s="1"/>
  <c r="I23" i="4"/>
  <c r="K16" i="1" s="1"/>
  <c r="O16" i="1" s="1"/>
  <c r="I22" i="4"/>
  <c r="K54" i="1" s="1"/>
  <c r="O54" i="1" s="1"/>
  <c r="I21" i="4"/>
  <c r="K33" i="1" s="1"/>
  <c r="O33" i="1" s="1"/>
  <c r="AH20" i="4" a="1"/>
  <c r="AH20" i="4" s="1"/>
  <c r="AG20" i="4" a="1"/>
  <c r="AG20" i="4" s="1"/>
  <c r="AF20" i="4" a="1"/>
  <c r="AF20" i="4" s="1"/>
  <c r="AE20" i="4" a="1"/>
  <c r="AE20" i="4" s="1"/>
  <c r="AD20" i="4" a="1"/>
  <c r="AD20" i="4" s="1"/>
  <c r="AC20" i="4" a="1"/>
  <c r="AC20" i="4" s="1"/>
  <c r="AB20" i="4" a="1"/>
  <c r="AB20" i="4" s="1"/>
  <c r="AA20" i="4" a="1"/>
  <c r="AA20" i="4" s="1"/>
  <c r="Z20" i="4" a="1"/>
  <c r="Z20" i="4" s="1"/>
  <c r="Y20" i="4" a="1"/>
  <c r="Y20" i="4" s="1"/>
  <c r="X20" i="4" a="1"/>
  <c r="X20" i="4" s="1"/>
  <c r="W20" i="4" a="1"/>
  <c r="W20" i="4" s="1"/>
  <c r="I20" i="4"/>
  <c r="K28" i="1" s="1"/>
  <c r="O28" i="1" s="1"/>
  <c r="I19" i="4"/>
  <c r="K111" i="1" s="1"/>
  <c r="O111" i="1" s="1"/>
  <c r="I18" i="4"/>
  <c r="K26" i="1" s="1"/>
  <c r="O26" i="1" s="1"/>
  <c r="I17" i="4"/>
  <c r="K41" i="1" s="1"/>
  <c r="O41" i="1" s="1"/>
  <c r="I16" i="4"/>
  <c r="X15" i="4"/>
  <c r="I15" i="4"/>
  <c r="K11" i="1" s="1"/>
  <c r="O11" i="1" s="1"/>
  <c r="X14" i="4"/>
  <c r="I14" i="4"/>
  <c r="K22" i="1" s="1"/>
  <c r="O22" i="1" s="1"/>
  <c r="I13" i="4"/>
  <c r="K29" i="1" s="1"/>
  <c r="O29" i="1" s="1"/>
  <c r="X12" i="4"/>
  <c r="I12" i="4"/>
  <c r="K17" i="1" s="1"/>
  <c r="O17" i="1" s="1"/>
  <c r="I11" i="4"/>
  <c r="K7" i="1" s="1"/>
  <c r="O7" i="1" s="1"/>
  <c r="X10" i="4"/>
  <c r="I10" i="4"/>
  <c r="K18" i="1" s="1"/>
  <c r="O18" i="1" s="1"/>
  <c r="I9" i="4"/>
  <c r="K12" i="1" s="1"/>
  <c r="O12" i="1" s="1"/>
  <c r="X8" i="4"/>
  <c r="I8" i="4"/>
  <c r="I7" i="4"/>
  <c r="X6" i="4"/>
  <c r="I6" i="4"/>
  <c r="I5" i="4"/>
  <c r="X11" i="4" l="1"/>
  <c r="X13" i="4"/>
  <c r="K60" i="1"/>
  <c r="O60" i="1" s="1"/>
  <c r="X16" i="4"/>
  <c r="X5" i="4"/>
  <c r="K50" i="1"/>
  <c r="O50" i="1" s="1"/>
  <c r="K6" i="4"/>
  <c r="X9" i="4"/>
  <c r="X7" i="4"/>
  <c r="X17" i="4"/>
  <c r="I19" i="3" l="1"/>
  <c r="I18" i="3"/>
  <c r="I17" i="3"/>
  <c r="I16" i="3"/>
  <c r="I15" i="3"/>
  <c r="I14" i="3"/>
  <c r="I13" i="3"/>
  <c r="I12" i="3"/>
  <c r="I11" i="3"/>
  <c r="I10" i="3"/>
  <c r="I9" i="3"/>
  <c r="I8" i="3"/>
  <c r="I7" i="3"/>
  <c r="S4" i="3" a="1"/>
  <c r="S4" i="3" s="1"/>
  <c r="R4" i="3" a="1"/>
  <c r="R4" i="3" s="1"/>
  <c r="Q4" i="3" a="1"/>
  <c r="Q4" i="3" s="1"/>
  <c r="P4" i="3" a="1"/>
  <c r="P4" i="3" s="1"/>
  <c r="O4" i="3" a="1"/>
  <c r="O4" i="3" s="1"/>
  <c r="N4" i="3" a="1"/>
  <c r="N4" i="3" s="1"/>
  <c r="M4" i="3" a="1"/>
  <c r="M4" i="3" s="1"/>
  <c r="L4" i="3" a="1"/>
  <c r="L4" i="3" s="1"/>
  <c r="K4" i="3" a="1"/>
  <c r="K4" i="3" s="1"/>
  <c r="J4" i="3" a="1"/>
  <c r="J4" i="3" s="1"/>
  <c r="I4" i="3" a="1"/>
  <c r="I4" i="3" s="1"/>
  <c r="H4" i="3" a="1"/>
  <c r="H4" i="3" s="1"/>
  <c r="Q319" i="2"/>
  <c r="M319" i="2"/>
  <c r="N319" i="2" s="1"/>
  <c r="Z319" i="2" s="1"/>
  <c r="AA319" i="2" s="1"/>
  <c r="AB319" i="2" s="1"/>
  <c r="G319" i="2"/>
  <c r="Q318" i="2"/>
  <c r="M318" i="2"/>
  <c r="N318" i="2" s="1"/>
  <c r="Z318" i="2" s="1"/>
  <c r="AA318" i="2" s="1"/>
  <c r="AB318" i="2" s="1"/>
  <c r="G318" i="2"/>
  <c r="Q317" i="2"/>
  <c r="M317" i="2"/>
  <c r="N317" i="2" s="1"/>
  <c r="Z317" i="2" s="1"/>
  <c r="AA317" i="2" s="1"/>
  <c r="AB317" i="2" s="1"/>
  <c r="G317" i="2"/>
  <c r="Q316" i="2"/>
  <c r="M316" i="2"/>
  <c r="N316" i="2" s="1"/>
  <c r="Z316" i="2" s="1"/>
  <c r="AA316" i="2" s="1"/>
  <c r="AB316" i="2" s="1"/>
  <c r="G316" i="2"/>
  <c r="Q315" i="2"/>
  <c r="M315" i="2"/>
  <c r="N315" i="2" s="1"/>
  <c r="Z315" i="2" s="1"/>
  <c r="AA315" i="2" s="1"/>
  <c r="AB315" i="2" s="1"/>
  <c r="G315" i="2"/>
  <c r="Q314" i="2"/>
  <c r="N314" i="2"/>
  <c r="M314" i="2"/>
  <c r="G314" i="2"/>
  <c r="Q313" i="2"/>
  <c r="M313" i="2"/>
  <c r="N313" i="2" s="1"/>
  <c r="Z313" i="2" s="1"/>
  <c r="AA313" i="2" s="1"/>
  <c r="AB313" i="2" s="1"/>
  <c r="G313" i="2"/>
  <c r="Q312" i="2"/>
  <c r="M312" i="2"/>
  <c r="N312" i="2" s="1"/>
  <c r="Z312" i="2" s="1"/>
  <c r="AA312" i="2" s="1"/>
  <c r="AB312" i="2" s="1"/>
  <c r="G312" i="2"/>
  <c r="Q311" i="2"/>
  <c r="M311" i="2"/>
  <c r="N311" i="2" s="1"/>
  <c r="Z311" i="2" s="1"/>
  <c r="AA311" i="2" s="1"/>
  <c r="AB311" i="2" s="1"/>
  <c r="G311" i="2"/>
  <c r="Q310" i="2"/>
  <c r="M310" i="2"/>
  <c r="N310" i="2" s="1"/>
  <c r="Z310" i="2" s="1"/>
  <c r="AA310" i="2" s="1"/>
  <c r="AB310" i="2" s="1"/>
  <c r="G310" i="2"/>
  <c r="Q309" i="2"/>
  <c r="M309" i="2"/>
  <c r="N309" i="2" s="1"/>
  <c r="G309" i="2"/>
  <c r="Q308" i="2"/>
  <c r="M308" i="2"/>
  <c r="N308" i="2" s="1"/>
  <c r="G308" i="2"/>
  <c r="M307" i="2"/>
  <c r="N307" i="2" s="1"/>
  <c r="Z307" i="2" s="1"/>
  <c r="AA307" i="2" s="1"/>
  <c r="AB307" i="2" s="1"/>
  <c r="G307" i="2"/>
  <c r="Q306" i="2"/>
  <c r="N306" i="2"/>
  <c r="Z306" i="2" s="1"/>
  <c r="AA306" i="2" s="1"/>
  <c r="AB306" i="2" s="1"/>
  <c r="M306" i="2"/>
  <c r="G306" i="2"/>
  <c r="Q305" i="2"/>
  <c r="M305" i="2"/>
  <c r="N305" i="2" s="1"/>
  <c r="G305" i="2"/>
  <c r="Q304" i="2"/>
  <c r="M304" i="2"/>
  <c r="N304" i="2" s="1"/>
  <c r="Z304" i="2" s="1"/>
  <c r="AA304" i="2" s="1"/>
  <c r="AB304" i="2" s="1"/>
  <c r="G304" i="2"/>
  <c r="M303" i="2"/>
  <c r="N303" i="2" s="1"/>
  <c r="Z303" i="2" s="1"/>
  <c r="AA303" i="2" s="1"/>
  <c r="AB303" i="2" s="1"/>
  <c r="G303" i="2"/>
  <c r="Q302" i="2"/>
  <c r="M302" i="2"/>
  <c r="N302" i="2" s="1"/>
  <c r="Z302" i="2" s="1"/>
  <c r="AA302" i="2" s="1"/>
  <c r="AB302" i="2" s="1"/>
  <c r="G302" i="2"/>
  <c r="Q301" i="2"/>
  <c r="M301" i="2"/>
  <c r="N301" i="2" s="1"/>
  <c r="Z301" i="2" s="1"/>
  <c r="AA301" i="2" s="1"/>
  <c r="AB301" i="2" s="1"/>
  <c r="G301" i="2"/>
  <c r="Q300" i="2"/>
  <c r="N300" i="2"/>
  <c r="M300" i="2"/>
  <c r="G300" i="2"/>
  <c r="Q299" i="2"/>
  <c r="M299" i="2"/>
  <c r="N299" i="2" s="1"/>
  <c r="Z299" i="2" s="1"/>
  <c r="AA299" i="2" s="1"/>
  <c r="AB299" i="2" s="1"/>
  <c r="G299" i="2"/>
  <c r="Q298" i="2"/>
  <c r="M298" i="2"/>
  <c r="N298" i="2" s="1"/>
  <c r="Z298" i="2" s="1"/>
  <c r="AA298" i="2" s="1"/>
  <c r="AB298" i="2" s="1"/>
  <c r="G298" i="2"/>
  <c r="Q297" i="2"/>
  <c r="M297" i="2"/>
  <c r="N297" i="2" s="1"/>
  <c r="Z297" i="2" s="1"/>
  <c r="AA297" i="2" s="1"/>
  <c r="AB297" i="2" s="1"/>
  <c r="G297" i="2"/>
  <c r="Q296" i="2"/>
  <c r="M296" i="2"/>
  <c r="N296" i="2" s="1"/>
  <c r="Z296" i="2" s="1"/>
  <c r="AA296" i="2" s="1"/>
  <c r="AB296" i="2" s="1"/>
  <c r="G296" i="2"/>
  <c r="M295" i="2"/>
  <c r="N295" i="2" s="1"/>
  <c r="Z295" i="2" s="1"/>
  <c r="AA295" i="2" s="1"/>
  <c r="AB295" i="2" s="1"/>
  <c r="G295" i="2"/>
  <c r="Q294" i="2"/>
  <c r="M294" i="2"/>
  <c r="N294" i="2" s="1"/>
  <c r="Z294" i="2" s="1"/>
  <c r="AA294" i="2" s="1"/>
  <c r="AB294" i="2" s="1"/>
  <c r="G294" i="2"/>
  <c r="Q293" i="2"/>
  <c r="N293" i="2"/>
  <c r="M293" i="2"/>
  <c r="G293" i="2"/>
  <c r="Q292" i="2"/>
  <c r="M292" i="2"/>
  <c r="N292" i="2" s="1"/>
  <c r="Z292" i="2" s="1"/>
  <c r="AA292" i="2" s="1"/>
  <c r="AB292" i="2" s="1"/>
  <c r="G292" i="2"/>
  <c r="Q291" i="2"/>
  <c r="M291" i="2"/>
  <c r="N291" i="2" s="1"/>
  <c r="Z291" i="2" s="1"/>
  <c r="AA291" i="2" s="1"/>
  <c r="AB291" i="2" s="1"/>
  <c r="G291" i="2"/>
  <c r="Q290" i="2"/>
  <c r="M290" i="2"/>
  <c r="N290" i="2" s="1"/>
  <c r="Z290" i="2" s="1"/>
  <c r="AA290" i="2" s="1"/>
  <c r="AB290" i="2" s="1"/>
  <c r="G290" i="2"/>
  <c r="Q289" i="2"/>
  <c r="M289" i="2"/>
  <c r="N289" i="2" s="1"/>
  <c r="Z289" i="2" s="1"/>
  <c r="AA289" i="2" s="1"/>
  <c r="AB289" i="2" s="1"/>
  <c r="G289" i="2"/>
  <c r="Q288" i="2"/>
  <c r="M288" i="2"/>
  <c r="N288" i="2" s="1"/>
  <c r="Z288" i="2" s="1"/>
  <c r="AA288" i="2" s="1"/>
  <c r="AB288" i="2" s="1"/>
  <c r="G288" i="2"/>
  <c r="Q287" i="2"/>
  <c r="M287" i="2"/>
  <c r="N287" i="2" s="1"/>
  <c r="G287" i="2"/>
  <c r="Q286" i="2"/>
  <c r="M286" i="2"/>
  <c r="N286" i="2" s="1"/>
  <c r="G286" i="2"/>
  <c r="Q285" i="2"/>
  <c r="M285" i="2"/>
  <c r="N285" i="2" s="1"/>
  <c r="G285" i="2"/>
  <c r="Q284" i="2"/>
  <c r="N284" i="2"/>
  <c r="Z284" i="2" s="1"/>
  <c r="AA284" i="2" s="1"/>
  <c r="AB284" i="2" s="1"/>
  <c r="M284" i="2"/>
  <c r="G284" i="2"/>
  <c r="Q283" i="2"/>
  <c r="M283" i="2"/>
  <c r="N283" i="2" s="1"/>
  <c r="Z283" i="2" s="1"/>
  <c r="AA283" i="2" s="1"/>
  <c r="AB283" i="2" s="1"/>
  <c r="G283" i="2"/>
  <c r="Q282" i="2"/>
  <c r="M282" i="2"/>
  <c r="N282" i="2" s="1"/>
  <c r="Z282" i="2" s="1"/>
  <c r="AA282" i="2" s="1"/>
  <c r="AB282" i="2" s="1"/>
  <c r="G282" i="2"/>
  <c r="Q281" i="2"/>
  <c r="M281" i="2"/>
  <c r="N281" i="2" s="1"/>
  <c r="G281" i="2"/>
  <c r="AB280" i="2"/>
  <c r="AA280" i="2"/>
  <c r="Q279" i="2"/>
  <c r="N279" i="2"/>
  <c r="Z279" i="2" s="1"/>
  <c r="AA279" i="2" s="1"/>
  <c r="AB279" i="2" s="1"/>
  <c r="M279" i="2"/>
  <c r="G279" i="2"/>
  <c r="Q278" i="2"/>
  <c r="M278" i="2"/>
  <c r="N278" i="2" s="1"/>
  <c r="Z278" i="2" s="1"/>
  <c r="AA278" i="2" s="1"/>
  <c r="AB278" i="2" s="1"/>
  <c r="G278" i="2"/>
  <c r="Q277" i="2"/>
  <c r="M277" i="2"/>
  <c r="N277" i="2" s="1"/>
  <c r="Z277" i="2" s="1"/>
  <c r="AA277" i="2" s="1"/>
  <c r="AB277" i="2" s="1"/>
  <c r="G277" i="2"/>
  <c r="Q276" i="2"/>
  <c r="M276" i="2"/>
  <c r="N276" i="2" s="1"/>
  <c r="G276" i="2"/>
  <c r="Q275" i="2"/>
  <c r="M275" i="2"/>
  <c r="N275" i="2" s="1"/>
  <c r="G275" i="2"/>
  <c r="Q274" i="2"/>
  <c r="M274" i="2"/>
  <c r="N274" i="2" s="1"/>
  <c r="G274" i="2"/>
  <c r="Q273" i="2"/>
  <c r="N273" i="2"/>
  <c r="Z273" i="2" s="1"/>
  <c r="AA273" i="2" s="1"/>
  <c r="AB273" i="2" s="1"/>
  <c r="M273" i="2"/>
  <c r="G273" i="2"/>
  <c r="Q272" i="2"/>
  <c r="M272" i="2"/>
  <c r="N272" i="2" s="1"/>
  <c r="G272" i="2"/>
  <c r="Q271" i="2"/>
  <c r="M271" i="2"/>
  <c r="N271" i="2" s="1"/>
  <c r="Z271" i="2" s="1"/>
  <c r="AA271" i="2" s="1"/>
  <c r="AB271" i="2" s="1"/>
  <c r="G271" i="2"/>
  <c r="Q270" i="2"/>
  <c r="M270" i="2"/>
  <c r="N270" i="2" s="1"/>
  <c r="Z270" i="2" s="1"/>
  <c r="AA270" i="2" s="1"/>
  <c r="AB270" i="2" s="1"/>
  <c r="G270" i="2"/>
  <c r="Q269" i="2"/>
  <c r="M269" i="2"/>
  <c r="N269" i="2" s="1"/>
  <c r="G269" i="2"/>
  <c r="Q268" i="2"/>
  <c r="M268" i="2"/>
  <c r="N268" i="2" s="1"/>
  <c r="G268" i="2"/>
  <c r="AB267" i="2"/>
  <c r="AA267" i="2"/>
  <c r="Q266" i="2"/>
  <c r="M266" i="2"/>
  <c r="N266" i="2" s="1"/>
  <c r="Z266" i="2" s="1"/>
  <c r="AA266" i="2" s="1"/>
  <c r="AB266" i="2" s="1"/>
  <c r="G266" i="2"/>
  <c r="M265" i="2"/>
  <c r="N265" i="2" s="1"/>
  <c r="Z265" i="2" s="1"/>
  <c r="AA265" i="2" s="1"/>
  <c r="AB265" i="2" s="1"/>
  <c r="G265" i="2"/>
  <c r="Q264" i="2"/>
  <c r="N264" i="2"/>
  <c r="M264" i="2"/>
  <c r="G264" i="2"/>
  <c r="Q263" i="2"/>
  <c r="M263" i="2"/>
  <c r="N263" i="2" s="1"/>
  <c r="Z263" i="2" s="1"/>
  <c r="AA263" i="2" s="1"/>
  <c r="AB263" i="2" s="1"/>
  <c r="G263" i="2"/>
  <c r="Q262" i="2"/>
  <c r="M262" i="2"/>
  <c r="N262" i="2" s="1"/>
  <c r="Z262" i="2" s="1"/>
  <c r="AA262" i="2" s="1"/>
  <c r="AB262" i="2" s="1"/>
  <c r="G262" i="2"/>
  <c r="Q261" i="2"/>
  <c r="N261" i="2"/>
  <c r="Z261" i="2" s="1"/>
  <c r="AA261" i="2" s="1"/>
  <c r="AB261" i="2" s="1"/>
  <c r="M261" i="2"/>
  <c r="G261" i="2"/>
  <c r="Q260" i="2"/>
  <c r="M260" i="2"/>
  <c r="N260" i="2" s="1"/>
  <c r="G260" i="2"/>
  <c r="Q259" i="2"/>
  <c r="M259" i="2"/>
  <c r="N259" i="2" s="1"/>
  <c r="Z259" i="2" s="1"/>
  <c r="AA259" i="2" s="1"/>
  <c r="AB259" i="2" s="1"/>
  <c r="G259" i="2"/>
  <c r="Q258" i="2"/>
  <c r="M258" i="2"/>
  <c r="N258" i="2" s="1"/>
  <c r="Z258" i="2" s="1"/>
  <c r="AA258" i="2" s="1"/>
  <c r="AB258" i="2" s="1"/>
  <c r="G258" i="2"/>
  <c r="Q257" i="2"/>
  <c r="M257" i="2"/>
  <c r="N257" i="2" s="1"/>
  <c r="G257" i="2"/>
  <c r="Q256" i="2"/>
  <c r="M256" i="2"/>
  <c r="N256" i="2" s="1"/>
  <c r="G256" i="2"/>
  <c r="Q255" i="2"/>
  <c r="N255" i="2"/>
  <c r="Z255" i="2" s="1"/>
  <c r="AA255" i="2" s="1"/>
  <c r="AB255" i="2" s="1"/>
  <c r="M255" i="2"/>
  <c r="G255" i="2"/>
  <c r="Q254" i="2"/>
  <c r="M254" i="2"/>
  <c r="N254" i="2" s="1"/>
  <c r="G254" i="2"/>
  <c r="Q253" i="2"/>
  <c r="M253" i="2"/>
  <c r="N253" i="2" s="1"/>
  <c r="Z253" i="2" s="1"/>
  <c r="AA253" i="2" s="1"/>
  <c r="AB253" i="2" s="1"/>
  <c r="G253" i="2"/>
  <c r="Q252" i="2"/>
  <c r="M252" i="2"/>
  <c r="N252" i="2" s="1"/>
  <c r="Z252" i="2" s="1"/>
  <c r="AA252" i="2" s="1"/>
  <c r="AB252" i="2" s="1"/>
  <c r="G252" i="2"/>
  <c r="Q251" i="2"/>
  <c r="M251" i="2"/>
  <c r="N251" i="2" s="1"/>
  <c r="G251" i="2"/>
  <c r="Q250" i="2"/>
  <c r="M250" i="2"/>
  <c r="N250" i="2" s="1"/>
  <c r="Z250" i="2" s="1"/>
  <c r="AA250" i="2" s="1"/>
  <c r="AB250" i="2" s="1"/>
  <c r="G250" i="2"/>
  <c r="Q249" i="2"/>
  <c r="M249" i="2"/>
  <c r="N249" i="2" s="1"/>
  <c r="Z249" i="2" s="1"/>
  <c r="AA249" i="2" s="1"/>
  <c r="AB249" i="2" s="1"/>
  <c r="G249" i="2"/>
  <c r="Q248" i="2"/>
  <c r="M248" i="2"/>
  <c r="N248" i="2" s="1"/>
  <c r="G248" i="2"/>
  <c r="Q247" i="2"/>
  <c r="M247" i="2"/>
  <c r="N247" i="2" s="1"/>
  <c r="Z247" i="2" s="1"/>
  <c r="AA247" i="2" s="1"/>
  <c r="AB247" i="2" s="1"/>
  <c r="G247" i="2"/>
  <c r="Q246" i="2"/>
  <c r="M246" i="2"/>
  <c r="N246" i="2" s="1"/>
  <c r="G246" i="2"/>
  <c r="Q245" i="2"/>
  <c r="M245" i="2"/>
  <c r="N245" i="2" s="1"/>
  <c r="Z245" i="2" s="1"/>
  <c r="AA245" i="2" s="1"/>
  <c r="AB245" i="2" s="1"/>
  <c r="G245" i="2"/>
  <c r="Q244" i="2"/>
  <c r="M244" i="2"/>
  <c r="N244" i="2" s="1"/>
  <c r="Z244" i="2" s="1"/>
  <c r="AA244" i="2" s="1"/>
  <c r="AB244" i="2" s="1"/>
  <c r="G244" i="2"/>
  <c r="Q243" i="2"/>
  <c r="M243" i="2"/>
  <c r="N243" i="2" s="1"/>
  <c r="G243" i="2"/>
  <c r="Q242" i="2"/>
  <c r="M242" i="2"/>
  <c r="N242" i="2" s="1"/>
  <c r="G242" i="2"/>
  <c r="Q241" i="2"/>
  <c r="M241" i="2"/>
  <c r="N241" i="2" s="1"/>
  <c r="Z241" i="2" s="1"/>
  <c r="AA241" i="2" s="1"/>
  <c r="AB241" i="2" s="1"/>
  <c r="G241" i="2"/>
  <c r="Q240" i="2"/>
  <c r="M240" i="2"/>
  <c r="N240" i="2" s="1"/>
  <c r="G240" i="2"/>
  <c r="Q239" i="2"/>
  <c r="M239" i="2"/>
  <c r="N239" i="2" s="1"/>
  <c r="Z239" i="2" s="1"/>
  <c r="AA239" i="2" s="1"/>
  <c r="AB239" i="2" s="1"/>
  <c r="G239" i="2"/>
  <c r="Q238" i="2"/>
  <c r="M238" i="2"/>
  <c r="N238" i="2" s="1"/>
  <c r="Z238" i="2" s="1"/>
  <c r="AA238" i="2" s="1"/>
  <c r="AB238" i="2" s="1"/>
  <c r="G238" i="2"/>
  <c r="Q237" i="2"/>
  <c r="N237" i="2"/>
  <c r="Z237" i="2" s="1"/>
  <c r="AA237" i="2" s="1"/>
  <c r="AB237" i="2" s="1"/>
  <c r="M237" i="2"/>
  <c r="G237" i="2"/>
  <c r="Q236" i="2"/>
  <c r="M236" i="2"/>
  <c r="N236" i="2" s="1"/>
  <c r="G236" i="2"/>
  <c r="Q235" i="2"/>
  <c r="M235" i="2"/>
  <c r="N235" i="2" s="1"/>
  <c r="Z235" i="2" s="1"/>
  <c r="AA235" i="2" s="1"/>
  <c r="AB235" i="2" s="1"/>
  <c r="G235" i="2"/>
  <c r="Q234" i="2"/>
  <c r="M234" i="2"/>
  <c r="N234" i="2" s="1"/>
  <c r="Z234" i="2" s="1"/>
  <c r="AA234" i="2" s="1"/>
  <c r="AB234" i="2" s="1"/>
  <c r="G234" i="2"/>
  <c r="Q233" i="2"/>
  <c r="Z233" i="2" s="1"/>
  <c r="AA233" i="2" s="1"/>
  <c r="AB233" i="2" s="1"/>
  <c r="M233" i="2"/>
  <c r="N233" i="2" s="1"/>
  <c r="G233" i="2"/>
  <c r="Q232" i="2"/>
  <c r="M232" i="2"/>
  <c r="N232" i="2" s="1"/>
  <c r="G232" i="2"/>
  <c r="AA231" i="2"/>
  <c r="AB231" i="2" s="1"/>
  <c r="Q230" i="2"/>
  <c r="M230" i="2"/>
  <c r="N230" i="2" s="1"/>
  <c r="G230" i="2"/>
  <c r="Q229" i="2"/>
  <c r="M229" i="2"/>
  <c r="N229" i="2" s="1"/>
  <c r="G229" i="2"/>
  <c r="Q228" i="2"/>
  <c r="N228" i="2"/>
  <c r="Z228" i="2" s="1"/>
  <c r="AA228" i="2" s="1"/>
  <c r="AB228" i="2" s="1"/>
  <c r="M228" i="2"/>
  <c r="G228" i="2"/>
  <c r="Q227" i="2"/>
  <c r="M227" i="2"/>
  <c r="N227" i="2" s="1"/>
  <c r="G227" i="2"/>
  <c r="Q226" i="2"/>
  <c r="M226" i="2"/>
  <c r="N226" i="2" s="1"/>
  <c r="Z226" i="2" s="1"/>
  <c r="AA226" i="2" s="1"/>
  <c r="AB226" i="2" s="1"/>
  <c r="G226" i="2"/>
  <c r="AA225" i="2"/>
  <c r="AB225" i="2" s="1"/>
  <c r="Q224" i="2"/>
  <c r="M224" i="2"/>
  <c r="N224" i="2" s="1"/>
  <c r="Z224" i="2" s="1"/>
  <c r="AA224" i="2" s="1"/>
  <c r="AB224" i="2" s="1"/>
  <c r="G224" i="2"/>
  <c r="Q223" i="2"/>
  <c r="N223" i="2"/>
  <c r="Z223" i="2" s="1"/>
  <c r="AA223" i="2" s="1"/>
  <c r="AB223" i="2" s="1"/>
  <c r="M223" i="2"/>
  <c r="G223" i="2"/>
  <c r="AB222" i="2"/>
  <c r="Q222" i="2"/>
  <c r="M222" i="2"/>
  <c r="N222" i="2" s="1"/>
  <c r="Z222" i="2" s="1"/>
  <c r="AA222" i="2" s="1"/>
  <c r="G222" i="2"/>
  <c r="Q221" i="2"/>
  <c r="M221" i="2"/>
  <c r="N221" i="2" s="1"/>
  <c r="G221" i="2"/>
  <c r="Q220" i="2"/>
  <c r="M220" i="2"/>
  <c r="N220" i="2" s="1"/>
  <c r="G220" i="2"/>
  <c r="Q219" i="2"/>
  <c r="Z219" i="2" s="1"/>
  <c r="AA219" i="2" s="1"/>
  <c r="AB219" i="2" s="1"/>
  <c r="M219" i="2"/>
  <c r="N219" i="2" s="1"/>
  <c r="G219" i="2"/>
  <c r="Q218" i="2"/>
  <c r="M218" i="2"/>
  <c r="N218" i="2" s="1"/>
  <c r="G218" i="2"/>
  <c r="Q217" i="2"/>
  <c r="N217" i="2"/>
  <c r="Z217" i="2" s="1"/>
  <c r="AA217" i="2" s="1"/>
  <c r="AB217" i="2" s="1"/>
  <c r="M217" i="2"/>
  <c r="G217" i="2"/>
  <c r="Q216" i="2"/>
  <c r="M216" i="2"/>
  <c r="N216" i="2" s="1"/>
  <c r="Z216" i="2" s="1"/>
  <c r="AA216" i="2" s="1"/>
  <c r="AB216" i="2" s="1"/>
  <c r="G216" i="2"/>
  <c r="Q215" i="2"/>
  <c r="N215" i="2"/>
  <c r="Z215" i="2" s="1"/>
  <c r="AA215" i="2" s="1"/>
  <c r="AB215" i="2" s="1"/>
  <c r="M215" i="2"/>
  <c r="G215" i="2"/>
  <c r="Q214" i="2"/>
  <c r="M214" i="2"/>
  <c r="N214" i="2" s="1"/>
  <c r="Z214" i="2" s="1"/>
  <c r="AA214" i="2" s="1"/>
  <c r="AB214" i="2" s="1"/>
  <c r="G214" i="2"/>
  <c r="Q213" i="2"/>
  <c r="M213" i="2"/>
  <c r="N213" i="2" s="1"/>
  <c r="Z213" i="2" s="1"/>
  <c r="AA213" i="2" s="1"/>
  <c r="AB213" i="2" s="1"/>
  <c r="G213" i="2"/>
  <c r="Q212" i="2"/>
  <c r="M212" i="2"/>
  <c r="N212" i="2" s="1"/>
  <c r="G212" i="2"/>
  <c r="Q211" i="2"/>
  <c r="Z211" i="2" s="1"/>
  <c r="AA211" i="2" s="1"/>
  <c r="AB211" i="2" s="1"/>
  <c r="M211" i="2"/>
  <c r="N211" i="2" s="1"/>
  <c r="G211" i="2"/>
  <c r="Q210" i="2"/>
  <c r="M210" i="2"/>
  <c r="N210" i="2" s="1"/>
  <c r="G210" i="2"/>
  <c r="Q209" i="2"/>
  <c r="N209" i="2"/>
  <c r="Z209" i="2" s="1"/>
  <c r="AA209" i="2" s="1"/>
  <c r="AB209" i="2" s="1"/>
  <c r="M209" i="2"/>
  <c r="G209" i="2"/>
  <c r="Q208" i="2"/>
  <c r="Z208" i="2" s="1"/>
  <c r="AA208" i="2" s="1"/>
  <c r="AB208" i="2" s="1"/>
  <c r="M208" i="2"/>
  <c r="N208" i="2" s="1"/>
  <c r="G208" i="2"/>
  <c r="Q207" i="2"/>
  <c r="M207" i="2"/>
  <c r="N207" i="2" s="1"/>
  <c r="G207" i="2"/>
  <c r="Q206" i="2"/>
  <c r="M206" i="2"/>
  <c r="N206" i="2" s="1"/>
  <c r="Z206" i="2" s="1"/>
  <c r="AA206" i="2" s="1"/>
  <c r="AB206" i="2" s="1"/>
  <c r="G206" i="2"/>
  <c r="Q205" i="2"/>
  <c r="M205" i="2"/>
  <c r="N205" i="2" s="1"/>
  <c r="Z205" i="2" s="1"/>
  <c r="AA205" i="2" s="1"/>
  <c r="AB205" i="2" s="1"/>
  <c r="G205" i="2"/>
  <c r="Q204" i="2"/>
  <c r="Z204" i="2" s="1"/>
  <c r="AA204" i="2" s="1"/>
  <c r="AB204" i="2" s="1"/>
  <c r="M204" i="2"/>
  <c r="N204" i="2" s="1"/>
  <c r="G204" i="2"/>
  <c r="Q203" i="2"/>
  <c r="M203" i="2"/>
  <c r="N203" i="2" s="1"/>
  <c r="Z203" i="2" s="1"/>
  <c r="AA203" i="2" s="1"/>
  <c r="AB203" i="2" s="1"/>
  <c r="G203" i="2"/>
  <c r="Q202" i="2"/>
  <c r="M202" i="2"/>
  <c r="N202" i="2" s="1"/>
  <c r="Z202" i="2" s="1"/>
  <c r="AA202" i="2" s="1"/>
  <c r="AB202" i="2" s="1"/>
  <c r="G202" i="2"/>
  <c r="Q201" i="2"/>
  <c r="N201" i="2"/>
  <c r="Z201" i="2" s="1"/>
  <c r="AA201" i="2" s="1"/>
  <c r="AB201" i="2" s="1"/>
  <c r="M201" i="2"/>
  <c r="G201" i="2"/>
  <c r="Q200" i="2"/>
  <c r="M200" i="2"/>
  <c r="N200" i="2" s="1"/>
  <c r="G200" i="2"/>
  <c r="Q199" i="2"/>
  <c r="M199" i="2"/>
  <c r="N199" i="2" s="1"/>
  <c r="Z199" i="2" s="1"/>
  <c r="AA199" i="2" s="1"/>
  <c r="AB199" i="2" s="1"/>
  <c r="G199" i="2"/>
  <c r="Q198" i="2"/>
  <c r="M198" i="2"/>
  <c r="N198" i="2" s="1"/>
  <c r="G198" i="2"/>
  <c r="Q197" i="2"/>
  <c r="M197" i="2"/>
  <c r="N197" i="2" s="1"/>
  <c r="Z197" i="2" s="1"/>
  <c r="AA197" i="2" s="1"/>
  <c r="AB197" i="2" s="1"/>
  <c r="G197" i="2"/>
  <c r="Q196" i="2"/>
  <c r="M196" i="2"/>
  <c r="N196" i="2" s="1"/>
  <c r="Z196" i="2" s="1"/>
  <c r="AA196" i="2" s="1"/>
  <c r="AB196" i="2" s="1"/>
  <c r="G196" i="2"/>
  <c r="Q195" i="2"/>
  <c r="M195" i="2"/>
  <c r="N195" i="2" s="1"/>
  <c r="Z195" i="2" s="1"/>
  <c r="AA195" i="2" s="1"/>
  <c r="AB195" i="2" s="1"/>
  <c r="G195" i="2"/>
  <c r="Q194" i="2"/>
  <c r="N194" i="2"/>
  <c r="Z194" i="2" s="1"/>
  <c r="AA194" i="2" s="1"/>
  <c r="AB194" i="2" s="1"/>
  <c r="M194" i="2"/>
  <c r="G194" i="2"/>
  <c r="Q193" i="2"/>
  <c r="M193" i="2"/>
  <c r="N193" i="2" s="1"/>
  <c r="Z193" i="2" s="1"/>
  <c r="AA193" i="2" s="1"/>
  <c r="AB193" i="2" s="1"/>
  <c r="G193" i="2"/>
  <c r="Q192" i="2"/>
  <c r="M192" i="2"/>
  <c r="N192" i="2" s="1"/>
  <c r="G192" i="2"/>
  <c r="Q191" i="2"/>
  <c r="N191" i="2"/>
  <c r="Z191" i="2" s="1"/>
  <c r="AA191" i="2" s="1"/>
  <c r="AB191" i="2" s="1"/>
  <c r="M191" i="2"/>
  <c r="G191" i="2"/>
  <c r="Q190" i="2"/>
  <c r="N190" i="2"/>
  <c r="Z190" i="2" s="1"/>
  <c r="AA190" i="2" s="1"/>
  <c r="AB190" i="2" s="1"/>
  <c r="M190" i="2"/>
  <c r="G190" i="2"/>
  <c r="Q189" i="2"/>
  <c r="M189" i="2"/>
  <c r="N189" i="2" s="1"/>
  <c r="Z189" i="2" s="1"/>
  <c r="AA189" i="2" s="1"/>
  <c r="AB189" i="2" s="1"/>
  <c r="G189" i="2"/>
  <c r="Q188" i="2"/>
  <c r="M188" i="2"/>
  <c r="N188" i="2" s="1"/>
  <c r="Z188" i="2" s="1"/>
  <c r="AA188" i="2" s="1"/>
  <c r="AB188" i="2" s="1"/>
  <c r="G188" i="2"/>
  <c r="Q187" i="2"/>
  <c r="M187" i="2"/>
  <c r="N187" i="2" s="1"/>
  <c r="G187" i="2"/>
  <c r="Q186" i="2"/>
  <c r="M186" i="2"/>
  <c r="N186" i="2" s="1"/>
  <c r="Z186" i="2" s="1"/>
  <c r="AA186" i="2" s="1"/>
  <c r="AB186" i="2" s="1"/>
  <c r="G186" i="2"/>
  <c r="Q185" i="2"/>
  <c r="M185" i="2"/>
  <c r="N185" i="2" s="1"/>
  <c r="Z185" i="2" s="1"/>
  <c r="AA185" i="2" s="1"/>
  <c r="AB185" i="2" s="1"/>
  <c r="G185" i="2"/>
  <c r="Q184" i="2"/>
  <c r="M184" i="2"/>
  <c r="N184" i="2" s="1"/>
  <c r="Z184" i="2" s="1"/>
  <c r="AA184" i="2" s="1"/>
  <c r="AB184" i="2" s="1"/>
  <c r="G184" i="2"/>
  <c r="AA183" i="2"/>
  <c r="AB183" i="2" s="1"/>
  <c r="Q182" i="2"/>
  <c r="N182" i="2"/>
  <c r="Z182" i="2" s="1"/>
  <c r="AA182" i="2" s="1"/>
  <c r="AB182" i="2" s="1"/>
  <c r="M182" i="2"/>
  <c r="G182" i="2"/>
  <c r="Q181" i="2"/>
  <c r="M181" i="2"/>
  <c r="N181" i="2" s="1"/>
  <c r="Z181" i="2" s="1"/>
  <c r="AA181" i="2" s="1"/>
  <c r="AB181" i="2" s="1"/>
  <c r="G181" i="2"/>
  <c r="Q180" i="2"/>
  <c r="M180" i="2"/>
  <c r="N180" i="2" s="1"/>
  <c r="Z180" i="2" s="1"/>
  <c r="AA180" i="2" s="1"/>
  <c r="AB180" i="2" s="1"/>
  <c r="G180" i="2"/>
  <c r="Q179" i="2"/>
  <c r="N179" i="2"/>
  <c r="Z179" i="2" s="1"/>
  <c r="AA179" i="2" s="1"/>
  <c r="AB179" i="2" s="1"/>
  <c r="M179" i="2"/>
  <c r="G179" i="2"/>
  <c r="Q178" i="2"/>
  <c r="M178" i="2"/>
  <c r="N178" i="2" s="1"/>
  <c r="G178" i="2"/>
  <c r="Q177" i="2"/>
  <c r="M177" i="2"/>
  <c r="N177" i="2" s="1"/>
  <c r="Z177" i="2" s="1"/>
  <c r="AA177" i="2" s="1"/>
  <c r="AB177" i="2" s="1"/>
  <c r="G177" i="2"/>
  <c r="Z176" i="2"/>
  <c r="AA176" i="2" s="1"/>
  <c r="AB176" i="2" s="1"/>
  <c r="Q176" i="2"/>
  <c r="M176" i="2"/>
  <c r="N176" i="2" s="1"/>
  <c r="G176" i="2"/>
  <c r="Q175" i="2"/>
  <c r="N175" i="2"/>
  <c r="Z175" i="2" s="1"/>
  <c r="AA175" i="2" s="1"/>
  <c r="AB175" i="2" s="1"/>
  <c r="M175" i="2"/>
  <c r="G175" i="2"/>
  <c r="Q174" i="2"/>
  <c r="Z174" i="2" s="1"/>
  <c r="AA174" i="2" s="1"/>
  <c r="AB174" i="2" s="1"/>
  <c r="M174" i="2"/>
  <c r="N174" i="2" s="1"/>
  <c r="G174" i="2"/>
  <c r="Q173" i="2"/>
  <c r="M173" i="2"/>
  <c r="N173" i="2" s="1"/>
  <c r="G173" i="2"/>
  <c r="Q172" i="2"/>
  <c r="M172" i="2"/>
  <c r="N172" i="2" s="1"/>
  <c r="G172" i="2"/>
  <c r="Q171" i="2"/>
  <c r="M171" i="2"/>
  <c r="N171" i="2" s="1"/>
  <c r="G171" i="2"/>
  <c r="Q170" i="2"/>
  <c r="M170" i="2"/>
  <c r="N170" i="2" s="1"/>
  <c r="Z170" i="2" s="1"/>
  <c r="AA170" i="2" s="1"/>
  <c r="AB170" i="2" s="1"/>
  <c r="G170" i="2"/>
  <c r="Z169" i="2"/>
  <c r="AA169" i="2" s="1"/>
  <c r="AB169" i="2" s="1"/>
  <c r="Q169" i="2"/>
  <c r="M169" i="2"/>
  <c r="N169" i="2" s="1"/>
  <c r="G169" i="2"/>
  <c r="Q168" i="2"/>
  <c r="M168" i="2"/>
  <c r="N168" i="2" s="1"/>
  <c r="G168" i="2"/>
  <c r="Q167" i="2"/>
  <c r="M167" i="2"/>
  <c r="N167" i="2" s="1"/>
  <c r="G167" i="2"/>
  <c r="Q166" i="2"/>
  <c r="N166" i="2"/>
  <c r="Z166" i="2" s="1"/>
  <c r="AA166" i="2" s="1"/>
  <c r="AB166" i="2" s="1"/>
  <c r="M166" i="2"/>
  <c r="G166" i="2"/>
  <c r="AB165" i="2"/>
  <c r="Q165" i="2"/>
  <c r="M165" i="2"/>
  <c r="N165" i="2" s="1"/>
  <c r="Z165" i="2" s="1"/>
  <c r="AA165" i="2" s="1"/>
  <c r="G165" i="2"/>
  <c r="Q164" i="2"/>
  <c r="N164" i="2"/>
  <c r="Z164" i="2" s="1"/>
  <c r="AA164" i="2" s="1"/>
  <c r="AB164" i="2" s="1"/>
  <c r="M164" i="2"/>
  <c r="G164" i="2"/>
  <c r="Q163" i="2"/>
  <c r="M163" i="2"/>
  <c r="N163" i="2" s="1"/>
  <c r="Z163" i="2" s="1"/>
  <c r="AA163" i="2" s="1"/>
  <c r="AB163" i="2" s="1"/>
  <c r="G163" i="2"/>
  <c r="Q162" i="2"/>
  <c r="M162" i="2"/>
  <c r="N162" i="2" s="1"/>
  <c r="G162" i="2"/>
  <c r="Q161" i="2"/>
  <c r="M161" i="2"/>
  <c r="N161" i="2" s="1"/>
  <c r="Z161" i="2" s="1"/>
  <c r="AA161" i="2" s="1"/>
  <c r="AB161" i="2" s="1"/>
  <c r="G161" i="2"/>
  <c r="Q160" i="2"/>
  <c r="Z160" i="2" s="1"/>
  <c r="AA160" i="2" s="1"/>
  <c r="AB160" i="2" s="1"/>
  <c r="M160" i="2"/>
  <c r="N160" i="2" s="1"/>
  <c r="G160" i="2"/>
  <c r="Z159" i="2"/>
  <c r="AA159" i="2" s="1"/>
  <c r="AB159" i="2" s="1"/>
  <c r="Q159" i="2"/>
  <c r="N159" i="2"/>
  <c r="M159" i="2"/>
  <c r="G159" i="2"/>
  <c r="AB158" i="2"/>
  <c r="Q158" i="2"/>
  <c r="M158" i="2"/>
  <c r="N158" i="2" s="1"/>
  <c r="Z158" i="2" s="1"/>
  <c r="AA158" i="2" s="1"/>
  <c r="G158" i="2"/>
  <c r="Q157" i="2"/>
  <c r="N157" i="2"/>
  <c r="M157" i="2"/>
  <c r="G157" i="2"/>
  <c r="Q156" i="2"/>
  <c r="M156" i="2"/>
  <c r="N156" i="2" s="1"/>
  <c r="G156" i="2"/>
  <c r="Q155" i="2"/>
  <c r="M155" i="2"/>
  <c r="N155" i="2" s="1"/>
  <c r="G155" i="2"/>
  <c r="Q154" i="2"/>
  <c r="M154" i="2"/>
  <c r="N154" i="2" s="1"/>
  <c r="Z154" i="2" s="1"/>
  <c r="AA154" i="2" s="1"/>
  <c r="AB154" i="2" s="1"/>
  <c r="G154" i="2"/>
  <c r="Q153" i="2"/>
  <c r="M153" i="2"/>
  <c r="N153" i="2" s="1"/>
  <c r="Z153" i="2" s="1"/>
  <c r="AA153" i="2" s="1"/>
  <c r="AB153" i="2" s="1"/>
  <c r="G153" i="2"/>
  <c r="Q152" i="2"/>
  <c r="M152" i="2"/>
  <c r="N152" i="2" s="1"/>
  <c r="G152" i="2"/>
  <c r="Q151" i="2"/>
  <c r="M151" i="2"/>
  <c r="N151" i="2" s="1"/>
  <c r="G151" i="2"/>
  <c r="Q150" i="2"/>
  <c r="M150" i="2"/>
  <c r="N150" i="2" s="1"/>
  <c r="Z150" i="2" s="1"/>
  <c r="AA150" i="2" s="1"/>
  <c r="AB150" i="2" s="1"/>
  <c r="G150" i="2"/>
  <c r="Q149" i="2"/>
  <c r="M149" i="2"/>
  <c r="N149" i="2" s="1"/>
  <c r="Z149" i="2" s="1"/>
  <c r="AA149" i="2" s="1"/>
  <c r="AB149" i="2" s="1"/>
  <c r="G149" i="2"/>
  <c r="Q148" i="2"/>
  <c r="M148" i="2"/>
  <c r="N148" i="2" s="1"/>
  <c r="Z148" i="2" s="1"/>
  <c r="AA148" i="2" s="1"/>
  <c r="AB148" i="2" s="1"/>
  <c r="G148" i="2"/>
  <c r="Q147" i="2"/>
  <c r="M147" i="2"/>
  <c r="N147" i="2" s="1"/>
  <c r="Z147" i="2" s="1"/>
  <c r="AA147" i="2" s="1"/>
  <c r="AB147" i="2" s="1"/>
  <c r="G147" i="2"/>
  <c r="Q146" i="2"/>
  <c r="N146" i="2"/>
  <c r="Z146" i="2" s="1"/>
  <c r="AA146" i="2" s="1"/>
  <c r="AB146" i="2" s="1"/>
  <c r="M146" i="2"/>
  <c r="G146" i="2"/>
  <c r="AB145" i="2"/>
  <c r="Q145" i="2"/>
  <c r="M145" i="2"/>
  <c r="N145" i="2" s="1"/>
  <c r="Z145" i="2" s="1"/>
  <c r="AA145" i="2" s="1"/>
  <c r="G145" i="2"/>
  <c r="Q144" i="2"/>
  <c r="N144" i="2"/>
  <c r="Z144" i="2" s="1"/>
  <c r="AA144" i="2" s="1"/>
  <c r="AB144" i="2" s="1"/>
  <c r="M144" i="2"/>
  <c r="G144" i="2"/>
  <c r="Q143" i="2"/>
  <c r="Z143" i="2" s="1"/>
  <c r="AA143" i="2" s="1"/>
  <c r="AB143" i="2" s="1"/>
  <c r="M143" i="2"/>
  <c r="N143" i="2" s="1"/>
  <c r="G143" i="2"/>
  <c r="Q142" i="2"/>
  <c r="M142" i="2"/>
  <c r="N142" i="2" s="1"/>
  <c r="Z142" i="2" s="1"/>
  <c r="AA142" i="2" s="1"/>
  <c r="AB142" i="2" s="1"/>
  <c r="G142" i="2"/>
  <c r="Q141" i="2"/>
  <c r="N141" i="2"/>
  <c r="Z141" i="2" s="1"/>
  <c r="AA141" i="2" s="1"/>
  <c r="AB141" i="2" s="1"/>
  <c r="M141" i="2"/>
  <c r="G141" i="2"/>
  <c r="Z140" i="2"/>
  <c r="AA140" i="2" s="1"/>
  <c r="AB140" i="2" s="1"/>
  <c r="Q140" i="2"/>
  <c r="M140" i="2"/>
  <c r="N140" i="2" s="1"/>
  <c r="G140" i="2"/>
  <c r="Q139" i="2"/>
  <c r="N139" i="2"/>
  <c r="M139" i="2"/>
  <c r="G139" i="2"/>
  <c r="AA138" i="2"/>
  <c r="AB138" i="2" s="1"/>
  <c r="Q138" i="2"/>
  <c r="N138" i="2"/>
  <c r="Z138" i="2" s="1"/>
  <c r="M138" i="2"/>
  <c r="G138" i="2"/>
  <c r="Z137" i="2"/>
  <c r="AA137" i="2" s="1"/>
  <c r="AB137" i="2" s="1"/>
  <c r="Q137" i="2"/>
  <c r="M137" i="2"/>
  <c r="N137" i="2" s="1"/>
  <c r="G137" i="2"/>
  <c r="Q136" i="2"/>
  <c r="M136" i="2"/>
  <c r="N136" i="2" s="1"/>
  <c r="Z136" i="2" s="1"/>
  <c r="AA136" i="2" s="1"/>
  <c r="AB136" i="2" s="1"/>
  <c r="G136" i="2"/>
  <c r="Q135" i="2"/>
  <c r="M135" i="2"/>
  <c r="N135" i="2" s="1"/>
  <c r="Z135" i="2" s="1"/>
  <c r="AA135" i="2" s="1"/>
  <c r="AB135" i="2" s="1"/>
  <c r="G135" i="2"/>
  <c r="Q134" i="2"/>
  <c r="M134" i="2"/>
  <c r="N134" i="2" s="1"/>
  <c r="Z134" i="2" s="1"/>
  <c r="AA134" i="2" s="1"/>
  <c r="AB134" i="2" s="1"/>
  <c r="G134" i="2"/>
  <c r="Q133" i="2"/>
  <c r="M133" i="2"/>
  <c r="N133" i="2" s="1"/>
  <c r="Z133" i="2" s="1"/>
  <c r="AA133" i="2" s="1"/>
  <c r="AB133" i="2" s="1"/>
  <c r="G133" i="2"/>
  <c r="Q132" i="2"/>
  <c r="M132" i="2"/>
  <c r="N132" i="2" s="1"/>
  <c r="Z132" i="2" s="1"/>
  <c r="AA132" i="2" s="1"/>
  <c r="AB132" i="2" s="1"/>
  <c r="G132" i="2"/>
  <c r="Q131" i="2"/>
  <c r="M131" i="2"/>
  <c r="N131" i="2" s="1"/>
  <c r="G131" i="2"/>
  <c r="Q130" i="2"/>
  <c r="M130" i="2"/>
  <c r="N130" i="2" s="1"/>
  <c r="Z130" i="2" s="1"/>
  <c r="AA130" i="2" s="1"/>
  <c r="AB130" i="2" s="1"/>
  <c r="G130" i="2"/>
  <c r="Q129" i="2"/>
  <c r="Z129" i="2" s="1"/>
  <c r="AA129" i="2" s="1"/>
  <c r="AB129" i="2" s="1"/>
  <c r="M129" i="2"/>
  <c r="N129" i="2" s="1"/>
  <c r="G129" i="2"/>
  <c r="Q128" i="2"/>
  <c r="N128" i="2"/>
  <c r="Z128" i="2" s="1"/>
  <c r="AA128" i="2" s="1"/>
  <c r="AB128" i="2" s="1"/>
  <c r="M128" i="2"/>
  <c r="G128" i="2"/>
  <c r="Q127" i="2"/>
  <c r="M127" i="2"/>
  <c r="N127" i="2" s="1"/>
  <c r="Z127" i="2" s="1"/>
  <c r="AA127" i="2" s="1"/>
  <c r="AB127" i="2" s="1"/>
  <c r="G127" i="2"/>
  <c r="Q126" i="2"/>
  <c r="M126" i="2"/>
  <c r="N126" i="2" s="1"/>
  <c r="Z126" i="2" s="1"/>
  <c r="AA126" i="2" s="1"/>
  <c r="AB126" i="2" s="1"/>
  <c r="G126" i="2"/>
  <c r="Q125" i="2"/>
  <c r="N125" i="2"/>
  <c r="Z125" i="2" s="1"/>
  <c r="AA125" i="2" s="1"/>
  <c r="AB125" i="2" s="1"/>
  <c r="M125" i="2"/>
  <c r="G125" i="2"/>
  <c r="Z124" i="2"/>
  <c r="AA124" i="2" s="1"/>
  <c r="AB124" i="2" s="1"/>
  <c r="Q124" i="2"/>
  <c r="M124" i="2"/>
  <c r="N124" i="2" s="1"/>
  <c r="G124" i="2"/>
  <c r="Q123" i="2"/>
  <c r="N123" i="2"/>
  <c r="M123" i="2"/>
  <c r="G123" i="2"/>
  <c r="Q122" i="2"/>
  <c r="M122" i="2"/>
  <c r="N122" i="2" s="1"/>
  <c r="Z122" i="2" s="1"/>
  <c r="AA122" i="2" s="1"/>
  <c r="AB122" i="2" s="1"/>
  <c r="G122" i="2"/>
  <c r="Q121" i="2"/>
  <c r="Z121" i="2" s="1"/>
  <c r="AA121" i="2" s="1"/>
  <c r="AB121" i="2" s="1"/>
  <c r="M121" i="2"/>
  <c r="N121" i="2" s="1"/>
  <c r="G121" i="2"/>
  <c r="Q120" i="2"/>
  <c r="M120" i="2"/>
  <c r="N120" i="2" s="1"/>
  <c r="Z120" i="2" s="1"/>
  <c r="AA120" i="2" s="1"/>
  <c r="AB120" i="2" s="1"/>
  <c r="G120" i="2"/>
  <c r="Q119" i="2"/>
  <c r="M119" i="2"/>
  <c r="N119" i="2" s="1"/>
  <c r="Z119" i="2" s="1"/>
  <c r="AA119" i="2" s="1"/>
  <c r="AB119" i="2" s="1"/>
  <c r="G119" i="2"/>
  <c r="Q118" i="2"/>
  <c r="N118" i="2"/>
  <c r="Z118" i="2" s="1"/>
  <c r="AA118" i="2" s="1"/>
  <c r="AB118" i="2" s="1"/>
  <c r="M118" i="2"/>
  <c r="G118" i="2"/>
  <c r="Q117" i="2"/>
  <c r="M117" i="2"/>
  <c r="N117" i="2" s="1"/>
  <c r="Z117" i="2" s="1"/>
  <c r="AA117" i="2" s="1"/>
  <c r="AB117" i="2" s="1"/>
  <c r="G117" i="2"/>
  <c r="Q116" i="2"/>
  <c r="Z116" i="2" s="1"/>
  <c r="AA116" i="2" s="1"/>
  <c r="AB116" i="2" s="1"/>
  <c r="M116" i="2"/>
  <c r="N116" i="2" s="1"/>
  <c r="G116" i="2"/>
  <c r="Q115" i="2"/>
  <c r="M115" i="2"/>
  <c r="N115" i="2" s="1"/>
  <c r="G115" i="2"/>
  <c r="Q114" i="2"/>
  <c r="M114" i="2"/>
  <c r="N114" i="2" s="1"/>
  <c r="Z114" i="2" s="1"/>
  <c r="AA114" i="2" s="1"/>
  <c r="AB114" i="2" s="1"/>
  <c r="G114" i="2"/>
  <c r="Q113" i="2"/>
  <c r="Z113" i="2" s="1"/>
  <c r="AA113" i="2" s="1"/>
  <c r="AB113" i="2" s="1"/>
  <c r="M113" i="2"/>
  <c r="N113" i="2" s="1"/>
  <c r="G113" i="2"/>
  <c r="Z112" i="2"/>
  <c r="AA112" i="2" s="1"/>
  <c r="AB112" i="2" s="1"/>
  <c r="Q112" i="2"/>
  <c r="N112" i="2"/>
  <c r="M112" i="2"/>
  <c r="G112" i="2"/>
  <c r="Q111" i="2"/>
  <c r="M111" i="2"/>
  <c r="N111" i="2" s="1"/>
  <c r="Z111" i="2" s="1"/>
  <c r="AA111" i="2" s="1"/>
  <c r="AB111" i="2" s="1"/>
  <c r="G111" i="2"/>
  <c r="Q110" i="2"/>
  <c r="N110" i="2"/>
  <c r="Z110" i="2" s="1"/>
  <c r="AA110" i="2" s="1"/>
  <c r="AB110" i="2" s="1"/>
  <c r="M110" i="2"/>
  <c r="G110" i="2"/>
  <c r="Q109" i="2"/>
  <c r="M109" i="2"/>
  <c r="N109" i="2" s="1"/>
  <c r="Z109" i="2" s="1"/>
  <c r="AA109" i="2" s="1"/>
  <c r="AB109" i="2" s="1"/>
  <c r="G109" i="2"/>
  <c r="Q108" i="2"/>
  <c r="Z108" i="2" s="1"/>
  <c r="AA108" i="2" s="1"/>
  <c r="AB108" i="2" s="1"/>
  <c r="M108" i="2"/>
  <c r="N108" i="2" s="1"/>
  <c r="G108" i="2"/>
  <c r="Q107" i="2"/>
  <c r="M107" i="2"/>
  <c r="N107" i="2" s="1"/>
  <c r="G107" i="2"/>
  <c r="Q106" i="2"/>
  <c r="N106" i="2"/>
  <c r="Z106" i="2" s="1"/>
  <c r="AA106" i="2" s="1"/>
  <c r="AB106" i="2" s="1"/>
  <c r="M106" i="2"/>
  <c r="G106" i="2"/>
  <c r="Z105" i="2"/>
  <c r="AA105" i="2" s="1"/>
  <c r="AB105" i="2" s="1"/>
  <c r="Q105" i="2"/>
  <c r="M105" i="2"/>
  <c r="N105" i="2" s="1"/>
  <c r="G105" i="2"/>
  <c r="Q104" i="2"/>
  <c r="M104" i="2"/>
  <c r="N104" i="2" s="1"/>
  <c r="Z104" i="2" s="1"/>
  <c r="AA104" i="2" s="1"/>
  <c r="AB104" i="2" s="1"/>
  <c r="G104" i="2"/>
  <c r="Q103" i="2"/>
  <c r="M103" i="2"/>
  <c r="N103" i="2" s="1"/>
  <c r="Z103" i="2" s="1"/>
  <c r="AA103" i="2" s="1"/>
  <c r="AB103" i="2" s="1"/>
  <c r="G103" i="2"/>
  <c r="Q102" i="2"/>
  <c r="M102" i="2"/>
  <c r="N102" i="2" s="1"/>
  <c r="Z102" i="2" s="1"/>
  <c r="AA102" i="2" s="1"/>
  <c r="AB102" i="2" s="1"/>
  <c r="G102" i="2"/>
  <c r="Q101" i="2"/>
  <c r="M101" i="2"/>
  <c r="N101" i="2" s="1"/>
  <c r="Z101" i="2" s="1"/>
  <c r="AA101" i="2" s="1"/>
  <c r="AB101" i="2" s="1"/>
  <c r="G101" i="2"/>
  <c r="Q100" i="2"/>
  <c r="M100" i="2"/>
  <c r="N100" i="2" s="1"/>
  <c r="Z100" i="2" s="1"/>
  <c r="AA100" i="2" s="1"/>
  <c r="AB100" i="2" s="1"/>
  <c r="G100" i="2"/>
  <c r="Q99" i="2"/>
  <c r="M99" i="2"/>
  <c r="N99" i="2" s="1"/>
  <c r="G99" i="2"/>
  <c r="Q98" i="2"/>
  <c r="M98" i="2"/>
  <c r="N98" i="2" s="1"/>
  <c r="Z98" i="2" s="1"/>
  <c r="AA98" i="2" s="1"/>
  <c r="AB98" i="2" s="1"/>
  <c r="G98" i="2"/>
  <c r="Q97" i="2"/>
  <c r="M97" i="2"/>
  <c r="N97" i="2" s="1"/>
  <c r="Z97" i="2" s="1"/>
  <c r="AA97" i="2" s="1"/>
  <c r="AB97" i="2" s="1"/>
  <c r="G97" i="2"/>
  <c r="Q96" i="2"/>
  <c r="M96" i="2"/>
  <c r="N96" i="2" s="1"/>
  <c r="Z96" i="2" s="1"/>
  <c r="AA96" i="2" s="1"/>
  <c r="AB96" i="2" s="1"/>
  <c r="G96" i="2"/>
  <c r="Q95" i="2"/>
  <c r="M95" i="2"/>
  <c r="N95" i="2" s="1"/>
  <c r="Z95" i="2" s="1"/>
  <c r="AA95" i="2" s="1"/>
  <c r="AB95" i="2" s="1"/>
  <c r="G95" i="2"/>
  <c r="Q94" i="2"/>
  <c r="N94" i="2"/>
  <c r="Z94" i="2" s="1"/>
  <c r="AA94" i="2" s="1"/>
  <c r="AB94" i="2" s="1"/>
  <c r="M94" i="2"/>
  <c r="G94" i="2"/>
  <c r="Q93" i="2"/>
  <c r="M93" i="2"/>
  <c r="N93" i="2" s="1"/>
  <c r="Z93" i="2" s="1"/>
  <c r="AA93" i="2" s="1"/>
  <c r="AB93" i="2" s="1"/>
  <c r="G93" i="2"/>
  <c r="Q92" i="2"/>
  <c r="Z92" i="2" s="1"/>
  <c r="AA92" i="2" s="1"/>
  <c r="AB92" i="2" s="1"/>
  <c r="M92" i="2"/>
  <c r="N92" i="2" s="1"/>
  <c r="G92" i="2"/>
  <c r="Q91" i="2"/>
  <c r="M91" i="2"/>
  <c r="N91" i="2" s="1"/>
  <c r="G91" i="2"/>
  <c r="Q90" i="2"/>
  <c r="N90" i="2"/>
  <c r="Z90" i="2" s="1"/>
  <c r="AA90" i="2" s="1"/>
  <c r="AB90" i="2" s="1"/>
  <c r="M90" i="2"/>
  <c r="G90" i="2"/>
  <c r="Z89" i="2"/>
  <c r="AA89" i="2" s="1"/>
  <c r="AB89" i="2" s="1"/>
  <c r="Q89" i="2"/>
  <c r="M89" i="2"/>
  <c r="N89" i="2" s="1"/>
  <c r="G89" i="2"/>
  <c r="Q88" i="2"/>
  <c r="M88" i="2"/>
  <c r="N88" i="2" s="1"/>
  <c r="Z88" i="2" s="1"/>
  <c r="AA88" i="2" s="1"/>
  <c r="AB88" i="2" s="1"/>
  <c r="G88" i="2"/>
  <c r="Q87" i="2"/>
  <c r="M87" i="2"/>
  <c r="N87" i="2" s="1"/>
  <c r="Z87" i="2" s="1"/>
  <c r="AA87" i="2" s="1"/>
  <c r="AB87" i="2" s="1"/>
  <c r="G87" i="2"/>
  <c r="Q86" i="2"/>
  <c r="M86" i="2"/>
  <c r="N86" i="2" s="1"/>
  <c r="Z86" i="2" s="1"/>
  <c r="AA86" i="2" s="1"/>
  <c r="AB86" i="2" s="1"/>
  <c r="G86" i="2"/>
  <c r="Q85" i="2"/>
  <c r="M85" i="2"/>
  <c r="N85" i="2" s="1"/>
  <c r="Z85" i="2" s="1"/>
  <c r="AA85" i="2" s="1"/>
  <c r="AB85" i="2" s="1"/>
  <c r="G85" i="2"/>
  <c r="Q84" i="2"/>
  <c r="M84" i="2"/>
  <c r="N84" i="2" s="1"/>
  <c r="Z84" i="2" s="1"/>
  <c r="AA84" i="2" s="1"/>
  <c r="AB84" i="2" s="1"/>
  <c r="G84" i="2"/>
  <c r="Q83" i="2"/>
  <c r="M83" i="2"/>
  <c r="N83" i="2" s="1"/>
  <c r="G83" i="2"/>
  <c r="Q82" i="2"/>
  <c r="M82" i="2"/>
  <c r="N82" i="2" s="1"/>
  <c r="Z82" i="2" s="1"/>
  <c r="AA82" i="2" s="1"/>
  <c r="AB82" i="2" s="1"/>
  <c r="G82" i="2"/>
  <c r="Q81" i="2"/>
  <c r="M81" i="2"/>
  <c r="N81" i="2" s="1"/>
  <c r="Z81" i="2" s="1"/>
  <c r="AA81" i="2" s="1"/>
  <c r="AB81" i="2" s="1"/>
  <c r="G81" i="2"/>
  <c r="Q80" i="2"/>
  <c r="N80" i="2"/>
  <c r="Z80" i="2" s="1"/>
  <c r="AA80" i="2" s="1"/>
  <c r="AB80" i="2" s="1"/>
  <c r="M80" i="2"/>
  <c r="G80" i="2"/>
  <c r="Q79" i="2"/>
  <c r="N79" i="2"/>
  <c r="Z79" i="2" s="1"/>
  <c r="AA79" i="2" s="1"/>
  <c r="AB79" i="2" s="1"/>
  <c r="M79" i="2"/>
  <c r="G79" i="2"/>
  <c r="Q78" i="2"/>
  <c r="M78" i="2"/>
  <c r="N78" i="2" s="1"/>
  <c r="Z78" i="2" s="1"/>
  <c r="AA78" i="2" s="1"/>
  <c r="AB78" i="2" s="1"/>
  <c r="G78" i="2"/>
  <c r="Q77" i="2"/>
  <c r="N77" i="2"/>
  <c r="Z77" i="2" s="1"/>
  <c r="AA77" i="2" s="1"/>
  <c r="AB77" i="2" s="1"/>
  <c r="M77" i="2"/>
  <c r="G77" i="2"/>
  <c r="Z76" i="2"/>
  <c r="AA76" i="2" s="1"/>
  <c r="AB76" i="2" s="1"/>
  <c r="Q76" i="2"/>
  <c r="M76" i="2"/>
  <c r="N76" i="2" s="1"/>
  <c r="G76" i="2"/>
  <c r="Q75" i="2"/>
  <c r="M75" i="2"/>
  <c r="N75" i="2" s="1"/>
  <c r="Z75" i="2" s="1"/>
  <c r="AA75" i="2" s="1"/>
  <c r="AB75" i="2" s="1"/>
  <c r="G75" i="2"/>
  <c r="Q74" i="2"/>
  <c r="M74" i="2"/>
  <c r="N74" i="2" s="1"/>
  <c r="Z74" i="2" s="1"/>
  <c r="AA74" i="2" s="1"/>
  <c r="AB74" i="2" s="1"/>
  <c r="G74" i="2"/>
  <c r="Q73" i="2"/>
  <c r="M73" i="2"/>
  <c r="N73" i="2" s="1"/>
  <c r="Z73" i="2" s="1"/>
  <c r="AA73" i="2" s="1"/>
  <c r="AB73" i="2" s="1"/>
  <c r="G73" i="2"/>
  <c r="Q72" i="2"/>
  <c r="N72" i="2"/>
  <c r="M72" i="2"/>
  <c r="G72" i="2"/>
  <c r="Z71" i="2"/>
  <c r="AA71" i="2" s="1"/>
  <c r="AB71" i="2" s="1"/>
  <c r="Q71" i="2"/>
  <c r="M71" i="2"/>
  <c r="N71" i="2" s="1"/>
  <c r="G71" i="2"/>
  <c r="Q70" i="2"/>
  <c r="M70" i="2"/>
  <c r="N70" i="2" s="1"/>
  <c r="Z70" i="2" s="1"/>
  <c r="AA70" i="2" s="1"/>
  <c r="AB70" i="2" s="1"/>
  <c r="G70" i="2"/>
  <c r="Q69" i="2"/>
  <c r="M69" i="2"/>
  <c r="N69" i="2" s="1"/>
  <c r="Z69" i="2" s="1"/>
  <c r="AA69" i="2" s="1"/>
  <c r="AB69" i="2" s="1"/>
  <c r="G69" i="2"/>
  <c r="Q68" i="2"/>
  <c r="Z68" i="2" s="1"/>
  <c r="AA68" i="2" s="1"/>
  <c r="AB68" i="2" s="1"/>
  <c r="M68" i="2"/>
  <c r="N68" i="2" s="1"/>
  <c r="G68" i="2"/>
  <c r="Q67" i="2"/>
  <c r="M67" i="2"/>
  <c r="N67" i="2" s="1"/>
  <c r="G67" i="2"/>
  <c r="Q66" i="2"/>
  <c r="M66" i="2"/>
  <c r="N66" i="2" s="1"/>
  <c r="Z66" i="2" s="1"/>
  <c r="AA66" i="2" s="1"/>
  <c r="AB66" i="2" s="1"/>
  <c r="G66" i="2"/>
  <c r="Q65" i="2"/>
  <c r="M65" i="2"/>
  <c r="N65" i="2" s="1"/>
  <c r="Z65" i="2" s="1"/>
  <c r="AA65" i="2" s="1"/>
  <c r="AB65" i="2" s="1"/>
  <c r="G65" i="2"/>
  <c r="Q64" i="2"/>
  <c r="N64" i="2"/>
  <c r="Z64" i="2" s="1"/>
  <c r="AA64" i="2" s="1"/>
  <c r="AB64" i="2" s="1"/>
  <c r="M64" i="2"/>
  <c r="G64" i="2"/>
  <c r="Q63" i="2"/>
  <c r="N63" i="2"/>
  <c r="Z63" i="2" s="1"/>
  <c r="AA63" i="2" s="1"/>
  <c r="AB63" i="2" s="1"/>
  <c r="M63" i="2"/>
  <c r="G63" i="2"/>
  <c r="Q62" i="2"/>
  <c r="M62" i="2"/>
  <c r="N62" i="2" s="1"/>
  <c r="Z62" i="2" s="1"/>
  <c r="AA62" i="2" s="1"/>
  <c r="AB62" i="2" s="1"/>
  <c r="G62" i="2"/>
  <c r="Q61" i="2"/>
  <c r="M61" i="2"/>
  <c r="N61" i="2" s="1"/>
  <c r="Z61" i="2" s="1"/>
  <c r="AA61" i="2" s="1"/>
  <c r="AB61" i="2" s="1"/>
  <c r="G61" i="2"/>
  <c r="Q60" i="2"/>
  <c r="Z60" i="2" s="1"/>
  <c r="AA60" i="2" s="1"/>
  <c r="AB60" i="2" s="1"/>
  <c r="M60" i="2"/>
  <c r="N60" i="2" s="1"/>
  <c r="G60" i="2"/>
  <c r="M59" i="2"/>
  <c r="N59" i="2" s="1"/>
  <c r="Z59" i="2" s="1"/>
  <c r="AA59" i="2" s="1"/>
  <c r="AB59" i="2" s="1"/>
  <c r="G59" i="2"/>
  <c r="Q58" i="2"/>
  <c r="N58" i="2"/>
  <c r="Z58" i="2" s="1"/>
  <c r="AA58" i="2" s="1"/>
  <c r="AB58" i="2" s="1"/>
  <c r="M58" i="2"/>
  <c r="G58" i="2"/>
  <c r="Q57" i="2"/>
  <c r="M57" i="2"/>
  <c r="N57" i="2" s="1"/>
  <c r="Z57" i="2" s="1"/>
  <c r="AA57" i="2" s="1"/>
  <c r="AB57" i="2" s="1"/>
  <c r="G57" i="2"/>
  <c r="Q56" i="2"/>
  <c r="M56" i="2"/>
  <c r="N56" i="2" s="1"/>
  <c r="Z56" i="2" s="1"/>
  <c r="AA56" i="2" s="1"/>
  <c r="AB56" i="2" s="1"/>
  <c r="G56" i="2"/>
  <c r="Q55" i="2"/>
  <c r="M55" i="2"/>
  <c r="N55" i="2" s="1"/>
  <c r="Z55" i="2" s="1"/>
  <c r="AA55" i="2" s="1"/>
  <c r="AB55" i="2" s="1"/>
  <c r="G55" i="2"/>
  <c r="Q54" i="2"/>
  <c r="M54" i="2"/>
  <c r="N54" i="2" s="1"/>
  <c r="Z54" i="2" s="1"/>
  <c r="AA54" i="2" s="1"/>
  <c r="AB54" i="2" s="1"/>
  <c r="G54" i="2"/>
  <c r="Z53" i="2"/>
  <c r="AA53" i="2" s="1"/>
  <c r="AB53" i="2" s="1"/>
  <c r="Q53" i="2"/>
  <c r="M53" i="2"/>
  <c r="N53" i="2" s="1"/>
  <c r="G53" i="2"/>
  <c r="Q52" i="2"/>
  <c r="N52" i="2"/>
  <c r="Z52" i="2" s="1"/>
  <c r="AA52" i="2" s="1"/>
  <c r="AB52" i="2" s="1"/>
  <c r="M52" i="2"/>
  <c r="G52" i="2"/>
  <c r="Q51" i="2"/>
  <c r="M51" i="2"/>
  <c r="N51" i="2" s="1"/>
  <c r="Z51" i="2" s="1"/>
  <c r="AA51" i="2" s="1"/>
  <c r="AB51" i="2" s="1"/>
  <c r="G51" i="2"/>
  <c r="Q50" i="2"/>
  <c r="M50" i="2"/>
  <c r="N50" i="2" s="1"/>
  <c r="Z50" i="2" s="1"/>
  <c r="AA50" i="2" s="1"/>
  <c r="AB50" i="2" s="1"/>
  <c r="G50" i="2"/>
  <c r="Q49" i="2"/>
  <c r="M49" i="2"/>
  <c r="N49" i="2" s="1"/>
  <c r="Z49" i="2" s="1"/>
  <c r="AA49" i="2" s="1"/>
  <c r="AB49" i="2" s="1"/>
  <c r="G49" i="2"/>
  <c r="Q48" i="2"/>
  <c r="M48" i="2"/>
  <c r="N48" i="2" s="1"/>
  <c r="Z48" i="2" s="1"/>
  <c r="AA48" i="2" s="1"/>
  <c r="AB48" i="2" s="1"/>
  <c r="G48" i="2"/>
  <c r="Q47" i="2"/>
  <c r="M47" i="2"/>
  <c r="N47" i="2" s="1"/>
  <c r="Z47" i="2" s="1"/>
  <c r="AA47" i="2" s="1"/>
  <c r="AB47" i="2" s="1"/>
  <c r="G47" i="2"/>
  <c r="Q46" i="2"/>
  <c r="M46" i="2"/>
  <c r="N46" i="2" s="1"/>
  <c r="G46" i="2"/>
  <c r="Q45" i="2"/>
  <c r="N45" i="2"/>
  <c r="M45" i="2"/>
  <c r="G45" i="2"/>
  <c r="Q44" i="2"/>
  <c r="M44" i="2"/>
  <c r="N44" i="2" s="1"/>
  <c r="G44" i="2"/>
  <c r="Q43" i="2"/>
  <c r="M43" i="2"/>
  <c r="N43" i="2" s="1"/>
  <c r="G43" i="2"/>
  <c r="Q42" i="2"/>
  <c r="M42" i="2"/>
  <c r="N42" i="2" s="1"/>
  <c r="Z42" i="2" s="1"/>
  <c r="AA42" i="2" s="1"/>
  <c r="AB42" i="2" s="1"/>
  <c r="G42" i="2"/>
  <c r="Q41" i="2"/>
  <c r="N41" i="2"/>
  <c r="Z41" i="2" s="1"/>
  <c r="AA41" i="2" s="1"/>
  <c r="AB41" i="2" s="1"/>
  <c r="M41" i="2"/>
  <c r="G41" i="2"/>
  <c r="Q40" i="2"/>
  <c r="M40" i="2"/>
  <c r="N40" i="2" s="1"/>
  <c r="Z40" i="2" s="1"/>
  <c r="AA40" i="2" s="1"/>
  <c r="AB40" i="2" s="1"/>
  <c r="G40" i="2"/>
  <c r="Q39" i="2"/>
  <c r="M39" i="2"/>
  <c r="N39" i="2" s="1"/>
  <c r="Z39" i="2" s="1"/>
  <c r="AA39" i="2" s="1"/>
  <c r="AB39" i="2" s="1"/>
  <c r="G39" i="2"/>
  <c r="Q38" i="2"/>
  <c r="Z38" i="2" s="1"/>
  <c r="AA38" i="2" s="1"/>
  <c r="AB38" i="2" s="1"/>
  <c r="M38" i="2"/>
  <c r="N38" i="2" s="1"/>
  <c r="G38" i="2"/>
  <c r="Q37" i="2"/>
  <c r="M37" i="2"/>
  <c r="N37" i="2" s="1"/>
  <c r="G37" i="2"/>
  <c r="Q36" i="2"/>
  <c r="M36" i="2"/>
  <c r="N36" i="2" s="1"/>
  <c r="Z36" i="2" s="1"/>
  <c r="AA36" i="2" s="1"/>
  <c r="AB36" i="2" s="1"/>
  <c r="G36" i="2"/>
  <c r="Q35" i="2"/>
  <c r="Z35" i="2" s="1"/>
  <c r="AA35" i="2" s="1"/>
  <c r="AB35" i="2" s="1"/>
  <c r="M35" i="2"/>
  <c r="N35" i="2" s="1"/>
  <c r="G35" i="2"/>
  <c r="Q34" i="2"/>
  <c r="M34" i="2"/>
  <c r="N34" i="2" s="1"/>
  <c r="G34" i="2"/>
  <c r="Q33" i="2"/>
  <c r="M33" i="2"/>
  <c r="N33" i="2" s="1"/>
  <c r="Z33" i="2" s="1"/>
  <c r="AA33" i="2" s="1"/>
  <c r="AB33" i="2" s="1"/>
  <c r="G33" i="2"/>
  <c r="Q32" i="2"/>
  <c r="M32" i="2"/>
  <c r="N32" i="2" s="1"/>
  <c r="Z32" i="2" s="1"/>
  <c r="AA32" i="2" s="1"/>
  <c r="AB32" i="2" s="1"/>
  <c r="G32" i="2"/>
  <c r="Q31" i="2"/>
  <c r="M31" i="2"/>
  <c r="N31" i="2" s="1"/>
  <c r="Z31" i="2" s="1"/>
  <c r="AA31" i="2" s="1"/>
  <c r="AB31" i="2" s="1"/>
  <c r="G31" i="2"/>
  <c r="Q30" i="2"/>
  <c r="M30" i="2"/>
  <c r="N30" i="2" s="1"/>
  <c r="Z30" i="2" s="1"/>
  <c r="AA30" i="2" s="1"/>
  <c r="AB30" i="2" s="1"/>
  <c r="G30" i="2"/>
  <c r="Q29" i="2"/>
  <c r="N29" i="2"/>
  <c r="M29" i="2"/>
  <c r="G29" i="2"/>
  <c r="Q28" i="2"/>
  <c r="M28" i="2"/>
  <c r="N28" i="2" s="1"/>
  <c r="G28" i="2"/>
  <c r="Z27" i="2"/>
  <c r="AA27" i="2" s="1"/>
  <c r="AB27" i="2" s="1"/>
  <c r="Q27" i="2"/>
  <c r="M27" i="2"/>
  <c r="N27" i="2" s="1"/>
  <c r="G27" i="2"/>
  <c r="Q26" i="2"/>
  <c r="M26" i="2"/>
  <c r="N26" i="2" s="1"/>
  <c r="Z26" i="2" s="1"/>
  <c r="AA26" i="2" s="1"/>
  <c r="AB26" i="2" s="1"/>
  <c r="G26" i="2"/>
  <c r="Q25" i="2"/>
  <c r="N25" i="2"/>
  <c r="Z25" i="2" s="1"/>
  <c r="AA25" i="2" s="1"/>
  <c r="AB25" i="2" s="1"/>
  <c r="M25" i="2"/>
  <c r="G25" i="2"/>
  <c r="Q24" i="2"/>
  <c r="M24" i="2"/>
  <c r="N24" i="2" s="1"/>
  <c r="Z24" i="2" s="1"/>
  <c r="AA24" i="2" s="1"/>
  <c r="AB24" i="2" s="1"/>
  <c r="G24" i="2"/>
  <c r="Q23" i="2"/>
  <c r="M23" i="2"/>
  <c r="N23" i="2" s="1"/>
  <c r="Z23" i="2" s="1"/>
  <c r="AA23" i="2" s="1"/>
  <c r="AB23" i="2" s="1"/>
  <c r="G23" i="2"/>
  <c r="Q22" i="2"/>
  <c r="Z22" i="2" s="1"/>
  <c r="AA22" i="2" s="1"/>
  <c r="AB22" i="2" s="1"/>
  <c r="M22" i="2"/>
  <c r="N22" i="2" s="1"/>
  <c r="G22" i="2"/>
  <c r="Q21" i="2"/>
  <c r="M21" i="2"/>
  <c r="N21" i="2" s="1"/>
  <c r="G21" i="2"/>
  <c r="Q20" i="2"/>
  <c r="M20" i="2"/>
  <c r="N20" i="2" s="1"/>
  <c r="Z20" i="2" s="1"/>
  <c r="AA20" i="2" s="1"/>
  <c r="AB20" i="2" s="1"/>
  <c r="G20" i="2"/>
  <c r="Q19" i="2"/>
  <c r="Z19" i="2" s="1"/>
  <c r="AA19" i="2" s="1"/>
  <c r="AB19" i="2" s="1"/>
  <c r="M19" i="2"/>
  <c r="N19" i="2" s="1"/>
  <c r="G19" i="2"/>
  <c r="Q18" i="2"/>
  <c r="M18" i="2"/>
  <c r="N18" i="2" s="1"/>
  <c r="G18" i="2"/>
  <c r="Q17" i="2"/>
  <c r="M17" i="2"/>
  <c r="N17" i="2" s="1"/>
  <c r="Z17" i="2" s="1"/>
  <c r="AA17" i="2" s="1"/>
  <c r="AB17" i="2" s="1"/>
  <c r="G17" i="2"/>
  <c r="Q16" i="2"/>
  <c r="M16" i="2"/>
  <c r="N16" i="2" s="1"/>
  <c r="Z16" i="2" s="1"/>
  <c r="AA16" i="2" s="1"/>
  <c r="AB16" i="2" s="1"/>
  <c r="G16" i="2"/>
  <c r="Q15" i="2"/>
  <c r="M15" i="2"/>
  <c r="N15" i="2" s="1"/>
  <c r="G15" i="2"/>
  <c r="Q14" i="2"/>
  <c r="M14" i="2"/>
  <c r="N14" i="2" s="1"/>
  <c r="G14" i="2"/>
  <c r="AB13" i="2"/>
  <c r="AA13" i="2"/>
  <c r="Q12" i="2"/>
  <c r="M12" i="2"/>
  <c r="N12" i="2" s="1"/>
  <c r="G12" i="2"/>
  <c r="Q11" i="2"/>
  <c r="M11" i="2"/>
  <c r="N11" i="2" s="1"/>
  <c r="G11" i="2"/>
  <c r="Z10" i="2"/>
  <c r="AA10" i="2" s="1"/>
  <c r="AB10" i="2" s="1"/>
  <c r="Q10" i="2"/>
  <c r="N10" i="2"/>
  <c r="M10" i="2"/>
  <c r="G10" i="2"/>
  <c r="Q9" i="2"/>
  <c r="M9" i="2"/>
  <c r="N9" i="2" s="1"/>
  <c r="Z9" i="2" s="1"/>
  <c r="AA9" i="2" s="1"/>
  <c r="AB9" i="2" s="1"/>
  <c r="G9" i="2"/>
  <c r="Q8" i="2"/>
  <c r="M8" i="2"/>
  <c r="N8" i="2" s="1"/>
  <c r="Z8" i="2" s="1"/>
  <c r="AA8" i="2" s="1"/>
  <c r="AB8" i="2" s="1"/>
  <c r="G8" i="2"/>
  <c r="Q7" i="2"/>
  <c r="M7" i="2"/>
  <c r="N7" i="2" s="1"/>
  <c r="Z7" i="2" s="1"/>
  <c r="AA7" i="2" s="1"/>
  <c r="AB7" i="2" s="1"/>
  <c r="G7" i="2"/>
  <c r="Q6" i="2"/>
  <c r="M6" i="2"/>
  <c r="N6" i="2" s="1"/>
  <c r="Z6" i="2" s="1"/>
  <c r="AA6" i="2" s="1"/>
  <c r="AB6" i="2" s="1"/>
  <c r="G6" i="2"/>
  <c r="Q5" i="2"/>
  <c r="N5" i="2"/>
  <c r="Z5" i="2" s="1"/>
  <c r="AA5" i="2" s="1"/>
  <c r="AB5" i="2" s="1"/>
  <c r="M5" i="2"/>
  <c r="G5" i="2"/>
  <c r="Q4" i="2"/>
  <c r="M4" i="2"/>
  <c r="N4" i="2" s="1"/>
  <c r="G4" i="2"/>
  <c r="Q3" i="2"/>
  <c r="M3" i="2"/>
  <c r="N3" i="2" s="1"/>
  <c r="Z3" i="2" s="1"/>
  <c r="AA3" i="2" s="1"/>
  <c r="AB3" i="2" s="1"/>
  <c r="Z12" i="2" l="1"/>
  <c r="AA12" i="2" s="1"/>
  <c r="AB12" i="2" s="1"/>
  <c r="Z15" i="2"/>
  <c r="AA15" i="2" s="1"/>
  <c r="AB15" i="2" s="1"/>
  <c r="Z212" i="2"/>
  <c r="AA212" i="2" s="1"/>
  <c r="AB212" i="2" s="1"/>
  <c r="Z221" i="2"/>
  <c r="AA221" i="2" s="1"/>
  <c r="AB221" i="2" s="1"/>
  <c r="Z230" i="2"/>
  <c r="AA230" i="2" s="1"/>
  <c r="AB230" i="2" s="1"/>
  <c r="Z246" i="2"/>
  <c r="AA246" i="2" s="1"/>
  <c r="AB246" i="2" s="1"/>
  <c r="Z257" i="2"/>
  <c r="AA257" i="2" s="1"/>
  <c r="AB257" i="2" s="1"/>
  <c r="Z269" i="2"/>
  <c r="AA269" i="2" s="1"/>
  <c r="AB269" i="2" s="1"/>
  <c r="Z276" i="2"/>
  <c r="AA276" i="2" s="1"/>
  <c r="AB276" i="2" s="1"/>
  <c r="Z281" i="2"/>
  <c r="AA281" i="2" s="1"/>
  <c r="AB281" i="2" s="1"/>
  <c r="Z285" i="2"/>
  <c r="AA285" i="2" s="1"/>
  <c r="AB285" i="2" s="1"/>
  <c r="Z309" i="2"/>
  <c r="AA309" i="2" s="1"/>
  <c r="AB309" i="2" s="1"/>
  <c r="Z229" i="2"/>
  <c r="AA229" i="2" s="1"/>
  <c r="AB229" i="2" s="1"/>
  <c r="Z232" i="2"/>
  <c r="AA232" i="2" s="1"/>
  <c r="AB232" i="2" s="1"/>
  <c r="Z151" i="2"/>
  <c r="AA151" i="2" s="1"/>
  <c r="AB151" i="2" s="1"/>
  <c r="Z256" i="2"/>
  <c r="AA256" i="2" s="1"/>
  <c r="AB256" i="2" s="1"/>
  <c r="Z248" i="2"/>
  <c r="AA248" i="2" s="1"/>
  <c r="AB248" i="2" s="1"/>
  <c r="Z4" i="2"/>
  <c r="AA4" i="2" s="1"/>
  <c r="AB4" i="2" s="1"/>
  <c r="Z18" i="2"/>
  <c r="AA18" i="2" s="1"/>
  <c r="AB18" i="2" s="1"/>
  <c r="Z34" i="2"/>
  <c r="AA34" i="2" s="1"/>
  <c r="AB34" i="2" s="1"/>
  <c r="Z43" i="2"/>
  <c r="AA43" i="2" s="1"/>
  <c r="AB43" i="2" s="1"/>
  <c r="Z155" i="2"/>
  <c r="AA155" i="2" s="1"/>
  <c r="AB155" i="2" s="1"/>
  <c r="Z171" i="2"/>
  <c r="AA171" i="2" s="1"/>
  <c r="AB171" i="2" s="1"/>
  <c r="Z236" i="2"/>
  <c r="AA236" i="2" s="1"/>
  <c r="AB236" i="2" s="1"/>
  <c r="Z242" i="2"/>
  <c r="AA242" i="2" s="1"/>
  <c r="AB242" i="2" s="1"/>
  <c r="Z251" i="2"/>
  <c r="AA251" i="2" s="1"/>
  <c r="AB251" i="2" s="1"/>
  <c r="Z260" i="2"/>
  <c r="AA260" i="2" s="1"/>
  <c r="AB260" i="2" s="1"/>
  <c r="Z264" i="2"/>
  <c r="AA264" i="2" s="1"/>
  <c r="AB264" i="2" s="1"/>
  <c r="Z272" i="2"/>
  <c r="AA272" i="2" s="1"/>
  <c r="AB272" i="2" s="1"/>
  <c r="Z286" i="2"/>
  <c r="AA286" i="2" s="1"/>
  <c r="AB286" i="2" s="1"/>
  <c r="Z305" i="2"/>
  <c r="AA305" i="2" s="1"/>
  <c r="AB305" i="2" s="1"/>
  <c r="Z300" i="2"/>
  <c r="AA300" i="2" s="1"/>
  <c r="AB300" i="2" s="1"/>
  <c r="Z314" i="2"/>
  <c r="AA314" i="2" s="1"/>
  <c r="AB314" i="2" s="1"/>
  <c r="Z167" i="2"/>
  <c r="AA167" i="2" s="1"/>
  <c r="AB167" i="2" s="1"/>
  <c r="Z240" i="2"/>
  <c r="AA240" i="2" s="1"/>
  <c r="AB240" i="2" s="1"/>
  <c r="Z274" i="2"/>
  <c r="AA274" i="2" s="1"/>
  <c r="AB274" i="2" s="1"/>
  <c r="Z187" i="2"/>
  <c r="AA187" i="2" s="1"/>
  <c r="AB187" i="2" s="1"/>
  <c r="Z293" i="2"/>
  <c r="AA293" i="2" s="1"/>
  <c r="AB293" i="2" s="1"/>
  <c r="Z11" i="2"/>
  <c r="AA11" i="2" s="1"/>
  <c r="AB11" i="2" s="1"/>
  <c r="Z14" i="2"/>
  <c r="AA14" i="2" s="1"/>
  <c r="AB14" i="2" s="1"/>
  <c r="Z28" i="2"/>
  <c r="AA28" i="2" s="1"/>
  <c r="AB28" i="2" s="1"/>
  <c r="Z44" i="2"/>
  <c r="AA44" i="2" s="1"/>
  <c r="AB44" i="2" s="1"/>
  <c r="Z46" i="2"/>
  <c r="AA46" i="2" s="1"/>
  <c r="AB46" i="2" s="1"/>
  <c r="Z172" i="2"/>
  <c r="AA172" i="2" s="1"/>
  <c r="AB172" i="2" s="1"/>
  <c r="Z178" i="2"/>
  <c r="AA178" i="2" s="1"/>
  <c r="AB178" i="2" s="1"/>
  <c r="Z220" i="2"/>
  <c r="AA220" i="2" s="1"/>
  <c r="AB220" i="2" s="1"/>
  <c r="Z243" i="2"/>
  <c r="AA243" i="2" s="1"/>
  <c r="AB243" i="2" s="1"/>
  <c r="Z254" i="2"/>
  <c r="AA254" i="2" s="1"/>
  <c r="AB254" i="2" s="1"/>
  <c r="Z268" i="2"/>
  <c r="AA268" i="2" s="1"/>
  <c r="AB268" i="2" s="1"/>
  <c r="Z275" i="2"/>
  <c r="AA275" i="2" s="1"/>
  <c r="AB275" i="2" s="1"/>
  <c r="Z287" i="2"/>
  <c r="AA287" i="2" s="1"/>
  <c r="AB287" i="2" s="1"/>
  <c r="Z308" i="2"/>
  <c r="AA308" i="2" s="1"/>
  <c r="AB308" i="2" s="1"/>
  <c r="Z29" i="2"/>
  <c r="AA29" i="2" s="1"/>
  <c r="AB29" i="2" s="1"/>
  <c r="Z67" i="2"/>
  <c r="AA67" i="2" s="1"/>
  <c r="AB67" i="2" s="1"/>
  <c r="Z72" i="2"/>
  <c r="AA72" i="2" s="1"/>
  <c r="AB72" i="2" s="1"/>
  <c r="Z21" i="2"/>
  <c r="AA21" i="2" s="1"/>
  <c r="AB21" i="2" s="1"/>
  <c r="Z37" i="2"/>
  <c r="AA37" i="2" s="1"/>
  <c r="AB37" i="2" s="1"/>
  <c r="Z45" i="2"/>
  <c r="AA45" i="2" s="1"/>
  <c r="AB45" i="2" s="1"/>
  <c r="Z192" i="2"/>
  <c r="AA192" i="2" s="1"/>
  <c r="AB192" i="2" s="1"/>
  <c r="Z156" i="2"/>
  <c r="AA156" i="2" s="1"/>
  <c r="AB156" i="2" s="1"/>
  <c r="Z198" i="2"/>
  <c r="AA198" i="2" s="1"/>
  <c r="AB198" i="2" s="1"/>
  <c r="Z200" i="2"/>
  <c r="AA200" i="2" s="1"/>
  <c r="AB200" i="2" s="1"/>
  <c r="Z207" i="2"/>
  <c r="AA207" i="2" s="1"/>
  <c r="AB207" i="2" s="1"/>
  <c r="Z83" i="2"/>
  <c r="AA83" i="2" s="1"/>
  <c r="AB83" i="2" s="1"/>
  <c r="Z91" i="2"/>
  <c r="AA91" i="2" s="1"/>
  <c r="AB91" i="2" s="1"/>
  <c r="Z99" i="2"/>
  <c r="AA99" i="2" s="1"/>
  <c r="AB99" i="2" s="1"/>
  <c r="Z107" i="2"/>
  <c r="AA107" i="2" s="1"/>
  <c r="AB107" i="2" s="1"/>
  <c r="Z115" i="2"/>
  <c r="AA115" i="2" s="1"/>
  <c r="AB115" i="2" s="1"/>
  <c r="Z123" i="2"/>
  <c r="AA123" i="2" s="1"/>
  <c r="AB123" i="2" s="1"/>
  <c r="Z131" i="2"/>
  <c r="AA131" i="2" s="1"/>
  <c r="AB131" i="2" s="1"/>
  <c r="Z139" i="2"/>
  <c r="AA139" i="2" s="1"/>
  <c r="AB139" i="2" s="1"/>
  <c r="Z152" i="2"/>
  <c r="AA152" i="2" s="1"/>
  <c r="AB152" i="2" s="1"/>
  <c r="Z157" i="2"/>
  <c r="AA157" i="2" s="1"/>
  <c r="AB157" i="2" s="1"/>
  <c r="Z162" i="2"/>
  <c r="AA162" i="2" s="1"/>
  <c r="AB162" i="2" s="1"/>
  <c r="Z168" i="2"/>
  <c r="AA168" i="2" s="1"/>
  <c r="AB168" i="2" s="1"/>
  <c r="Z173" i="2"/>
  <c r="AA173" i="2" s="1"/>
  <c r="AB173" i="2" s="1"/>
  <c r="Z210" i="2"/>
  <c r="AA210" i="2" s="1"/>
  <c r="AB210" i="2" s="1"/>
  <c r="Z218" i="2"/>
  <c r="AA218" i="2" s="1"/>
  <c r="AB218" i="2" s="1"/>
  <c r="Z227" i="2"/>
  <c r="AA227" i="2" s="1"/>
  <c r="AB227" i="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<sst xmlns="http://schemas.openxmlformats.org/spreadsheetml/2006/main" count="5398" uniqueCount="2103">
  <si>
    <t>English, Year 1, 2020-2021</t>
  </si>
  <si>
    <t>October 2020</t>
  </si>
  <si>
    <t>December 2020</t>
  </si>
  <si>
    <t>Total</t>
  </si>
  <si>
    <t>March  2021</t>
  </si>
  <si>
    <t>IELTS</t>
  </si>
  <si>
    <t>out of 100</t>
  </si>
  <si>
    <t>out of 10</t>
  </si>
  <si>
    <t>out of 5</t>
  </si>
  <si>
    <t>ФИО</t>
  </si>
  <si>
    <t>Listening out of 9</t>
  </si>
  <si>
    <t>Reading out of 9</t>
  </si>
  <si>
    <t>Grammar out of 9</t>
  </si>
  <si>
    <t>Average, out of 9</t>
  </si>
  <si>
    <t>Total, out of 9</t>
  </si>
  <si>
    <t>Home Assignment, out of 10</t>
  </si>
  <si>
    <t>Listening, out of 9</t>
  </si>
  <si>
    <t>Reading, out of 9</t>
  </si>
  <si>
    <t>Writing, out of 9</t>
  </si>
  <si>
    <t>1st sem, out of 100</t>
  </si>
  <si>
    <t>Home assignment, out of 10</t>
  </si>
  <si>
    <t>Speaking, out 9</t>
  </si>
  <si>
    <t>Overall, out of 9</t>
  </si>
  <si>
    <t>Out of 100</t>
  </si>
  <si>
    <t>Out of 10</t>
  </si>
  <si>
    <t>Out of 5</t>
  </si>
  <si>
    <t>№ студ. билета</t>
  </si>
  <si>
    <t>№ англ. группы</t>
  </si>
  <si>
    <t>Аббасов Байрам Рахман Оглы</t>
  </si>
  <si>
    <t>Bayram Abbasov</t>
  </si>
  <si>
    <t>М201БМИЭФ025</t>
  </si>
  <si>
    <t>Абдуганиев Бехзод Бахромжон угли</t>
  </si>
  <si>
    <t>Abduganiev Bekhzod</t>
  </si>
  <si>
    <t>М201БМИЭФ005</t>
  </si>
  <si>
    <t>Абрамов Илья Викторович</t>
  </si>
  <si>
    <t>Abramov Ilia</t>
  </si>
  <si>
    <t>М201БМИЭФ023</t>
  </si>
  <si>
    <t>Аванесов Артем Андреевич</t>
  </si>
  <si>
    <t>Artem Avanesov</t>
  </si>
  <si>
    <t>М201БМИЭФ024</t>
  </si>
  <si>
    <t>Авдалян Георгий Каренович</t>
  </si>
  <si>
    <t>Georgy Avdalyan</t>
  </si>
  <si>
    <t>М201БМИЭФ302</t>
  </si>
  <si>
    <t>Агакишиева Нигар Исмаиловна</t>
  </si>
  <si>
    <t>Agakishieva Nigar</t>
  </si>
  <si>
    <t>М201БМИЭФ006</t>
  </si>
  <si>
    <t>Агеева Елизавета Игоревна</t>
  </si>
  <si>
    <t>Ageeva Elizaveta</t>
  </si>
  <si>
    <t>М201БМИЭФ026</t>
  </si>
  <si>
    <t>Азаренко Артем Александрович</t>
  </si>
  <si>
    <t>Artem Azarenko</t>
  </si>
  <si>
    <t>М201БМИЭФ027</t>
  </si>
  <si>
    <t>Азимова Асаль Сухробовна</t>
  </si>
  <si>
    <t>Azimova Asal</t>
  </si>
  <si>
    <t>М201БМИЭФ028</t>
  </si>
  <si>
    <t>Акопян Мариам Аперовна</t>
  </si>
  <si>
    <t>Mariam Akopian</t>
  </si>
  <si>
    <t>М201БМИЭФ029</t>
  </si>
  <si>
    <t>Албегов Азамат</t>
  </si>
  <si>
    <t>Алексеенко Полина Игоревна</t>
  </si>
  <si>
    <t>Alekseenko Polina</t>
  </si>
  <si>
    <t>М201БМИЭФ030</t>
  </si>
  <si>
    <t>Алехно Максим Игоревич</t>
  </si>
  <si>
    <t>Maxim Alekhno</t>
  </si>
  <si>
    <t>М201БМИЭФ031</t>
  </si>
  <si>
    <t>Алиев Арслан Магомедович</t>
  </si>
  <si>
    <t>Aliev Arslan</t>
  </si>
  <si>
    <t>М201БМИЭФ032</t>
  </si>
  <si>
    <t>Андреев Дмитрий Валерьевич</t>
  </si>
  <si>
    <t>Andreev Dmitrii</t>
  </si>
  <si>
    <t>М201БМИЭФ033</t>
  </si>
  <si>
    <t>Антипова Анна Михайловна</t>
  </si>
  <si>
    <t>Anna Antipova</t>
  </si>
  <si>
    <t>М201БМИЭФ034</t>
  </si>
  <si>
    <t>Антонян Роман Витальевич</t>
  </si>
  <si>
    <t>Roman Antonian</t>
  </si>
  <si>
    <t>М201БМИЭФ035</t>
  </si>
  <si>
    <t>Арчибасова Алина Олеговна</t>
  </si>
  <si>
    <t>Archibasova Alina</t>
  </si>
  <si>
    <t>М201БМИЭФ036</t>
  </si>
  <si>
    <t>Асадова Айгюн Джабировна</t>
  </si>
  <si>
    <t>Aygyun Asadova</t>
  </si>
  <si>
    <t>М201БМИЭФ037</t>
  </si>
  <si>
    <t>Атовмян Полина Игоревна</t>
  </si>
  <si>
    <t>Atovmyan Polina</t>
  </si>
  <si>
    <t>М201БМИЭФ038</t>
  </si>
  <si>
    <t>Атулян Анна Джаниковна</t>
  </si>
  <si>
    <t>Atulyan Anna</t>
  </si>
  <si>
    <t>М201БМИЭФ039</t>
  </si>
  <si>
    <t>Ахтариева Алена Данировна</t>
  </si>
  <si>
    <t>Akhtarieva Alena</t>
  </si>
  <si>
    <t>М201БМИЭФ040</t>
  </si>
  <si>
    <t>Бабаева Дженнет Бяшимовна</t>
  </si>
  <si>
    <t>Babaeva Dzhennet</t>
  </si>
  <si>
    <t>М201БМИЭФ041</t>
  </si>
  <si>
    <t>Бабаян Кристина Сергеевна</t>
  </si>
  <si>
    <t>Babayan Kristina</t>
  </si>
  <si>
    <t>М201БМИЭФ042</t>
  </si>
  <si>
    <t>Багдасарова Ангелина Рафиковна</t>
  </si>
  <si>
    <t>Bagdasarova Angelina</t>
  </si>
  <si>
    <t>М201БМИЭФ043</t>
  </si>
  <si>
    <t>Багдасарова Мария Артемовна</t>
  </si>
  <si>
    <t>Bagdasarova Mari</t>
  </si>
  <si>
    <t>М201БМИЭФ044</t>
  </si>
  <si>
    <t>Баричева Полина Олеговна</t>
  </si>
  <si>
    <t>Polina Baricheva</t>
  </si>
  <si>
    <t>М201БМИЭФ045</t>
  </si>
  <si>
    <t>Бахмутский Андрей Юрьевич</t>
  </si>
  <si>
    <t>Bahmutskiy Andrey</t>
  </si>
  <si>
    <t>М201БМИЭФ046</t>
  </si>
  <si>
    <t>Баходуров Руслан Мамурович</t>
  </si>
  <si>
    <t>Bahodurov Ruslan</t>
  </si>
  <si>
    <t>М201БМИЭФ290</t>
  </si>
  <si>
    <t>17 онлайн</t>
  </si>
  <si>
    <t>Баян Айрана Аясовна</t>
  </si>
  <si>
    <t>Bayan Ayrana</t>
  </si>
  <si>
    <t>М201БМИЭФ047</t>
  </si>
  <si>
    <t>Беляевский Иван Денисович</t>
  </si>
  <si>
    <t>Ivan Belyaevskiy</t>
  </si>
  <si>
    <t>М201БМИЭФ305</t>
  </si>
  <si>
    <t>не изучает</t>
  </si>
  <si>
    <t>не изучает англи (переводник)</t>
  </si>
  <si>
    <t>Бишир Младен -</t>
  </si>
  <si>
    <t>Bishir Mladen</t>
  </si>
  <si>
    <t>М201БМИЭФ291</t>
  </si>
  <si>
    <t>Бовдурец Сергей Сергеевич</t>
  </si>
  <si>
    <t>Sergey Bovdurets</t>
  </si>
  <si>
    <t>М201БМИЭФ048</t>
  </si>
  <si>
    <t>Богомазова Анна Сергеевна</t>
  </si>
  <si>
    <t>Bogomazova Anna</t>
  </si>
  <si>
    <t>М201БМИЭФ049</t>
  </si>
  <si>
    <t>Богомолова Дарья Евгеньевна</t>
  </si>
  <si>
    <t>Bogomolova Daria</t>
  </si>
  <si>
    <t>М201БМИЭФ050</t>
  </si>
  <si>
    <t>Болдова Мария Марковна</t>
  </si>
  <si>
    <t>Maria Boldova</t>
  </si>
  <si>
    <t>М201БМИЭФ051</t>
  </si>
  <si>
    <t>Болдырев Никита Сергеевич</t>
  </si>
  <si>
    <t>Boldyrev Nikita</t>
  </si>
  <si>
    <t>М201БМИЭФ052</t>
  </si>
  <si>
    <t>Борисов Валентин Денисович</t>
  </si>
  <si>
    <t>Borisov Valentin</t>
  </si>
  <si>
    <t>М201БМИЭФ053</t>
  </si>
  <si>
    <t>Борисов Станислав Викторович</t>
  </si>
  <si>
    <t>Borisov Stanislav</t>
  </si>
  <si>
    <t>М201БМИЭФ054</t>
  </si>
  <si>
    <t>Борисова Ульяна Васильевна</t>
  </si>
  <si>
    <t>Borisova Uliana</t>
  </si>
  <si>
    <t>М201БМИЭФ055</t>
  </si>
  <si>
    <t>Бородин Андрей Викторович</t>
  </si>
  <si>
    <t>Borodin Andrei</t>
  </si>
  <si>
    <t>М201БМИЭФ056</t>
  </si>
  <si>
    <t>Буднева Полина Михайловна</t>
  </si>
  <si>
    <t>Budneva Polina</t>
  </si>
  <si>
    <t>М201БМИЭФ057</t>
  </si>
  <si>
    <t>Булгакова Кристина Игоревна</t>
  </si>
  <si>
    <t>Bulgakova Kristina</t>
  </si>
  <si>
    <t>М201БМИЭФ058</t>
  </si>
  <si>
    <t>Бутакова Ксения Михайловна</t>
  </si>
  <si>
    <t>Butakova Ksenia</t>
  </si>
  <si>
    <t>М201БМИЭФ059</t>
  </si>
  <si>
    <t>Бушева Полина Олеговна</t>
  </si>
  <si>
    <t>Busheva Polina</t>
  </si>
  <si>
    <t>М201БМИЭФ060</t>
  </si>
  <si>
    <t>Ван Тур Тео Иосефа -</t>
  </si>
  <si>
    <t>Theo van Toor</t>
  </si>
  <si>
    <t>М201БМИЭФ301</t>
  </si>
  <si>
    <t>Ван Цзинхуэй -</t>
  </si>
  <si>
    <t>Wang Jinghui</t>
  </si>
  <si>
    <t>М201БМИЭФ007</t>
  </si>
  <si>
    <t>Ван Юйцзе -</t>
  </si>
  <si>
    <t>Wang Yujie</t>
  </si>
  <si>
    <t>М201БМИЭФ008</t>
  </si>
  <si>
    <t>Вахитова Алиса Радиковна</t>
  </si>
  <si>
    <t>Vakhitova Alisa</t>
  </si>
  <si>
    <t>М201БМИЭФ061</t>
  </si>
  <si>
    <t>Венгеров Кирилл Игоревич</t>
  </si>
  <si>
    <t>Vengerov Kirill</t>
  </si>
  <si>
    <t>М201БМИЭФ062</t>
  </si>
  <si>
    <t>Верба Владимир Максимович</t>
  </si>
  <si>
    <t>Verba Vladimir</t>
  </si>
  <si>
    <t>М201БМИЭФ063</t>
  </si>
  <si>
    <t>Видович Вера Янковна</t>
  </si>
  <si>
    <t>Vidovich Vera</t>
  </si>
  <si>
    <t>М201БМИЭФ064</t>
  </si>
  <si>
    <t>Виноградов Дмитрий Борисович</t>
  </si>
  <si>
    <t>Vinogradov Dmitry</t>
  </si>
  <si>
    <t>М201БМИЭФ065</t>
  </si>
  <si>
    <t>Вихарева Кристина Олеговна</t>
  </si>
  <si>
    <t>Vikhareva Kristina</t>
  </si>
  <si>
    <t>М201БМИЭФ066</t>
  </si>
  <si>
    <t>Власюк Дмитрий Святославович</t>
  </si>
  <si>
    <t>Vlasiuk Dmitrii</t>
  </si>
  <si>
    <t>М201БМИЭФ067</t>
  </si>
  <si>
    <t>Володченко Полина Витальевна</t>
  </si>
  <si>
    <t>Volodchenko Polina</t>
  </si>
  <si>
    <t>М201БМИЭФ068</t>
  </si>
  <si>
    <t>Волохова Екатерина Сергеевна</t>
  </si>
  <si>
    <t>Volokhova Ekaterina</t>
  </si>
  <si>
    <t>М201БМИЭФ069</t>
  </si>
  <si>
    <t>Воронов Валерий Алексеевич</t>
  </si>
  <si>
    <t>Voronov Valeriy</t>
  </si>
  <si>
    <t>М201БМИЭФ070</t>
  </si>
  <si>
    <t>Ворошилин Иван Игоревич</t>
  </si>
  <si>
    <t>Ivan Voroshilin</t>
  </si>
  <si>
    <t>М201БМИЭФ071</t>
  </si>
  <si>
    <t>Гайнутдинова Амина Ринатовна</t>
  </si>
  <si>
    <t>Gaynutdinova Amina</t>
  </si>
  <si>
    <t>М201БМИЭФ072</t>
  </si>
  <si>
    <t>Галиченко Валентина Павловна</t>
  </si>
  <si>
    <t>Galichenko Valentina</t>
  </si>
  <si>
    <t>М201БМИЭФ073</t>
  </si>
  <si>
    <t>Гвоздева Валерия Игоревна</t>
  </si>
  <si>
    <t>Gvozdeva Valeriia</t>
  </si>
  <si>
    <t>М201БМИЭФ074</t>
  </si>
  <si>
    <t>Гедгагов Султан Арсенович</t>
  </si>
  <si>
    <t>Gedgagov Sultan</t>
  </si>
  <si>
    <t>М201БМИЭФ075</t>
  </si>
  <si>
    <t>Гиниятуллин Эрнест Эдуардович</t>
  </si>
  <si>
    <t>Giniiatullin Ernest</t>
  </si>
  <si>
    <t>М201БМИЭФ076</t>
  </si>
  <si>
    <t>Глебов Юрий Юрьевич</t>
  </si>
  <si>
    <t>Glebov Yuri</t>
  </si>
  <si>
    <t>М201БМИЭФ077</t>
  </si>
  <si>
    <t>Гозгешев Эльдар Альбертович</t>
  </si>
  <si>
    <t>Gozgeshev Eldar</t>
  </si>
  <si>
    <t>М201БМИЭФ078</t>
  </si>
  <si>
    <t>Головин Артем Андреевич</t>
  </si>
  <si>
    <t>Golovin Artem</t>
  </si>
  <si>
    <t>М201БМИЭФ079</t>
  </si>
  <si>
    <t>Голоднова Анастасия Вадимовна</t>
  </si>
  <si>
    <t>Golodnova Anastasia</t>
  </si>
  <si>
    <t>М201БМИЭФ080</t>
  </si>
  <si>
    <t>Гольм Юлия Вадимовна</t>
  </si>
  <si>
    <t>Golm Yuliia</t>
  </si>
  <si>
    <t>М201БМИЭФ081</t>
  </si>
  <si>
    <t>Горовая Мария Андреевна</t>
  </si>
  <si>
    <t>Mariia Gorovaia</t>
  </si>
  <si>
    <t>М201БМИЭФ082</t>
  </si>
  <si>
    <t>Грицевич Камилла Евгеньевна</t>
  </si>
  <si>
    <t>Kamilla Gritsevich</t>
  </si>
  <si>
    <t>М201БМИЭФ083</t>
  </si>
  <si>
    <t>Гришин Александр Сергеевич</t>
  </si>
  <si>
    <t>Grishin Alexandr</t>
  </si>
  <si>
    <t>М201БМИЭФ084</t>
  </si>
  <si>
    <t>Гуманова Мария Михайловна</t>
  </si>
  <si>
    <t>Mariia Gumanova</t>
  </si>
  <si>
    <t>М201БМИЭФ085</t>
  </si>
  <si>
    <t>Гурбанов Осман Маисович</t>
  </si>
  <si>
    <t>Osman Gurbanov</t>
  </si>
  <si>
    <t>М201БМИЭФ018</t>
  </si>
  <si>
    <t>Даупбаева Айганым -</t>
  </si>
  <si>
    <t>Daupbayeva Aiganym</t>
  </si>
  <si>
    <t>М201БМИЭФ009</t>
  </si>
  <si>
    <t>Демьянов Александр Сергеевич</t>
  </si>
  <si>
    <t>Aleksandr Demianov</t>
  </si>
  <si>
    <t>М201БМИЭФ086</t>
  </si>
  <si>
    <t>Джумаян Анна Арамовна</t>
  </si>
  <si>
    <t>Anna</t>
  </si>
  <si>
    <t>М201БМИЭФ087</t>
  </si>
  <si>
    <t>Дижур Елизавета Геннадьевна</t>
  </si>
  <si>
    <t>Elizaveta Dizhur</t>
  </si>
  <si>
    <t>М201БМИЭФ088</t>
  </si>
  <si>
    <t>Динмухамед Даяна -</t>
  </si>
  <si>
    <t>Dinmukhamed Dayana</t>
  </si>
  <si>
    <t>М201БМИЭФ010</t>
  </si>
  <si>
    <t>Долганова Софья Михайловна</t>
  </si>
  <si>
    <t>Sofia Dolganova</t>
  </si>
  <si>
    <t>М201БМИЭФ089</t>
  </si>
  <si>
    <t>Дубинина Ксения Михайловна</t>
  </si>
  <si>
    <t>Dubinina Ksenia</t>
  </si>
  <si>
    <t>М201БМИЭФ090</t>
  </si>
  <si>
    <t>Дубровская Яна Олеговна</t>
  </si>
  <si>
    <t>Dubrovskaya Yana</t>
  </si>
  <si>
    <t>М201БМИЭФ091</t>
  </si>
  <si>
    <t>Дулгеру Алексей Артурович</t>
  </si>
  <si>
    <t>Alexey Dugleru</t>
  </si>
  <si>
    <t>М201БМИЭФ092</t>
  </si>
  <si>
    <t>Дулин Борис Константинович</t>
  </si>
  <si>
    <t>Boris Dulin</t>
  </si>
  <si>
    <t>М201БМИЭФ093</t>
  </si>
  <si>
    <t>Думнова Валерия Алексеевна</t>
  </si>
  <si>
    <t>Dumnova Valeriya</t>
  </si>
  <si>
    <t>М201БМИЭФ094</t>
  </si>
  <si>
    <t>Егоров Богдан Евгеньевич</t>
  </si>
  <si>
    <t>Bogdan Egorov</t>
  </si>
  <si>
    <t>М201БМИЭФ095</t>
  </si>
  <si>
    <t>Егорова Елизавета Борисовна</t>
  </si>
  <si>
    <t>Elizaveta Egorova</t>
  </si>
  <si>
    <t>М201БМИЭФ096</t>
  </si>
  <si>
    <t>Ершова Мария Александровна</t>
  </si>
  <si>
    <t>Maria Ershova</t>
  </si>
  <si>
    <t>М201БМИЭФ097</t>
  </si>
  <si>
    <t>Ескендир Ажар -</t>
  </si>
  <si>
    <t>Yeskendir Azhar</t>
  </si>
  <si>
    <t>М201БМИЭФ019</t>
  </si>
  <si>
    <t>Жданова Елизавета Александровна</t>
  </si>
  <si>
    <t>Jdanova Elizaveta</t>
  </si>
  <si>
    <t>М201БМИЭФ098</t>
  </si>
  <si>
    <t>Жижин Максим Андреевич</t>
  </si>
  <si>
    <t>Zhizhin Maxim</t>
  </si>
  <si>
    <t>М201БМИЭФ099</t>
  </si>
  <si>
    <t>Жиляева Елизавета -</t>
  </si>
  <si>
    <t>Zilajeva Jelizaveta</t>
  </si>
  <si>
    <t>М201БМИЭФ293</t>
  </si>
  <si>
    <t>Жук Марина Юрьевна</t>
  </si>
  <si>
    <t>Marina Zhuk</t>
  </si>
  <si>
    <t>М201БМИЭФ100</t>
  </si>
  <si>
    <t>Жученко Алла Сергеевна</t>
  </si>
  <si>
    <t>Alla Zhuchenko</t>
  </si>
  <si>
    <t>М201БМИЭФ101</t>
  </si>
  <si>
    <t>Завьялова Екатерина Алексеевна</t>
  </si>
  <si>
    <t>Zavyalova Ekaterina</t>
  </si>
  <si>
    <t>М201БМИЭФ102</t>
  </si>
  <si>
    <t>Зайнобиддинов Хожиакбар Мухаммаджон угли</t>
  </si>
  <si>
    <t>Zaynobiddinov Khojiakbar</t>
  </si>
  <si>
    <t>М191БМИЭФ292</t>
  </si>
  <si>
    <t>Запрягаева Влада Юрьевна</t>
  </si>
  <si>
    <t>Vlada Zapriagaeva</t>
  </si>
  <si>
    <t>М201БМИЭФ103</t>
  </si>
  <si>
    <t>Зезелев Максим Андреевич</t>
  </si>
  <si>
    <t>Zezelev Maxim</t>
  </si>
  <si>
    <t>М201БМИЭФ104</t>
  </si>
  <si>
    <t>Зимин Александр Ильич</t>
  </si>
  <si>
    <t>Zimin Alexander</t>
  </si>
  <si>
    <t>М201БМИЭФ105</t>
  </si>
  <si>
    <t>Золотарева Злата Сергеевна</t>
  </si>
  <si>
    <t>Zolotareva Zlata</t>
  </si>
  <si>
    <t>М201БМИЭФ106</t>
  </si>
  <si>
    <t>Зольникова Августа Сергеевна</t>
  </si>
  <si>
    <t>Avgusta Zolnikova</t>
  </si>
  <si>
    <t>М201БМИЭФ107</t>
  </si>
  <si>
    <t>Зыбин Федор Антонович</t>
  </si>
  <si>
    <t>Fedor Zybin</t>
  </si>
  <si>
    <t>М201БМИЭФ108</t>
  </si>
  <si>
    <t>Иванов Всеволод Никитич</t>
  </si>
  <si>
    <t>Ivanov Vsevolod</t>
  </si>
  <si>
    <t>М201БМИЭФ109</t>
  </si>
  <si>
    <t>Исаева Алина Юрьевна</t>
  </si>
  <si>
    <t>Alina Isaeva</t>
  </si>
  <si>
    <t>М201БМИЭФ110</t>
  </si>
  <si>
    <t>Ишутина Александра -</t>
  </si>
  <si>
    <t>Ishutina Alexandra</t>
  </si>
  <si>
    <t>М201БМИЭФ011</t>
  </si>
  <si>
    <t>Кабылбеков Алихан -</t>
  </si>
  <si>
    <t>Alikhan Kabylbekov</t>
  </si>
  <si>
    <t>М201БМИЭФ299</t>
  </si>
  <si>
    <t>Казыханов Ален -</t>
  </si>
  <si>
    <t>Kazykhanov Alen</t>
  </si>
  <si>
    <t>М201БМИЭФ294</t>
  </si>
  <si>
    <t>Каланджан Глеб Андреевич</t>
  </si>
  <si>
    <t>Kalandzhan Gleb</t>
  </si>
  <si>
    <t>М201БМИЭФ111</t>
  </si>
  <si>
    <t>Калиновский Алексей Александрович</t>
  </si>
  <si>
    <t>Kalinovskii Aleksei</t>
  </si>
  <si>
    <t>М201БМИЭФ112</t>
  </si>
  <si>
    <t>Караченцов Петр Андреевич</t>
  </si>
  <si>
    <t>Petr Karachentsov</t>
  </si>
  <si>
    <t>М201БМИЭФ113</t>
  </si>
  <si>
    <t>Карпилович Игнат Юрьевич</t>
  </si>
  <si>
    <t>Karpilovich Ihnat</t>
  </si>
  <si>
    <t>М201БМИЭФ012</t>
  </si>
  <si>
    <t>Ким Дмитрий Алексеевич</t>
  </si>
  <si>
    <t>Dmitrii Kim</t>
  </si>
  <si>
    <t>М201БМИЭФ114</t>
  </si>
  <si>
    <t>Киселев Георгий -</t>
  </si>
  <si>
    <t>Kiselev Georgy</t>
  </si>
  <si>
    <t>М201БМИЭФ286</t>
  </si>
  <si>
    <t>Коваленко Виктория Эдуардовна</t>
  </si>
  <si>
    <t>Kovalenko Viktoriia</t>
  </si>
  <si>
    <t>М201БМИЭФ115</t>
  </si>
  <si>
    <t>Козачук Александр Владимирович</t>
  </si>
  <si>
    <t>Kozachuk Aleksandr</t>
  </si>
  <si>
    <t>М201БМИЭФ116</t>
  </si>
  <si>
    <t>Козелло Екатерина Игоревна</t>
  </si>
  <si>
    <t>Ekaterina Kozello</t>
  </si>
  <si>
    <t>М201БМИЭФ117</t>
  </si>
  <si>
    <t>Козлов Максим Андреевич</t>
  </si>
  <si>
    <t>Maxim Kozlov</t>
  </si>
  <si>
    <t>М201БМИЭФ118</t>
  </si>
  <si>
    <t>Козлова Анна Сергеевна</t>
  </si>
  <si>
    <t>Anna Kozlova</t>
  </si>
  <si>
    <t>М201БМИЭФ119</t>
  </si>
  <si>
    <t>Кокина Алиса Александровна</t>
  </si>
  <si>
    <t>Kokina Alisa</t>
  </si>
  <si>
    <t>М201БМИЭФ120</t>
  </si>
  <si>
    <t>Кокорев Максим Александрович</t>
  </si>
  <si>
    <t>Maxim Kokorev</t>
  </si>
  <si>
    <t>М201БМИЭФ121</t>
  </si>
  <si>
    <t>Колесников Максим Александрович</t>
  </si>
  <si>
    <t>Maxim Kolesnikov</t>
  </si>
  <si>
    <t>М201БМИЭФ122</t>
  </si>
  <si>
    <t>Коломойцева Алина Леонидовна</t>
  </si>
  <si>
    <t>Kolomoytseva Alina</t>
  </si>
  <si>
    <t>М201БМИЭФ123</t>
  </si>
  <si>
    <t>Колтун Александра Максимовна</t>
  </si>
  <si>
    <t>Koltun Alexandra</t>
  </si>
  <si>
    <t>М201БМИЭФ124</t>
  </si>
  <si>
    <t>Колчин Борис Олегович</t>
  </si>
  <si>
    <t>Kolchin Boris</t>
  </si>
  <si>
    <t>М201БМИЭФ125</t>
  </si>
  <si>
    <t>Команова Алиса Викторовна</t>
  </si>
  <si>
    <t>Alisa Komanova</t>
  </si>
  <si>
    <t>М201БМИЭФ126</t>
  </si>
  <si>
    <t>Комарова Александра Денисовна</t>
  </si>
  <si>
    <t>Komarova Aleksandra</t>
  </si>
  <si>
    <t>М201БМИЭФ127</t>
  </si>
  <si>
    <t>Комарова Юлия Денисовна</t>
  </si>
  <si>
    <t>Yulia Komarova</t>
  </si>
  <si>
    <t>М201БМИЭФ128</t>
  </si>
  <si>
    <t>Кондрашова Елизавета Вячеславовна</t>
  </si>
  <si>
    <t>Kondrashova Elizaveta</t>
  </si>
  <si>
    <t>М201БМИЭФ129</t>
  </si>
  <si>
    <t>Кононова Мария Алексеевна</t>
  </si>
  <si>
    <t>Mariia Kononova</t>
  </si>
  <si>
    <t>М201БМИЭФ130</t>
  </si>
  <si>
    <t>Конькова Арина Александровна</t>
  </si>
  <si>
    <t>Konkova Arina</t>
  </si>
  <si>
    <t>М201БМИЭФ131</t>
  </si>
  <si>
    <t>Коробов Иван Дмитриевич</t>
  </si>
  <si>
    <t>Korobov Ivan</t>
  </si>
  <si>
    <t>М201БМИЭФ132</t>
  </si>
  <si>
    <t>Костенкова Дарья Алексеевна</t>
  </si>
  <si>
    <t>Kostenkova Daria</t>
  </si>
  <si>
    <t>М201БМИЭФ133</t>
  </si>
  <si>
    <t>Костюк Ярослав Русланович</t>
  </si>
  <si>
    <t>Yaroslav Kostyuk</t>
  </si>
  <si>
    <t>М201БМИЭФ134</t>
  </si>
  <si>
    <t>Косякова Мария Михайловна</t>
  </si>
  <si>
    <t>Maria Kosyakova</t>
  </si>
  <si>
    <t>слушатель</t>
  </si>
  <si>
    <t>не изучает англи (иуп)</t>
  </si>
  <si>
    <t>Кошелев Емельян Александрович</t>
  </si>
  <si>
    <t>Koshelev Emelian</t>
  </si>
  <si>
    <t>М201БМИЭФ135</t>
  </si>
  <si>
    <t>Крапивной Виталий Александрович</t>
  </si>
  <si>
    <t>Vitaliy Krapivnoy</t>
  </si>
  <si>
    <t>М201БМИЭФ136</t>
  </si>
  <si>
    <t>Красавин Олег Игоревич</t>
  </si>
  <si>
    <t>Oleg Krasavin</t>
  </si>
  <si>
    <t>М201БМИЭФ137</t>
  </si>
  <si>
    <t>Кревсун Алина Константиновна</t>
  </si>
  <si>
    <t>Alina Krevsun</t>
  </si>
  <si>
    <t>М201БМИЭФ138</t>
  </si>
  <si>
    <t>Кривошеева Анна Сергеевна</t>
  </si>
  <si>
    <t>Anna Krivosheeva</t>
  </si>
  <si>
    <t>М201БМИЭФ304</t>
  </si>
  <si>
    <t>Крымов Владислав Константинович</t>
  </si>
  <si>
    <t>Krymov Vladislav</t>
  </si>
  <si>
    <t>М201БМИЭФ139</t>
  </si>
  <si>
    <t>Кудрина Софья Александровна</t>
  </si>
  <si>
    <t>Sofia Kudrina</t>
  </si>
  <si>
    <t>М201БМИЭФ140</t>
  </si>
  <si>
    <t>Кудряшова Анна Андреевна</t>
  </si>
  <si>
    <t>Anna Kudryashova</t>
  </si>
  <si>
    <t>М201БМИЭФ141</t>
  </si>
  <si>
    <t>Кузнецов Аркадий Дмитриевич</t>
  </si>
  <si>
    <t>Arkadiy Kuznetsov</t>
  </si>
  <si>
    <t>М201БМИЭФ142</t>
  </si>
  <si>
    <t>Кузьмишин Леонид Алексеевич</t>
  </si>
  <si>
    <t>Kuzmishin Leonid</t>
  </si>
  <si>
    <t>М201БМИЭФ143</t>
  </si>
  <si>
    <t>Курбатов Игорь Владимирович</t>
  </si>
  <si>
    <t>Kurbatov Igor</t>
  </si>
  <si>
    <t>М201БМИЭФ144</t>
  </si>
  <si>
    <t>Курмукова Дарья Илдаровна</t>
  </si>
  <si>
    <t>Kurmukova Daria</t>
  </si>
  <si>
    <t>М201БМИЭФ145</t>
  </si>
  <si>
    <t>Кухлевская Анастасия Эдуардовна</t>
  </si>
  <si>
    <t>Anastasia Kukhlevskaia</t>
  </si>
  <si>
    <t>М201БМИЭФ146</t>
  </si>
  <si>
    <t>Кучев Виктор Николаевич</t>
  </si>
  <si>
    <t>Kuchev Viktor</t>
  </si>
  <si>
    <t>М201БМИЭФ147</t>
  </si>
  <si>
    <t>Лебедева Элина Эмильевна</t>
  </si>
  <si>
    <t>Elina Lebedeva</t>
  </si>
  <si>
    <t>М201БМИЭФ148</t>
  </si>
  <si>
    <t>Лиманский Лев Романович</t>
  </si>
  <si>
    <t>Limanskiy Leo</t>
  </si>
  <si>
    <t>М201БМИЭФ149</t>
  </si>
  <si>
    <t>Линь Данни -</t>
  </si>
  <si>
    <t>Lin Danni</t>
  </si>
  <si>
    <t>М201БМИЭФ295</t>
  </si>
  <si>
    <t>Лифар Михаил Андраникович</t>
  </si>
  <si>
    <t>Mikhail Lifar</t>
  </si>
  <si>
    <t>М201БМИЭФ150</t>
  </si>
  <si>
    <t>Лосаберидзе Полина Мамуковна</t>
  </si>
  <si>
    <t>Losaberidze Polina</t>
  </si>
  <si>
    <t>М201БМИЭФ151</t>
  </si>
  <si>
    <t>Лу Цзянь -</t>
  </si>
  <si>
    <t>Lu Jian</t>
  </si>
  <si>
    <t>М201БМИЭФ013</t>
  </si>
  <si>
    <t>Любимов Даниил Александрович</t>
  </si>
  <si>
    <t>Daniil Lyubimov</t>
  </si>
  <si>
    <t>М201БМИЭФ152</t>
  </si>
  <si>
    <t>Магамедова Анна Сергеевна</t>
  </si>
  <si>
    <t>Magamedova Anna</t>
  </si>
  <si>
    <t>М201БМИЭФ153</t>
  </si>
  <si>
    <t>Мазурин Даниил Денисович</t>
  </si>
  <si>
    <t>Daniil Mazurin</t>
  </si>
  <si>
    <t>М201БМИЭФ154</t>
  </si>
  <si>
    <t>Макарова Александра Борисовна</t>
  </si>
  <si>
    <t>Makarova Alexandra</t>
  </si>
  <si>
    <t>М201БМИЭФ155</t>
  </si>
  <si>
    <t>Максимов Дмитрий Александрович</t>
  </si>
  <si>
    <t>Dmitry Maximov</t>
  </si>
  <si>
    <t>М201БМИЭФ156</t>
  </si>
  <si>
    <t>Максимов Риад Юнусович</t>
  </si>
  <si>
    <t>Maksimov Riad</t>
  </si>
  <si>
    <t>М191БМИЭФ293</t>
  </si>
  <si>
    <t>Малькова Софья Алексеевна</t>
  </si>
  <si>
    <t>Malkova Sofia</t>
  </si>
  <si>
    <t>М201БМИЭФ157</t>
  </si>
  <si>
    <t>Мамедкеримов Руслан Тимурович</t>
  </si>
  <si>
    <t>Mamedkerimov Ruslan</t>
  </si>
  <si>
    <t>М201БМИЭФ158</t>
  </si>
  <si>
    <t>Манукян Александр Андраникович</t>
  </si>
  <si>
    <t>Manukyan Aleksandr</t>
  </si>
  <si>
    <t>М201БМИЭФ159</t>
  </si>
  <si>
    <t>Манчук Дмитрий Сергеевич</t>
  </si>
  <si>
    <t>Manchuk Dmitriy</t>
  </si>
  <si>
    <t>М201БМИЭФ160</t>
  </si>
  <si>
    <t>Маркарян Марк Жирайрович</t>
  </si>
  <si>
    <t>Markaryan Mark</t>
  </si>
  <si>
    <t>М201БМИЭФ161</t>
  </si>
  <si>
    <t>Марковская Анастасия Дмитриевна</t>
  </si>
  <si>
    <t>Markovskaya Anastasia</t>
  </si>
  <si>
    <t>М201БМИЭФ162</t>
  </si>
  <si>
    <t>Мартиросян Нарине Григорьевна</t>
  </si>
  <si>
    <t>Martirosian Narine</t>
  </si>
  <si>
    <t>М201БМИЭФ163</t>
  </si>
  <si>
    <t>Матвиевский Максим Павлович</t>
  </si>
  <si>
    <t>Matvievsky Maxim</t>
  </si>
  <si>
    <t>М201БМИЭФ164</t>
  </si>
  <si>
    <t>Махалова Софья Александровна</t>
  </si>
  <si>
    <t>Sofya Makhalova</t>
  </si>
  <si>
    <t>М201БМИЭФ165</t>
  </si>
  <si>
    <t>Махмудова Анастасия Искандаровна</t>
  </si>
  <si>
    <t>Makhmudova Anastasia</t>
  </si>
  <si>
    <t>М201БМИЭФ166</t>
  </si>
  <si>
    <t>Медведева Арина Евгеньевна</t>
  </si>
  <si>
    <t>Arina Medvedeva</t>
  </si>
  <si>
    <t>М201БМИЭФ167</t>
  </si>
  <si>
    <t>Мельников Игорь Александрович</t>
  </si>
  <si>
    <t>Melnikov Igor</t>
  </si>
  <si>
    <t>М201БМИЭФ168</t>
  </si>
  <si>
    <t>Мельничук Виолетта Владимировна</t>
  </si>
  <si>
    <t>Melnichuk Violetta</t>
  </si>
  <si>
    <t>М201БМИЭФ169</t>
  </si>
  <si>
    <t>Меркулова Виктория Анатольевна</t>
  </si>
  <si>
    <t>Merkulova Victoria</t>
  </si>
  <si>
    <t>М201БМИЭФ170</t>
  </si>
  <si>
    <t>Мечетина Ева Александровна</t>
  </si>
  <si>
    <t>Eva Mechetina</t>
  </si>
  <si>
    <t>М201БМИЭФ171</t>
  </si>
  <si>
    <t>Минаев Владислав Романович</t>
  </si>
  <si>
    <t>Vlad Minaev</t>
  </si>
  <si>
    <t>М201БМИЭФ172</t>
  </si>
  <si>
    <t>Мирзоева Айсел Фамиль кызы</t>
  </si>
  <si>
    <t>Aysel Mirzoeva</t>
  </si>
  <si>
    <t>М201БМИЭФ173</t>
  </si>
  <si>
    <t>Мишуков Егор Дмитриевич</t>
  </si>
  <si>
    <t>Mishukov Egor</t>
  </si>
  <si>
    <t>М201БМИЭФ174</t>
  </si>
  <si>
    <t>Моисеева Ксения Игоревна</t>
  </si>
  <si>
    <t>Moiseeva Ksenia</t>
  </si>
  <si>
    <t>М201БМИЭФ175</t>
  </si>
  <si>
    <t>Монгуш Валерия Аясовна</t>
  </si>
  <si>
    <t>Mongush Valeria</t>
  </si>
  <si>
    <t>М201БМИЭФ176</t>
  </si>
  <si>
    <t>Москалев Владимир</t>
  </si>
  <si>
    <t>Moskalev Vladimir</t>
  </si>
  <si>
    <t>Мочалов Алексей Андреевич</t>
  </si>
  <si>
    <t>Mochalov Alexey</t>
  </si>
  <si>
    <t>М201БМИЭФ177</t>
  </si>
  <si>
    <t>Мурзалина Жания -</t>
  </si>
  <si>
    <t>Murzalina Zhania</t>
  </si>
  <si>
    <t>М201БМИЭФ020</t>
  </si>
  <si>
    <t>Мурылева Ксения Антоновна</t>
  </si>
  <si>
    <t>Muryleva Ksenia</t>
  </si>
  <si>
    <t>М201БМИЭФ178</t>
  </si>
  <si>
    <t>Мухин Константин Григорьевич</t>
  </si>
  <si>
    <t>Mukhin Konstantin</t>
  </si>
  <si>
    <t>М201БМИЭФ179</t>
  </si>
  <si>
    <t>Мэссэрова Диана Ренатовна</t>
  </si>
  <si>
    <t>Messerova Diana</t>
  </si>
  <si>
    <t>М201БМИЭФ180</t>
  </si>
  <si>
    <t>Насонов Руслан Денисович</t>
  </si>
  <si>
    <t>Nasonov Ruslan</t>
  </si>
  <si>
    <t>М201БМИЭФ181</t>
  </si>
  <si>
    <t>Насуханова Ясмина Шаамановна</t>
  </si>
  <si>
    <t>Nasukhanova Iasmina</t>
  </si>
  <si>
    <t>М201БМИЭФ182</t>
  </si>
  <si>
    <t>Нерсесян Аристарх Робертович</t>
  </si>
  <si>
    <t>Nersesyan Aristarkh</t>
  </si>
  <si>
    <t>М201БМИЭФ183</t>
  </si>
  <si>
    <t>Нордас Анастасия Максимовна</t>
  </si>
  <si>
    <t>Anastasia Nordas</t>
  </si>
  <si>
    <t>М201БМИЭФ184</t>
  </si>
  <si>
    <t>Оганов Михаил Владимирович</t>
  </si>
  <si>
    <t>Oganov Mikhail</t>
  </si>
  <si>
    <t>М201БМИЭФ185</t>
  </si>
  <si>
    <t>Оглы Анастасия Александровна</t>
  </si>
  <si>
    <t>Ogly Anastasiia</t>
  </si>
  <si>
    <t>М201БМИЭФ186</t>
  </si>
  <si>
    <t>Одинцов Антон Викторович</t>
  </si>
  <si>
    <t>Odintsov Anton</t>
  </si>
  <si>
    <t>М201БМИЭФ187</t>
  </si>
  <si>
    <t>Одинцова Настасья Алексеевна</t>
  </si>
  <si>
    <t>Nastasya Odintsova</t>
  </si>
  <si>
    <t>М201БМИЭФ188</t>
  </si>
  <si>
    <t>Озолин Денис Александрович</t>
  </si>
  <si>
    <t>Denis Ozolin</t>
  </si>
  <si>
    <t>М201БМИЭФ189</t>
  </si>
  <si>
    <t>Оржебовская Евгения Константиновна</t>
  </si>
  <si>
    <t>Orzhebovskaia Evgeniia</t>
  </si>
  <si>
    <t>М201БМИЭФ190</t>
  </si>
  <si>
    <t>Орлова Варвара Максимовна</t>
  </si>
  <si>
    <t>Orlova Varvara</t>
  </si>
  <si>
    <t>М201БМИЭФ191</t>
  </si>
  <si>
    <t>Павлов Владимир -</t>
  </si>
  <si>
    <t>Pavlov Vladimir</t>
  </si>
  <si>
    <t>М201БМИЭФ287</t>
  </si>
  <si>
    <t>Павлоцкий Борис Ефимович</t>
  </si>
  <si>
    <t>Pavlotskiy Boris</t>
  </si>
  <si>
    <t>М201БМИЭФ192</t>
  </si>
  <si>
    <t>Панин Кирилл Артемович</t>
  </si>
  <si>
    <t>Panin Kirill</t>
  </si>
  <si>
    <t>М201БМИЭФ193</t>
  </si>
  <si>
    <t>Панин Максим Александрович</t>
  </si>
  <si>
    <t>Panin Maxim</t>
  </si>
  <si>
    <t>М201БМИЭФ194</t>
  </si>
  <si>
    <t>Пасихов Никита Денисович</t>
  </si>
  <si>
    <t>Pasikhov Nikita</t>
  </si>
  <si>
    <t>М201БМИЭФ195</t>
  </si>
  <si>
    <t>Перваков Владислав Вадимович</t>
  </si>
  <si>
    <t>Pervakov Vladislav</t>
  </si>
  <si>
    <t>М201БМИЭФ196</t>
  </si>
  <si>
    <t>Пинчук Екатерина Витальевна</t>
  </si>
  <si>
    <t>Ekaterina Pinchuk</t>
  </si>
  <si>
    <t>М201БМИЭФ197</t>
  </si>
  <si>
    <t>Поляков Александр Андреевич</t>
  </si>
  <si>
    <t>Polyakov Alexander</t>
  </si>
  <si>
    <t>М201БМИЭФ198</t>
  </si>
  <si>
    <t>Поляков Артемий Владимирович</t>
  </si>
  <si>
    <t>Polyakov Artemiy</t>
  </si>
  <si>
    <t>М181БМИЭФ184</t>
  </si>
  <si>
    <t>Попельнюхова Екатерина Сергеевна</t>
  </si>
  <si>
    <t>epopelnyukhova</t>
  </si>
  <si>
    <t>М201БМИЭФ199</t>
  </si>
  <si>
    <t>Поспелова Полина Андреевна</t>
  </si>
  <si>
    <t>Pospelova Polina</t>
  </si>
  <si>
    <t>М201БМИЭФ200</t>
  </si>
  <si>
    <t>Потехина Вера Андреевна</t>
  </si>
  <si>
    <t>Potekhina Vera</t>
  </si>
  <si>
    <t>М201БМИЭФ201</t>
  </si>
  <si>
    <t>Прусаков Андрей Денисович</t>
  </si>
  <si>
    <t>Prusakov Andrey</t>
  </si>
  <si>
    <t>М201БМИЭФ202</t>
  </si>
  <si>
    <t>Пятаков Илья Андреевич</t>
  </si>
  <si>
    <t>Piatakov Ilia</t>
  </si>
  <si>
    <t>М201БМИЭФ203</t>
  </si>
  <si>
    <t>Распутина Софья Александровна</t>
  </si>
  <si>
    <t>Rasputina Sofia</t>
  </si>
  <si>
    <t>М201БМИЭФ204</t>
  </si>
  <si>
    <t>Ратушная Александра Романовна</t>
  </si>
  <si>
    <t>Aleksandra Ratushnaia</t>
  </si>
  <si>
    <t>М201БМИЭФ205</t>
  </si>
  <si>
    <t>Рафаелян Георгий Робертович</t>
  </si>
  <si>
    <t>Georgii Rafaelian</t>
  </si>
  <si>
    <t>М201БМИЭФ206</t>
  </si>
  <si>
    <t>Репецкая Матрена Сергеевна</t>
  </si>
  <si>
    <t>Repetskaya Matrena</t>
  </si>
  <si>
    <t>М201БМИЭФ207</t>
  </si>
  <si>
    <t>Роберт Алексей Эрикович</t>
  </si>
  <si>
    <t>Robert Alexey</t>
  </si>
  <si>
    <t>М201БМИЭФ208</t>
  </si>
  <si>
    <t>Романова Александра Андреевна</t>
  </si>
  <si>
    <t>Romanova Alexandra</t>
  </si>
  <si>
    <t>М201БМИЭФ209</t>
  </si>
  <si>
    <t>Рубан Иван Константинович</t>
  </si>
  <si>
    <t>Ruban Ivan</t>
  </si>
  <si>
    <t>М201БМИЭФ210</t>
  </si>
  <si>
    <t>Савиных Егор Сергеевич</t>
  </si>
  <si>
    <t>Savinykh Egor</t>
  </si>
  <si>
    <t>М201БМИЭФ211</t>
  </si>
  <si>
    <t>Сагиев Вадим Вадимович</t>
  </si>
  <si>
    <t>Sagiev Vadim</t>
  </si>
  <si>
    <t>М201БМИЭФ212</t>
  </si>
  <si>
    <t>Сайфуллин Арсен Эдуардович</t>
  </si>
  <si>
    <t>Saifullin Arsen</t>
  </si>
  <si>
    <t>7.0</t>
  </si>
  <si>
    <t>М201БМИЭФ213</t>
  </si>
  <si>
    <t>Саладущенкова Екатерина Евгеньевна</t>
  </si>
  <si>
    <t>Saladushchenkova Ekaterina</t>
  </si>
  <si>
    <t>М201БМИЭФ214</t>
  </si>
  <si>
    <t>Сало Назар</t>
  </si>
  <si>
    <t>Салямова София Эдуардовна</t>
  </si>
  <si>
    <t>Saliamova Sofiia</t>
  </si>
  <si>
    <t>М201БМИЭФ215</t>
  </si>
  <si>
    <t>Самокишин Семен Алексеевич</t>
  </si>
  <si>
    <t>Samokishin Semyon</t>
  </si>
  <si>
    <t>М201БМИЭФ216</t>
  </si>
  <si>
    <t>Сахно Евфросиния Дмитриевна</t>
  </si>
  <si>
    <t>Evfrosiniia Sakhno</t>
  </si>
  <si>
    <t>М201БМИЭФ217</t>
  </si>
  <si>
    <t>Секрет Татьяна Андреевна</t>
  </si>
  <si>
    <t>Sekret Tatiana</t>
  </si>
  <si>
    <t>М201БМИЭФ218</t>
  </si>
  <si>
    <t>Сердюк Даниил Игоревич</t>
  </si>
  <si>
    <t>Serdyuk Daniil</t>
  </si>
  <si>
    <t>М201БМИЭФ219</t>
  </si>
  <si>
    <t>Сиваков Симон</t>
  </si>
  <si>
    <t>Синельник Софья Вадимовна</t>
  </si>
  <si>
    <t>Sinelnik Sofya</t>
  </si>
  <si>
    <t>М201БМИЭФ220</t>
  </si>
  <si>
    <t>Синявская Дарья Степановна</t>
  </si>
  <si>
    <t>Siniavskaia Daria</t>
  </si>
  <si>
    <t>М201БМИЭФ014</t>
  </si>
  <si>
    <t>Смирнов Георгий Александрович</t>
  </si>
  <si>
    <t>Smirnov Georgii</t>
  </si>
  <si>
    <t>М201БМИЭФ221</t>
  </si>
  <si>
    <t>Смирнов Павел Сергеевич</t>
  </si>
  <si>
    <t>Pavel Smirnov</t>
  </si>
  <si>
    <t>М201БМИЭФ222</t>
  </si>
  <si>
    <t>Снастина Софья Алексеевна</t>
  </si>
  <si>
    <t>Sofya Snastina</t>
  </si>
  <si>
    <t>М201БМИЭФ223</t>
  </si>
  <si>
    <t>Соболева Виктория -</t>
  </si>
  <si>
    <t>Soboleva Viktoriya</t>
  </si>
  <si>
    <t>М201БМИЭФ300</t>
  </si>
  <si>
    <t>Солнцев Кирилл Викторович</t>
  </si>
  <si>
    <t>Solntsev Kirill</t>
  </si>
  <si>
    <t>М201БМИЭФ224</t>
  </si>
  <si>
    <t>Сосорев Владимир Андреевич</t>
  </si>
  <si>
    <t>Sosorev Vladimir</t>
  </si>
  <si>
    <t>М201БМИЭФ225</t>
  </si>
  <si>
    <t>Стародубов Егор Алексеевич</t>
  </si>
  <si>
    <t>Starodubov Egor</t>
  </si>
  <si>
    <t>М201БМИЭФ226</t>
  </si>
  <si>
    <t>Стефанова Варвара Александровна</t>
  </si>
  <si>
    <t>Varvara Stefanova</t>
  </si>
  <si>
    <t>М201БМИЭФ227</t>
  </si>
  <si>
    <t>Стрельников Владимир Игоревич</t>
  </si>
  <si>
    <t>Strelnikov Vladimir</t>
  </si>
  <si>
    <t>М201БМИЭФ228</t>
  </si>
  <si>
    <t>Стукан Дмитрий Александрович</t>
  </si>
  <si>
    <t>Stukan Dmitry</t>
  </si>
  <si>
    <t>М201БМИЭФ229</t>
  </si>
  <si>
    <t>Султонбеков Хусанбек Гофурбек угли</t>
  </si>
  <si>
    <t>Khusanbek Sultanbekov</t>
  </si>
  <si>
    <t>М191БМИЭФ290</t>
  </si>
  <si>
    <t>Суханова Анастасия Игоревна</t>
  </si>
  <si>
    <t>Sukhanova Anastasia</t>
  </si>
  <si>
    <t>М201БМИЭФ230</t>
  </si>
  <si>
    <t>Сучков Артем Алексеевич</t>
  </si>
  <si>
    <t>Artem</t>
  </si>
  <si>
    <t>М201БМИЭФ231</t>
  </si>
  <si>
    <t>Тангиев Идрис Ибрагимович</t>
  </si>
  <si>
    <t>Tangiev Idris</t>
  </si>
  <si>
    <t>М201БМИЭФ232</t>
  </si>
  <si>
    <t>Тарасов Кирилл Олегович</t>
  </si>
  <si>
    <t>Tarasov Kirill</t>
  </si>
  <si>
    <t>М201БМИЭФ233</t>
  </si>
  <si>
    <t>Тасминская Анастасия Михайловна</t>
  </si>
  <si>
    <t>Tasminskaya Anastasia</t>
  </si>
  <si>
    <t>6.0</t>
  </si>
  <si>
    <t>М201БМИЭФ234</t>
  </si>
  <si>
    <t>Тесленко Петр Олегович</t>
  </si>
  <si>
    <t>Teslenko Petr</t>
  </si>
  <si>
    <t>М201БМИЭФ235</t>
  </si>
  <si>
    <t>Тишков Александр Александрович</t>
  </si>
  <si>
    <t>Tishkov Alexander</t>
  </si>
  <si>
    <t>М201БМИЭФ236</t>
  </si>
  <si>
    <t>Тишкова Софья Сергеевна</t>
  </si>
  <si>
    <t>Sofya Tishkova</t>
  </si>
  <si>
    <t>М201БМИЭФ237</t>
  </si>
  <si>
    <t>Тищенко Александр Сергеевич</t>
  </si>
  <si>
    <t>Tishchenko Alexandr</t>
  </si>
  <si>
    <t>М201БМИЭФ238</t>
  </si>
  <si>
    <t>Толеужан Адилет -</t>
  </si>
  <si>
    <t>Adilet Toleuzhan</t>
  </si>
  <si>
    <t>М201БМИЭФ288</t>
  </si>
  <si>
    <t>Томилин Артем -</t>
  </si>
  <si>
    <t>Tomilin Artyom</t>
  </si>
  <si>
    <t>М201БМИЭФ296</t>
  </si>
  <si>
    <t>Точилкина Алена Игоревна</t>
  </si>
  <si>
    <t>Alena Tochilkina</t>
  </si>
  <si>
    <t>-</t>
  </si>
  <si>
    <t>не изучает англи ( по обмену)</t>
  </si>
  <si>
    <t>Троценко Глеб Викторович</t>
  </si>
  <si>
    <t>Gleb Trostenko</t>
  </si>
  <si>
    <t>пока нет студака, так как переводник</t>
  </si>
  <si>
    <t>Трубачевс Данила -</t>
  </si>
  <si>
    <t>Trubacevs Danila</t>
  </si>
  <si>
    <t>академ</t>
  </si>
  <si>
    <t>Трухан Никита Александрович</t>
  </si>
  <si>
    <t>Trukhan Nikita</t>
  </si>
  <si>
    <t>М201БМИЭФ239</t>
  </si>
  <si>
    <t>Турнаев Александр -</t>
  </si>
  <si>
    <t>Turnaev Alexandr</t>
  </si>
  <si>
    <t>М201БМИЭФ015</t>
  </si>
  <si>
    <t>Туровская Мария Сергеевна</t>
  </si>
  <si>
    <t>Maria Turovskaya</t>
  </si>
  <si>
    <t>М201БМИЭФ240</t>
  </si>
  <si>
    <t>Удовица Артем Олегович</t>
  </si>
  <si>
    <t>Udovitsa Artem</t>
  </si>
  <si>
    <t>М201БМИЭФ241</t>
  </si>
  <si>
    <t>Уланова Алина Николаевна</t>
  </si>
  <si>
    <t>Ulanova Alina</t>
  </si>
  <si>
    <t>М201БМИЭФ242</t>
  </si>
  <si>
    <t>Уланова Виктория Николаевна</t>
  </si>
  <si>
    <t>Ulanova Viktoriia</t>
  </si>
  <si>
    <t>М201БМИЭФ243</t>
  </si>
  <si>
    <t>Уразбахтин Радмир Расихович</t>
  </si>
  <si>
    <t>Radmir Urazbakhtin</t>
  </si>
  <si>
    <t>4.5</t>
  </si>
  <si>
    <t>М201БМИЭФ244</t>
  </si>
  <si>
    <t>Устименко Полина Антоновна</t>
  </si>
  <si>
    <t>Ustimenko Polina</t>
  </si>
  <si>
    <t>М201БМИЭФ245</t>
  </si>
  <si>
    <t>Уталиев Ахат</t>
  </si>
  <si>
    <t>Утамов Жасурбек Хамраевич</t>
  </si>
  <si>
    <t>Utamov Jasurbek</t>
  </si>
  <si>
    <t>Ушакова Дарья Андреевна</t>
  </si>
  <si>
    <t>Ushakova Daria</t>
  </si>
  <si>
    <t>М201БМИЭФ246</t>
  </si>
  <si>
    <t>Федорова Елизавета Александровна</t>
  </si>
  <si>
    <t>Fedorova Elizaveta</t>
  </si>
  <si>
    <t>М201БМИЭФ247</t>
  </si>
  <si>
    <t>Феоктистов Николай Константинович</t>
  </si>
  <si>
    <t>Feoktistov Nikolai</t>
  </si>
  <si>
    <t>М201БМИЭФ248</t>
  </si>
  <si>
    <t>Филимонова Екатерина Олеговна</t>
  </si>
  <si>
    <t>Filimonova Ekaterina</t>
  </si>
  <si>
    <t>М201БМИЭФ249</t>
  </si>
  <si>
    <t>Финютина Екатерина Вячеславовна</t>
  </si>
  <si>
    <t>Ekaterina Finiutina</t>
  </si>
  <si>
    <t>М201БМИЭФ250</t>
  </si>
  <si>
    <t>Флегонтов Антон Алексеевич</t>
  </si>
  <si>
    <t>Anton Flegontov</t>
  </si>
  <si>
    <t>М201БМИЭФ251</t>
  </si>
  <si>
    <t>Фролов Артем Дмитриевич</t>
  </si>
  <si>
    <t>Artem Frolov</t>
  </si>
  <si>
    <t>М201БМИЭФ252</t>
  </si>
  <si>
    <t>Хает Марк Игоревич</t>
  </si>
  <si>
    <t>Mark Khaet</t>
  </si>
  <si>
    <t>М201БМИЭФ253</t>
  </si>
  <si>
    <t>Хажимурат Нурбек -</t>
  </si>
  <si>
    <t>Khazhimurat Nurbek</t>
  </si>
  <si>
    <t>М201БМИЭФ289</t>
  </si>
  <si>
    <t>Хакимов Санжар Зафарович</t>
  </si>
  <si>
    <t>Sanjar Khakimov</t>
  </si>
  <si>
    <t>М201БМИЭФ297</t>
  </si>
  <si>
    <t>Ханжин Марк Денисович</t>
  </si>
  <si>
    <t>Khanzhin Mark</t>
  </si>
  <si>
    <t>М201БМИЭФ254</t>
  </si>
  <si>
    <t>Хань Хаочень</t>
  </si>
  <si>
    <t>Хаоюнь Цзян -</t>
  </si>
  <si>
    <t>Haoyun Jiang</t>
  </si>
  <si>
    <t>М191БМИЭФ300</t>
  </si>
  <si>
    <t>Хашимов Жасур Фарходович</t>
  </si>
  <si>
    <t>Jasur Khashimov</t>
  </si>
  <si>
    <t>М201БМИЭФ021</t>
  </si>
  <si>
    <t>Ходырев Александр Евгеньевич</t>
  </si>
  <si>
    <t>Khodyrev Alexander</t>
  </si>
  <si>
    <t>М201БМИЭФ255</t>
  </si>
  <si>
    <t>Цаллагова Виолетта Дмитриевна</t>
  </si>
  <si>
    <t>Tsallagova Violetta</t>
  </si>
  <si>
    <t>М201БМИЭФ256</t>
  </si>
  <si>
    <t>Чан Ань Киет -</t>
  </si>
  <si>
    <t>Tran Anh Kiet</t>
  </si>
  <si>
    <t>М201БМИЭФ298</t>
  </si>
  <si>
    <t>Чан Конг Зуи Ан -</t>
  </si>
  <si>
    <t>Tran CongDuyAn</t>
  </si>
  <si>
    <t>М201БМИЭФ016</t>
  </si>
  <si>
    <t>Черниговский Матвей Романович</t>
  </si>
  <si>
    <t>Matvei Chernogowskii</t>
  </si>
  <si>
    <t>М201БМИЭФ257</t>
  </si>
  <si>
    <t>Чернуха Алексей Алексеевич</t>
  </si>
  <si>
    <t>Chernukha Aleksei</t>
  </si>
  <si>
    <t>М201БМИЭФ258</t>
  </si>
  <si>
    <t>Чернышев Глеб Владимирович</t>
  </si>
  <si>
    <t>Chernyshev Gleb</t>
  </si>
  <si>
    <t>М201БМИЭФ259</t>
  </si>
  <si>
    <t>Чеснакова Марина Алексеевна</t>
  </si>
  <si>
    <t>Chesnakova Marina</t>
  </si>
  <si>
    <t>М201БМИЭФ260</t>
  </si>
  <si>
    <t>Чжао Хэннань -</t>
  </si>
  <si>
    <t>Hengnan Zhao</t>
  </si>
  <si>
    <t>М201БМИЭФ022</t>
  </si>
  <si>
    <t>Чинарихин Матвей Сергеевич</t>
  </si>
  <si>
    <t>Chinarikhin Matvey</t>
  </si>
  <si>
    <t>М201БМИЭФ261</t>
  </si>
  <si>
    <t>Чистякова Екатерина Юрьевна</t>
  </si>
  <si>
    <t>Chistiakova Ekaterina</t>
  </si>
  <si>
    <t>М201БМИЭФ262</t>
  </si>
  <si>
    <t>Чуйков Артем Игоревич</t>
  </si>
  <si>
    <t>Artem Chuikov</t>
  </si>
  <si>
    <t>М201БМИЭФ263</t>
  </si>
  <si>
    <t>Чуланова Полина Дмитриевна</t>
  </si>
  <si>
    <t>Chulanova Polina</t>
  </si>
  <si>
    <t>М201БМИЭФ264</t>
  </si>
  <si>
    <t>Шабанов Юрий Александрович</t>
  </si>
  <si>
    <t>Shabanov Iurii</t>
  </si>
  <si>
    <t>М201БМИЭФ265</t>
  </si>
  <si>
    <t>Шаврова Виктория Алексеевна</t>
  </si>
  <si>
    <t>Shavrova Viktoriia</t>
  </si>
  <si>
    <t>М201БМИЭФ266</t>
  </si>
  <si>
    <t>Шамои Заил Рашидович</t>
  </si>
  <si>
    <t>Zail Shamoi</t>
  </si>
  <si>
    <t>М201БМИЭФ267</t>
  </si>
  <si>
    <t>Шарифов Эльмир Беглярович</t>
  </si>
  <si>
    <t>Elmir Sharifov</t>
  </si>
  <si>
    <t>М201БМИЭФ268</t>
  </si>
  <si>
    <t>Шаров Илья Андреевич</t>
  </si>
  <si>
    <t>Ilya Sharov</t>
  </si>
  <si>
    <t>М201БМИЭФ269</t>
  </si>
  <si>
    <t>Шванова Инна Геннадьевна</t>
  </si>
  <si>
    <t>Shvanova Inna</t>
  </si>
  <si>
    <t>М201БМИЭФ270</t>
  </si>
  <si>
    <t>Швидко Мария Александровна</t>
  </si>
  <si>
    <t>Shvidko Maria</t>
  </si>
  <si>
    <t>М201БМИЭФ271</t>
  </si>
  <si>
    <t>Шерман Лея Александровна</t>
  </si>
  <si>
    <t>Sherman Leya</t>
  </si>
  <si>
    <t>М201БМИЭФ272</t>
  </si>
  <si>
    <t>Шерматова Тансулуу Насипбековна</t>
  </si>
  <si>
    <t>Shermatova Tansuluu</t>
  </si>
  <si>
    <t>М201БМИЭФ273</t>
  </si>
  <si>
    <t>Ширшов Захар Владиславович</t>
  </si>
  <si>
    <t>Shirshov Zakhar</t>
  </si>
  <si>
    <t>М201БМИЭФ274</t>
  </si>
  <si>
    <t>Шишкин Дамир Евгеньевич</t>
  </si>
  <si>
    <t>Shishkin Damir</t>
  </si>
  <si>
    <t>М201БМИЭФ275</t>
  </si>
  <si>
    <t>Шишкина Анастасия Михайловна</t>
  </si>
  <si>
    <t>Shishkina Anastasia</t>
  </si>
  <si>
    <t>М201БМИЭФ276</t>
  </si>
  <si>
    <t>Штуца Елизавета Ильинична</t>
  </si>
  <si>
    <t>Elizaveta Shtutsa</t>
  </si>
  <si>
    <t>М201БМИЭФ277</t>
  </si>
  <si>
    <t>Шумилов Егор Дмитриевич</t>
  </si>
  <si>
    <t>Egor Shumilov</t>
  </si>
  <si>
    <t>М201БМИЭФ278</t>
  </si>
  <si>
    <t>Шхимян Мадлена Константиновна</t>
  </si>
  <si>
    <t>Madlena Shkhimian</t>
  </si>
  <si>
    <t>М201БМИЭФ279</t>
  </si>
  <si>
    <t>Щекотова Анастасия Антоновна</t>
  </si>
  <si>
    <t>Anastasia Shchekotova</t>
  </si>
  <si>
    <t>М201БМИЭФ280</t>
  </si>
  <si>
    <t>Эдельбиев Абдул-Малик Абдул-Керимович</t>
  </si>
  <si>
    <t>Abdul-Malik Edelbiev</t>
  </si>
  <si>
    <t>М201БМИЭФ281</t>
  </si>
  <si>
    <t>Экономова Мария Александровна</t>
  </si>
  <si>
    <t>Ekonomova Maria</t>
  </si>
  <si>
    <t>М201БМИЭФ282</t>
  </si>
  <si>
    <t>Юминова Анна -</t>
  </si>
  <si>
    <t>Yuminova Anna</t>
  </si>
  <si>
    <t>М201БМИЭФ292</t>
  </si>
  <si>
    <t>Юрчук Мирослав Дмитриевич</t>
  </si>
  <si>
    <t>Yurchuk Miroslav</t>
  </si>
  <si>
    <t>М201БМИЭФ283</t>
  </si>
  <si>
    <t>Явися Полина Андреевна</t>
  </si>
  <si>
    <t>Yavisya Polina</t>
  </si>
  <si>
    <t>М201БМИЭФ284</t>
  </si>
  <si>
    <t>Ядрищенский Александр Александрович</t>
  </si>
  <si>
    <t>Alexander Yadrishchenskiy</t>
  </si>
  <si>
    <t>М201БМИЭФ303</t>
  </si>
  <si>
    <t>Яо Юймо -</t>
  </si>
  <si>
    <t>Yao Yumo</t>
  </si>
  <si>
    <t>М201БМИЭФ017</t>
  </si>
  <si>
    <t>Яцуненко Даниил Евгеньевич</t>
  </si>
  <si>
    <t>Yatsunenko Daniil</t>
  </si>
  <si>
    <t>М201БМИЭФ285</t>
  </si>
  <si>
    <t>место</t>
  </si>
  <si>
    <t>студак</t>
  </si>
  <si>
    <t>Имя</t>
  </si>
  <si>
    <t>group</t>
  </si>
  <si>
    <t>балл</t>
  </si>
  <si>
    <t>критерий</t>
  </si>
  <si>
    <r>
      <rPr>
        <sz val="7"/>
        <rFont val="Times New Roman"/>
        <family val="1"/>
      </rPr>
      <t>М201БМИЭФ219</t>
    </r>
  </si>
  <si>
    <r>
      <rPr>
        <sz val="6.5"/>
        <rFont val="Arial"/>
        <family val="2"/>
      </rPr>
      <t>Сердюк Даниил Игоревич</t>
    </r>
  </si>
  <si>
    <r>
      <rPr>
        <sz val="7"/>
        <rFont val="Times New Roman"/>
        <family val="1"/>
      </rPr>
      <t>М201БМИЭФ215</t>
    </r>
  </si>
  <si>
    <r>
      <rPr>
        <sz val="6.5"/>
        <rFont val="Arial"/>
        <family val="2"/>
      </rPr>
      <t>Салямова София Эдуардовна</t>
    </r>
  </si>
  <si>
    <r>
      <rPr>
        <sz val="7"/>
        <rFont val="Times New Roman"/>
        <family val="1"/>
      </rPr>
      <t>М201БМИЭФ038</t>
    </r>
  </si>
  <si>
    <r>
      <rPr>
        <sz val="6.5"/>
        <rFont val="Arial"/>
        <family val="2"/>
      </rPr>
      <t>Атовмян Полина Игоревна</t>
    </r>
  </si>
  <si>
    <t>группа</t>
  </si>
  <si>
    <r>
      <rPr>
        <sz val="7"/>
        <rFont val="Times New Roman"/>
        <family val="1"/>
      </rPr>
      <t>М201БМИЭФ046</t>
    </r>
  </si>
  <si>
    <r>
      <rPr>
        <sz val="6.5"/>
        <rFont val="Arial"/>
        <family val="2"/>
      </rPr>
      <t>Бахмутский Андрей Юрьевич</t>
    </r>
  </si>
  <si>
    <r>
      <rPr>
        <sz val="7"/>
        <rFont val="Times New Roman"/>
        <family val="1"/>
      </rPr>
      <t>М201БМИЭФ114</t>
    </r>
  </si>
  <si>
    <r>
      <rPr>
        <sz val="6.5"/>
        <rFont val="Arial"/>
        <family val="2"/>
      </rPr>
      <t>Ким Дмитрий Алексеевич</t>
    </r>
  </si>
  <si>
    <r>
      <rPr>
        <sz val="7"/>
        <rFont val="Times New Roman"/>
        <family val="1"/>
      </rPr>
      <t>М201БМИЭФ062</t>
    </r>
  </si>
  <si>
    <r>
      <rPr>
        <sz val="6.5"/>
        <rFont val="Arial"/>
        <family val="2"/>
      </rPr>
      <t>Венгеров Кирилл Игоревич</t>
    </r>
  </si>
  <si>
    <r>
      <rPr>
        <sz val="7"/>
        <rFont val="Times New Roman"/>
        <family val="1"/>
      </rPr>
      <t>М201БМИЭФ060</t>
    </r>
  </si>
  <si>
    <r>
      <rPr>
        <sz val="6.5"/>
        <rFont val="Arial"/>
        <family val="2"/>
      </rPr>
      <t>Бушева Полина Олеговна</t>
    </r>
  </si>
  <si>
    <r>
      <rPr>
        <sz val="7"/>
        <rFont val="Times New Roman"/>
        <family val="1"/>
      </rPr>
      <t>М201БМИЭФ168</t>
    </r>
  </si>
  <si>
    <r>
      <rPr>
        <sz val="6.5"/>
        <rFont val="Arial"/>
        <family val="2"/>
      </rPr>
      <t>Мельников Игорь Александрович</t>
    </r>
  </si>
  <si>
    <r>
      <rPr>
        <sz val="7"/>
        <rFont val="Times New Roman"/>
        <family val="1"/>
      </rPr>
      <t>М201БМИЭФ283</t>
    </r>
  </si>
  <si>
    <r>
      <rPr>
        <sz val="6.5"/>
        <rFont val="Arial"/>
        <family val="2"/>
      </rPr>
      <t>Юрчук Мирослав Дмитриевич</t>
    </r>
  </si>
  <si>
    <r>
      <rPr>
        <sz val="7"/>
        <rFont val="Times New Roman"/>
        <family val="1"/>
      </rPr>
      <t>М201БМИЭФ011</t>
    </r>
  </si>
  <si>
    <r>
      <rPr>
        <sz val="6.5"/>
        <rFont val="Arial"/>
        <family val="2"/>
      </rPr>
      <t xml:space="preserve">Ишутина Александра </t>
    </r>
    <r>
      <rPr>
        <sz val="6.5"/>
        <rFont val="Calibri"/>
        <family val="2"/>
      </rPr>
      <t>-</t>
    </r>
  </si>
  <si>
    <t>12 online</t>
  </si>
  <si>
    <r>
      <rPr>
        <sz val="7"/>
        <rFont val="Times New Roman"/>
        <family val="1"/>
      </rPr>
      <t>М201БМИЭФ098</t>
    </r>
  </si>
  <si>
    <r>
      <rPr>
        <sz val="6.5"/>
        <rFont val="Arial"/>
        <family val="2"/>
      </rPr>
      <t>Жданова Елизавета Александровна</t>
    </r>
  </si>
  <si>
    <r>
      <rPr>
        <sz val="7"/>
        <rFont val="Times New Roman"/>
        <family val="1"/>
      </rPr>
      <t>М201БМИЭФ058</t>
    </r>
  </si>
  <si>
    <r>
      <rPr>
        <sz val="6.5"/>
        <rFont val="Arial"/>
        <family val="2"/>
      </rPr>
      <t>Булгакова Кристина Игоревна</t>
    </r>
  </si>
  <si>
    <r>
      <rPr>
        <sz val="7"/>
        <rFont val="Times New Roman"/>
        <family val="1"/>
      </rPr>
      <t>М201БМИЭФ147</t>
    </r>
  </si>
  <si>
    <r>
      <rPr>
        <sz val="6.5"/>
        <rFont val="Arial"/>
        <family val="2"/>
      </rPr>
      <t>Кучев Виктор Николаевич</t>
    </r>
  </si>
  <si>
    <r>
      <rPr>
        <sz val="7"/>
        <rFont val="Times New Roman"/>
        <family val="1"/>
      </rPr>
      <t>М201БМИЭФ067</t>
    </r>
  </si>
  <si>
    <r>
      <rPr>
        <sz val="6.5"/>
        <rFont val="Arial"/>
        <family val="2"/>
      </rPr>
      <t>Власюк Дмитрий Святославович</t>
    </r>
  </si>
  <si>
    <r>
      <rPr>
        <sz val="7"/>
        <rFont val="Times New Roman"/>
        <family val="1"/>
      </rPr>
      <t>М201БМИЭФ061</t>
    </r>
  </si>
  <si>
    <r>
      <rPr>
        <sz val="6.5"/>
        <rFont val="Arial"/>
        <family val="2"/>
      </rPr>
      <t>Вахитова Алиса Радиковна</t>
    </r>
  </si>
  <si>
    <r>
      <rPr>
        <sz val="7"/>
        <rFont val="Times New Roman"/>
        <family val="1"/>
      </rPr>
      <t>М201БМИЭФ297</t>
    </r>
  </si>
  <si>
    <r>
      <rPr>
        <sz val="6.5"/>
        <rFont val="Arial"/>
        <family val="2"/>
      </rPr>
      <t>Хакимов Санжар Зафарович</t>
    </r>
  </si>
  <si>
    <t>общий</t>
  </si>
  <si>
    <r>
      <rPr>
        <sz val="7"/>
        <rFont val="Times New Roman"/>
        <family val="1"/>
      </rPr>
      <t>М201БМИЭФ262</t>
    </r>
  </si>
  <si>
    <r>
      <rPr>
        <sz val="6.5"/>
        <rFont val="Arial"/>
        <family val="2"/>
      </rPr>
      <t>Чистякова Екатерина Юрьевна</t>
    </r>
  </si>
  <si>
    <r>
      <rPr>
        <sz val="7"/>
        <rFont val="Times New Roman"/>
        <family val="1"/>
      </rPr>
      <t>М201БМИЭФ193</t>
    </r>
  </si>
  <si>
    <r>
      <rPr>
        <sz val="6.5"/>
        <rFont val="Arial"/>
        <family val="2"/>
      </rPr>
      <t>Панин Кирилл Артёмович</t>
    </r>
  </si>
  <si>
    <r>
      <rPr>
        <sz val="7"/>
        <rFont val="Times New Roman"/>
        <family val="1"/>
      </rPr>
      <t>М201БМИЭФ251</t>
    </r>
  </si>
  <si>
    <r>
      <rPr>
        <sz val="6.5"/>
        <rFont val="Arial"/>
        <family val="2"/>
      </rPr>
      <t>Флегонтов Антон Алексеевич</t>
    </r>
  </si>
  <si>
    <r>
      <rPr>
        <sz val="7"/>
        <rFont val="Times New Roman"/>
        <family val="1"/>
      </rPr>
      <t>М201БМИЭФ143</t>
    </r>
  </si>
  <si>
    <r>
      <rPr>
        <sz val="6.5"/>
        <rFont val="Arial"/>
        <family val="2"/>
      </rPr>
      <t>Кузьмишин Леонид Алексеевич</t>
    </r>
  </si>
  <si>
    <r>
      <rPr>
        <sz val="7"/>
        <rFont val="Times New Roman"/>
        <family val="1"/>
      </rPr>
      <t>М201БМИЭФ295</t>
    </r>
  </si>
  <si>
    <r>
      <rPr>
        <sz val="6.5"/>
        <rFont val="Arial"/>
        <family val="2"/>
      </rPr>
      <t xml:space="preserve">Линь Данни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</si>
  <si>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М201БМИЭФ247</t>
    </r>
  </si>
  <si>
    <r>
      <rPr>
        <sz val="6.5"/>
        <rFont val="Arial"/>
        <family val="2"/>
      </rPr>
      <t>Федорова Елизавета Александровна</t>
    </r>
  </si>
  <si>
    <r>
      <rPr>
        <sz val="7"/>
        <rFont val="Times New Roman"/>
        <family val="1"/>
      </rPr>
      <t>М201БМИЭФ195</t>
    </r>
  </si>
  <si>
    <r>
      <rPr>
        <sz val="6.5"/>
        <rFont val="Arial"/>
        <family val="2"/>
      </rPr>
      <t>Пасихов Никита Денисович</t>
    </r>
  </si>
  <si>
    <r>
      <rPr>
        <sz val="7"/>
        <rFont val="Times New Roman"/>
        <family val="1"/>
      </rPr>
      <t>М201БМИЭФ207</t>
    </r>
  </si>
  <si>
    <r>
      <rPr>
        <sz val="6.5"/>
        <rFont val="Arial"/>
        <family val="2"/>
      </rPr>
      <t>Репецкая Матрёна Сергеевна</t>
    </r>
  </si>
  <si>
    <r>
      <rPr>
        <sz val="7"/>
        <rFont val="Times New Roman"/>
        <family val="1"/>
      </rPr>
      <t>М201БМИЭФ021</t>
    </r>
  </si>
  <si>
    <r>
      <rPr>
        <sz val="6.5"/>
        <rFont val="Arial"/>
        <family val="2"/>
      </rPr>
      <t>Хашимов Жасур Фарходович</t>
    </r>
  </si>
  <si>
    <r>
      <rPr>
        <sz val="7"/>
        <rFont val="Times New Roman"/>
        <family val="1"/>
      </rPr>
      <t>М201БМИЭФ293</t>
    </r>
  </si>
  <si>
    <r>
      <rPr>
        <sz val="6.5"/>
        <rFont val="Arial"/>
        <family val="2"/>
      </rPr>
      <t xml:space="preserve">Жиляева Елизавета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</si>
  <si>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М201БМИЭФ204</t>
    </r>
  </si>
  <si>
    <r>
      <rPr>
        <sz val="6.5"/>
        <rFont val="Arial"/>
        <family val="2"/>
      </rPr>
      <t>Распутина Софья Александровна</t>
    </r>
  </si>
  <si>
    <r>
      <rPr>
        <sz val="7"/>
        <rFont val="Times New Roman"/>
        <family val="1"/>
      </rPr>
      <t>М201БМИЭФ300</t>
    </r>
  </si>
  <si>
    <r>
      <rPr>
        <sz val="6.5"/>
        <rFont val="Arial"/>
        <family val="2"/>
      </rPr>
      <t xml:space="preserve">Соболева Виктория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</si>
  <si>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М201БМИЭФ053</t>
    </r>
  </si>
  <si>
    <r>
      <rPr>
        <sz val="6.5"/>
        <rFont val="Arial"/>
        <family val="2"/>
      </rPr>
      <t>Борисов Валентин Денисович</t>
    </r>
  </si>
  <si>
    <r>
      <rPr>
        <sz val="7"/>
        <rFont val="Times New Roman"/>
        <family val="1"/>
      </rPr>
      <t>М201БМИЭФ180</t>
    </r>
  </si>
  <si>
    <r>
      <rPr>
        <sz val="6.5"/>
        <rFont val="Arial"/>
        <family val="2"/>
      </rPr>
      <t>Мэссэрова Диана Ренатовна</t>
    </r>
  </si>
  <si>
    <r>
      <rPr>
        <sz val="7"/>
        <rFont val="Times New Roman"/>
        <family val="1"/>
      </rPr>
      <t>М201БМИЭФ133</t>
    </r>
  </si>
  <si>
    <r>
      <rPr>
        <sz val="6.5"/>
        <rFont val="Arial"/>
        <family val="2"/>
      </rPr>
      <t>Костенкова Дарья Алексеевна</t>
    </r>
  </si>
  <si>
    <r>
      <rPr>
        <sz val="7"/>
        <rFont val="Times New Roman"/>
        <family val="1"/>
      </rPr>
      <t>М201БМИЭФ054</t>
    </r>
  </si>
  <si>
    <r>
      <rPr>
        <sz val="6.5"/>
        <rFont val="Arial"/>
        <family val="2"/>
      </rPr>
      <t>Борисов Станислав Викторович</t>
    </r>
  </si>
  <si>
    <r>
      <rPr>
        <sz val="7"/>
        <rFont val="Times New Roman"/>
        <family val="1"/>
      </rPr>
      <t>М201БМИЭФ100</t>
    </r>
  </si>
  <si>
    <r>
      <rPr>
        <sz val="6.5"/>
        <rFont val="Arial"/>
        <family val="2"/>
      </rPr>
      <t>Жук Марина Юрьевна</t>
    </r>
  </si>
  <si>
    <r>
      <rPr>
        <sz val="7"/>
        <rFont val="Times New Roman"/>
        <family val="1"/>
      </rPr>
      <t>М201БМИЭФ277</t>
    </r>
  </si>
  <si>
    <r>
      <rPr>
        <sz val="6.5"/>
        <rFont val="Arial"/>
        <family val="2"/>
      </rPr>
      <t>Штуца Елизавета Ильинична</t>
    </r>
  </si>
  <si>
    <r>
      <rPr>
        <sz val="7"/>
        <rFont val="Times New Roman"/>
        <family val="1"/>
      </rPr>
      <t>М201БМИЭФ142</t>
    </r>
  </si>
  <si>
    <r>
      <rPr>
        <sz val="6.5"/>
        <rFont val="Arial"/>
        <family val="2"/>
      </rPr>
      <t>Кузнецов Аркадий Дмитриевич</t>
    </r>
  </si>
  <si>
    <r>
      <rPr>
        <sz val="7"/>
        <rFont val="Times New Roman"/>
        <family val="1"/>
      </rPr>
      <t>М201БМИЭФ226</t>
    </r>
  </si>
  <si>
    <r>
      <rPr>
        <sz val="6.5"/>
        <rFont val="Arial"/>
        <family val="2"/>
      </rPr>
      <t>Стародубов Егор Алексеевич</t>
    </r>
  </si>
  <si>
    <r>
      <rPr>
        <sz val="7"/>
        <rFont val="Times New Roman"/>
        <family val="1"/>
      </rPr>
      <t>М201БМИЭФ245</t>
    </r>
  </si>
  <si>
    <r>
      <rPr>
        <sz val="6.5"/>
        <rFont val="Arial"/>
        <family val="2"/>
      </rPr>
      <t>Устименко Полина Антоновна</t>
    </r>
  </si>
  <si>
    <r>
      <rPr>
        <sz val="7"/>
        <rFont val="Times New Roman"/>
        <family val="1"/>
      </rPr>
      <t>М201БМИЭФ103</t>
    </r>
  </si>
  <si>
    <r>
      <rPr>
        <sz val="6.5"/>
        <rFont val="Arial"/>
        <family val="2"/>
      </rPr>
      <t>Запрягаева Влада Юрьевна</t>
    </r>
  </si>
  <si>
    <r>
      <rPr>
        <sz val="7"/>
        <rFont val="Times New Roman"/>
        <family val="1"/>
      </rPr>
      <t>М201БМИЭФ124</t>
    </r>
  </si>
  <si>
    <r>
      <rPr>
        <sz val="6.5"/>
        <rFont val="Arial"/>
        <family val="2"/>
      </rPr>
      <t>Колтун Александра Максимовна</t>
    </r>
  </si>
  <si>
    <r>
      <rPr>
        <sz val="7"/>
        <rFont val="Times New Roman"/>
        <family val="1"/>
      </rPr>
      <t>М201БМИЭФ271</t>
    </r>
  </si>
  <si>
    <r>
      <rPr>
        <sz val="6.5"/>
        <rFont val="Arial"/>
        <family val="2"/>
      </rPr>
      <t>Швидко Мария Александровна</t>
    </r>
  </si>
  <si>
    <r>
      <rPr>
        <sz val="7"/>
        <rFont val="Times New Roman"/>
        <family val="1"/>
      </rPr>
      <t>М201БМИЭФ072</t>
    </r>
  </si>
  <si>
    <r>
      <rPr>
        <sz val="6.5"/>
        <rFont val="Arial"/>
        <family val="2"/>
      </rPr>
      <t>Гайнутдинова Амина Ринатовна</t>
    </r>
  </si>
  <si>
    <r>
      <rPr>
        <sz val="7"/>
        <rFont val="Times New Roman"/>
        <family val="1"/>
      </rPr>
      <t>М201БМИЭФ102</t>
    </r>
  </si>
  <si>
    <r>
      <rPr>
        <sz val="6.5"/>
        <rFont val="Arial"/>
        <family val="2"/>
      </rPr>
      <t>Завьялова Екатерина Алексеевна</t>
    </r>
  </si>
  <si>
    <r>
      <rPr>
        <sz val="7"/>
        <rFont val="Times New Roman"/>
        <family val="1"/>
      </rPr>
      <t>М201БМИЭФ027</t>
    </r>
  </si>
  <si>
    <r>
      <rPr>
        <sz val="6.5"/>
        <rFont val="Arial"/>
        <family val="2"/>
      </rPr>
      <t>Азаренко Артём Александрович</t>
    </r>
  </si>
  <si>
    <r>
      <rPr>
        <sz val="7"/>
        <rFont val="Times New Roman"/>
        <family val="1"/>
      </rPr>
      <t>М201БМИЭФ234</t>
    </r>
  </si>
  <si>
    <r>
      <rPr>
        <sz val="6.5"/>
        <rFont val="Arial"/>
        <family val="2"/>
      </rPr>
      <t>Тасминская Анастасия Михайловна</t>
    </r>
  </si>
  <si>
    <r>
      <rPr>
        <sz val="7"/>
        <rFont val="Times New Roman"/>
        <family val="1"/>
      </rPr>
      <t>М201БМИЭФ117</t>
    </r>
  </si>
  <si>
    <r>
      <rPr>
        <sz val="6.5"/>
        <rFont val="Arial"/>
        <family val="2"/>
      </rPr>
      <t>Козелло Екатерина Игоревна</t>
    </r>
  </si>
  <si>
    <r>
      <rPr>
        <sz val="7"/>
        <rFont val="Times New Roman"/>
        <family val="1"/>
      </rPr>
      <t>М201БМИЭФ272</t>
    </r>
  </si>
  <si>
    <r>
      <rPr>
        <sz val="6.5"/>
        <rFont val="Arial"/>
        <family val="2"/>
      </rPr>
      <t>Шерман Лея Александровна</t>
    </r>
  </si>
  <si>
    <r>
      <rPr>
        <sz val="7"/>
        <rFont val="Times New Roman"/>
        <family val="1"/>
      </rPr>
      <t>М201БМИЭФ082</t>
    </r>
  </si>
  <si>
    <r>
      <rPr>
        <sz val="6.5"/>
        <rFont val="Arial"/>
        <family val="2"/>
      </rPr>
      <t>Горовая Мария Андреевна</t>
    </r>
  </si>
  <si>
    <r>
      <rPr>
        <sz val="7"/>
        <rFont val="Times New Roman"/>
        <family val="1"/>
      </rPr>
      <t>М201БМИЭФ127</t>
    </r>
  </si>
  <si>
    <r>
      <rPr>
        <sz val="6.5"/>
        <rFont val="Arial"/>
        <family val="2"/>
      </rPr>
      <t>Комарова Александра Денисовна</t>
    </r>
  </si>
  <si>
    <r>
      <rPr>
        <sz val="7"/>
        <rFont val="Times New Roman"/>
        <family val="1"/>
      </rPr>
      <t>М201БМИЭФ230</t>
    </r>
  </si>
  <si>
    <r>
      <rPr>
        <sz val="6.5"/>
        <rFont val="Arial"/>
        <family val="2"/>
      </rPr>
      <t>Суханова Анастасия Игоревна</t>
    </r>
  </si>
  <si>
    <r>
      <rPr>
        <sz val="7"/>
        <rFont val="Times New Roman"/>
        <family val="1"/>
      </rPr>
      <t>М201БМИЭФ236</t>
    </r>
  </si>
  <si>
    <r>
      <rPr>
        <sz val="6.5"/>
        <rFont val="Arial"/>
        <family val="2"/>
      </rPr>
      <t>Тишков Александр Александрович</t>
    </r>
  </si>
  <si>
    <r>
      <rPr>
        <sz val="7"/>
        <rFont val="Times New Roman"/>
        <family val="1"/>
      </rPr>
      <t>М201БМИЭФ019</t>
    </r>
  </si>
  <si>
    <r>
      <rPr>
        <sz val="6.5"/>
        <rFont val="Arial"/>
        <family val="2"/>
      </rPr>
      <t xml:space="preserve">Ескендир Ажар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</si>
  <si>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М201БМИЭФ079</t>
    </r>
  </si>
  <si>
    <r>
      <rPr>
        <sz val="6.5"/>
        <rFont val="Arial"/>
        <family val="2"/>
      </rPr>
      <t>Головин Артём Андреевич</t>
    </r>
  </si>
  <si>
    <r>
      <rPr>
        <sz val="7"/>
        <rFont val="Times New Roman"/>
        <family val="1"/>
      </rPr>
      <t>М201БМИЭФ257</t>
    </r>
  </si>
  <si>
    <r>
      <rPr>
        <sz val="6.5"/>
        <rFont val="Arial"/>
        <family val="2"/>
      </rPr>
      <t>Черниговский Матвей Романович</t>
    </r>
  </si>
  <si>
    <r>
      <rPr>
        <sz val="7"/>
        <rFont val="Times New Roman"/>
        <family val="1"/>
      </rPr>
      <t>М201БМИЭФ298</t>
    </r>
  </si>
  <si>
    <r>
      <rPr>
        <sz val="6.5"/>
        <rFont val="Arial"/>
        <family val="2"/>
      </rPr>
      <t xml:space="preserve">Чан Ань Киет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</si>
  <si>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М201БМИЭФ059</t>
    </r>
  </si>
  <si>
    <r>
      <rPr>
        <sz val="6.5"/>
        <rFont val="Arial"/>
        <family val="2"/>
      </rPr>
      <t>Бутакова Ксения Михайловна</t>
    </r>
  </si>
  <si>
    <r>
      <rPr>
        <sz val="7"/>
        <rFont val="Times New Roman"/>
        <family val="1"/>
      </rPr>
      <t>М201БМИЭФ020</t>
    </r>
  </si>
  <si>
    <r>
      <rPr>
        <sz val="6.5"/>
        <rFont val="Arial"/>
        <family val="2"/>
      </rPr>
      <t xml:space="preserve">Мурзалина Жания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</si>
  <si>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М201БМИЭФ112</t>
    </r>
  </si>
  <si>
    <r>
      <rPr>
        <sz val="6.5"/>
        <rFont val="Arial"/>
        <family val="2"/>
      </rPr>
      <t>Калиновский Алексей Александрович</t>
    </r>
  </si>
  <si>
    <r>
      <rPr>
        <sz val="7"/>
        <rFont val="Times New Roman"/>
        <family val="1"/>
      </rPr>
      <t>М201БМИЭФ276</t>
    </r>
  </si>
  <si>
    <r>
      <rPr>
        <sz val="6.5"/>
        <rFont val="Arial"/>
        <family val="2"/>
      </rPr>
      <t>Шишкина Анастасия Михайловна</t>
    </r>
  </si>
  <si>
    <r>
      <rPr>
        <sz val="7"/>
        <rFont val="Times New Roman"/>
        <family val="1"/>
      </rPr>
      <t>М201БМИЭФ144</t>
    </r>
  </si>
  <si>
    <r>
      <rPr>
        <sz val="6.5"/>
        <rFont val="Arial"/>
        <family val="2"/>
      </rPr>
      <t>Курбатов Игорь Владимирович</t>
    </r>
  </si>
  <si>
    <r>
      <rPr>
        <sz val="7"/>
        <rFont val="Times New Roman"/>
        <family val="1"/>
      </rPr>
      <t>М201БМИЭФ070</t>
    </r>
  </si>
  <si>
    <r>
      <rPr>
        <sz val="6.5"/>
        <rFont val="Arial"/>
        <family val="2"/>
      </rPr>
      <t>Воронов Валерий Алексеевич</t>
    </r>
  </si>
  <si>
    <r>
      <rPr>
        <sz val="7"/>
        <rFont val="Times New Roman"/>
        <family val="1"/>
      </rPr>
      <t>М201БМИЭФ049</t>
    </r>
  </si>
  <si>
    <r>
      <rPr>
        <sz val="6.5"/>
        <rFont val="Arial"/>
        <family val="2"/>
      </rPr>
      <t>Богомазова Анна Сергеевна</t>
    </r>
  </si>
  <si>
    <r>
      <rPr>
        <sz val="7"/>
        <rFont val="Times New Roman"/>
        <family val="1"/>
      </rPr>
      <t>М201БМИЭФ068</t>
    </r>
  </si>
  <si>
    <r>
      <rPr>
        <sz val="6.5"/>
        <rFont val="Arial"/>
        <family val="2"/>
      </rPr>
      <t>Володченко Полина Витальевна</t>
    </r>
  </si>
  <si>
    <r>
      <rPr>
        <sz val="7"/>
        <rFont val="Times New Roman"/>
        <family val="1"/>
      </rPr>
      <t>М201БМИЭФ145</t>
    </r>
  </si>
  <si>
    <r>
      <rPr>
        <sz val="6.5"/>
        <rFont val="Arial"/>
        <family val="2"/>
      </rPr>
      <t>Курмукова Дарья Илдаровна</t>
    </r>
  </si>
  <si>
    <r>
      <rPr>
        <sz val="7"/>
        <rFont val="Times New Roman"/>
        <family val="1"/>
      </rPr>
      <t>М201БМИЭФ128</t>
    </r>
  </si>
  <si>
    <r>
      <rPr>
        <sz val="6.5"/>
        <rFont val="Arial"/>
        <family val="2"/>
      </rPr>
      <t>Комарова Юлия Денисовна</t>
    </r>
  </si>
  <si>
    <r>
      <rPr>
        <sz val="7"/>
        <rFont val="Times New Roman"/>
        <family val="1"/>
      </rPr>
      <t>М201БМИЭФ229</t>
    </r>
  </si>
  <si>
    <r>
      <rPr>
        <sz val="6.5"/>
        <rFont val="Arial"/>
        <family val="2"/>
      </rPr>
      <t>Стукан Дмитрий Александрович</t>
    </r>
  </si>
  <si>
    <r>
      <rPr>
        <sz val="7"/>
        <rFont val="Times New Roman"/>
        <family val="1"/>
      </rPr>
      <t>М201БМИЭФ241</t>
    </r>
  </si>
  <si>
    <r>
      <rPr>
        <sz val="6.5"/>
        <rFont val="Arial"/>
        <family val="2"/>
      </rPr>
      <t>Удовица Артём Олегович</t>
    </r>
  </si>
  <si>
    <r>
      <rPr>
        <sz val="7"/>
        <rFont val="Times New Roman"/>
        <family val="1"/>
      </rPr>
      <t>М201БМИЭФ289</t>
    </r>
  </si>
  <si>
    <r>
      <rPr>
        <sz val="6.5"/>
        <rFont val="Arial"/>
        <family val="2"/>
      </rPr>
      <t xml:space="preserve">Хажимурат Нурбек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</si>
  <si>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М201БМИЭФ157</t>
    </r>
  </si>
  <si>
    <r>
      <rPr>
        <sz val="6.5"/>
        <rFont val="Arial"/>
        <family val="2"/>
      </rPr>
      <t>Малькова Софья Алексеевна</t>
    </r>
  </si>
  <si>
    <r>
      <rPr>
        <sz val="7"/>
        <rFont val="Times New Roman"/>
        <family val="1"/>
      </rPr>
      <t>М201БМИЭФ096</t>
    </r>
  </si>
  <si>
    <r>
      <rPr>
        <sz val="6.5"/>
        <rFont val="Arial"/>
        <family val="2"/>
      </rPr>
      <t>Егорова Елизавета Борисовна</t>
    </r>
  </si>
  <si>
    <r>
      <rPr>
        <sz val="7"/>
        <rFont val="Times New Roman"/>
        <family val="1"/>
      </rPr>
      <t>М201БМИЭФ074</t>
    </r>
  </si>
  <si>
    <r>
      <rPr>
        <sz val="6.5"/>
        <rFont val="Arial"/>
        <family val="2"/>
      </rPr>
      <t>Гвоздева Валерия Игоревна</t>
    </r>
  </si>
  <si>
    <r>
      <rPr>
        <sz val="7"/>
        <rFont val="Times New Roman"/>
        <family val="1"/>
      </rPr>
      <t>М201БМИЭФ164</t>
    </r>
  </si>
  <si>
    <r>
      <rPr>
        <sz val="6.5"/>
        <rFont val="Arial"/>
        <family val="2"/>
      </rPr>
      <t>Матвиевский Максим Павлович</t>
    </r>
  </si>
  <si>
    <r>
      <rPr>
        <sz val="7"/>
        <rFont val="Times New Roman"/>
        <family val="1"/>
      </rPr>
      <t>М201БМИЭФ025</t>
    </r>
  </si>
  <si>
    <r>
      <rPr>
        <sz val="6.5"/>
        <rFont val="Arial"/>
        <family val="2"/>
      </rPr>
      <t>Аббасов Байрам Рахман оглы</t>
    </r>
  </si>
  <si>
    <r>
      <rPr>
        <sz val="7"/>
        <rFont val="Times New Roman"/>
        <family val="1"/>
      </rPr>
      <t>М201БМИЭФ026</t>
    </r>
  </si>
  <si>
    <r>
      <rPr>
        <sz val="6.5"/>
        <rFont val="Arial"/>
        <family val="2"/>
      </rPr>
      <t>Агеева Елизавета Игоревна</t>
    </r>
  </si>
  <si>
    <r>
      <rPr>
        <sz val="7"/>
        <rFont val="Times New Roman"/>
        <family val="1"/>
      </rPr>
      <t>М201БМИЭФ069</t>
    </r>
  </si>
  <si>
    <r>
      <rPr>
        <sz val="6.5"/>
        <rFont val="Arial"/>
        <family val="2"/>
      </rPr>
      <t>Волохова Екатерина Сергеевна</t>
    </r>
  </si>
  <si>
    <r>
      <rPr>
        <sz val="7"/>
        <rFont val="Times New Roman"/>
        <family val="1"/>
      </rPr>
      <t>М201БМИЭФ264</t>
    </r>
  </si>
  <si>
    <r>
      <rPr>
        <sz val="6.5"/>
        <rFont val="Arial"/>
        <family val="2"/>
      </rPr>
      <t>Чуланова Полина Дмитриевна</t>
    </r>
  </si>
  <si>
    <r>
      <rPr>
        <sz val="7"/>
        <rFont val="Times New Roman"/>
        <family val="1"/>
      </rPr>
      <t>М201БМИЭФ287</t>
    </r>
  </si>
  <si>
    <r>
      <rPr>
        <sz val="6.5"/>
        <rFont val="Arial"/>
        <family val="2"/>
      </rPr>
      <t xml:space="preserve">Павлов Владимир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</si>
  <si>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М201БМИЭФ265</t>
    </r>
  </si>
  <si>
    <r>
      <rPr>
        <sz val="6.5"/>
        <rFont val="Arial"/>
        <family val="2"/>
      </rPr>
      <t>Шабанов Юрий Александрович</t>
    </r>
  </si>
  <si>
    <r>
      <rPr>
        <sz val="7"/>
        <rFont val="Times New Roman"/>
        <family val="1"/>
      </rPr>
      <t>М201БМИЭФ018</t>
    </r>
  </si>
  <si>
    <r>
      <rPr>
        <sz val="6.5"/>
        <rFont val="Arial"/>
        <family val="2"/>
      </rPr>
      <t>Гурбанов Осман Маисович</t>
    </r>
  </si>
  <si>
    <r>
      <rPr>
        <sz val="7"/>
        <rFont val="Times New Roman"/>
        <family val="1"/>
      </rPr>
      <t>М201БМИЭФ261</t>
    </r>
  </si>
  <si>
    <r>
      <rPr>
        <sz val="6.5"/>
        <rFont val="Arial"/>
        <family val="2"/>
      </rPr>
      <t>Чинарихин Матвей Сергеевич</t>
    </r>
  </si>
  <si>
    <r>
      <rPr>
        <sz val="7"/>
        <rFont val="Times New Roman"/>
        <family val="1"/>
      </rPr>
      <t>М201БМИЭФ155</t>
    </r>
  </si>
  <si>
    <r>
      <rPr>
        <sz val="6.5"/>
        <rFont val="Arial"/>
        <family val="2"/>
      </rPr>
      <t>Макарова Александра Борисовна</t>
    </r>
  </si>
  <si>
    <r>
      <rPr>
        <sz val="7"/>
        <rFont val="Times New Roman"/>
        <family val="1"/>
      </rPr>
      <t>М201БМИЭФ113</t>
    </r>
  </si>
  <si>
    <r>
      <rPr>
        <sz val="6.5"/>
        <rFont val="Arial"/>
        <family val="2"/>
      </rPr>
      <t>Караченцов Пётр Андреевич</t>
    </r>
  </si>
  <si>
    <r>
      <rPr>
        <sz val="7"/>
        <rFont val="Times New Roman"/>
        <family val="1"/>
      </rPr>
      <t>М201БМИЭФ177</t>
    </r>
  </si>
  <si>
    <r>
      <rPr>
        <sz val="6.5"/>
        <rFont val="Arial"/>
        <family val="2"/>
      </rPr>
      <t>Мочалов Алексей Андреевич</t>
    </r>
  </si>
  <si>
    <r>
      <rPr>
        <sz val="7"/>
        <rFont val="Times New Roman"/>
        <family val="1"/>
      </rPr>
      <t>М201БМИЭФ206</t>
    </r>
  </si>
  <si>
    <r>
      <rPr>
        <sz val="6.5"/>
        <rFont val="Arial"/>
        <family val="2"/>
      </rPr>
      <t>Рафаелян Георгий Робертович</t>
    </r>
  </si>
  <si>
    <r>
      <rPr>
        <sz val="7"/>
        <rFont val="Times New Roman"/>
        <family val="1"/>
      </rPr>
      <t>М201БМИЭФ064</t>
    </r>
  </si>
  <si>
    <r>
      <rPr>
        <sz val="6.5"/>
        <rFont val="Arial"/>
        <family val="2"/>
      </rPr>
      <t>Видович Вера Янковна</t>
    </r>
  </si>
  <si>
    <r>
      <rPr>
        <sz val="7"/>
        <rFont val="Times New Roman"/>
        <family val="1"/>
      </rPr>
      <t>М201БМИЭФ138</t>
    </r>
  </si>
  <si>
    <r>
      <rPr>
        <sz val="6.5"/>
        <rFont val="Arial"/>
        <family val="2"/>
      </rPr>
      <t>Кревсун Алина Константиновна</t>
    </r>
  </si>
  <si>
    <r>
      <rPr>
        <sz val="7"/>
        <rFont val="Times New Roman"/>
        <family val="1"/>
      </rPr>
      <t>М201БМИЭФ214</t>
    </r>
  </si>
  <si>
    <r>
      <rPr>
        <sz val="7"/>
        <rFont val="Times New Roman"/>
        <family val="1"/>
      </rPr>
      <t>М201БМИЭФ120</t>
    </r>
  </si>
  <si>
    <r>
      <rPr>
        <sz val="6.5"/>
        <rFont val="Arial"/>
        <family val="2"/>
      </rPr>
      <t>Кокина Алиса Александровна</t>
    </r>
  </si>
  <si>
    <r>
      <rPr>
        <sz val="7"/>
        <rFont val="Times New Roman"/>
        <family val="1"/>
      </rPr>
      <t>М201БМИЭФ224</t>
    </r>
  </si>
  <si>
    <r>
      <rPr>
        <sz val="6.5"/>
        <rFont val="Arial"/>
        <family val="2"/>
      </rPr>
      <t>Солнцев Кирилл Викторович</t>
    </r>
  </si>
  <si>
    <r>
      <rPr>
        <sz val="7"/>
        <rFont val="Times New Roman"/>
        <family val="1"/>
      </rPr>
      <t>М201БМИЭФ275</t>
    </r>
  </si>
  <si>
    <r>
      <rPr>
        <sz val="6.5"/>
        <rFont val="Arial"/>
        <family val="2"/>
      </rPr>
      <t>Шишкин Дамир Евгеньевич</t>
    </r>
  </si>
  <si>
    <r>
      <rPr>
        <sz val="7"/>
        <rFont val="Times New Roman"/>
        <family val="1"/>
      </rPr>
      <t>М201БМИЭФ149</t>
    </r>
  </si>
  <si>
    <r>
      <rPr>
        <sz val="6.5"/>
        <rFont val="Arial"/>
        <family val="2"/>
      </rPr>
      <t>Лиманский Лев Романович</t>
    </r>
  </si>
  <si>
    <r>
      <rPr>
        <sz val="7"/>
        <rFont val="Times New Roman"/>
        <family val="1"/>
      </rPr>
      <t>М201БМИЭФ077</t>
    </r>
  </si>
  <si>
    <r>
      <rPr>
        <sz val="6.5"/>
        <rFont val="Arial"/>
        <family val="2"/>
      </rPr>
      <t>Глебов Юрий Юрьевич</t>
    </r>
  </si>
  <si>
    <r>
      <rPr>
        <sz val="7"/>
        <rFont val="Times New Roman"/>
        <family val="1"/>
      </rPr>
      <t>М201БМИЭФ044</t>
    </r>
  </si>
  <si>
    <r>
      <rPr>
        <sz val="6.5"/>
        <rFont val="Arial"/>
        <family val="2"/>
      </rPr>
      <t>Багдасарова Мария Артёмовна</t>
    </r>
  </si>
  <si>
    <r>
      <rPr>
        <sz val="7"/>
        <rFont val="Times New Roman"/>
        <family val="1"/>
      </rPr>
      <t>М201БМИЭФ012</t>
    </r>
  </si>
  <si>
    <r>
      <rPr>
        <sz val="6.5"/>
        <rFont val="Arial"/>
        <family val="2"/>
      </rPr>
      <t>Карпилович Игнат Юрьевич</t>
    </r>
  </si>
  <si>
    <r>
      <rPr>
        <sz val="7"/>
        <rFont val="Times New Roman"/>
        <family val="1"/>
      </rPr>
      <t>М201БМИЭФ165</t>
    </r>
  </si>
  <si>
    <r>
      <rPr>
        <sz val="6.5"/>
        <rFont val="Arial"/>
        <family val="2"/>
      </rPr>
      <t>Махалова Софья Александровна</t>
    </r>
  </si>
  <si>
    <r>
      <rPr>
        <sz val="7"/>
        <rFont val="Times New Roman"/>
        <family val="1"/>
      </rPr>
      <t>М201БМИЭФ140</t>
    </r>
  </si>
  <si>
    <r>
      <rPr>
        <sz val="6.5"/>
        <rFont val="Arial"/>
        <family val="2"/>
      </rPr>
      <t>Кудрина Софья Александровна</t>
    </r>
  </si>
  <si>
    <r>
      <rPr>
        <sz val="7"/>
        <rFont val="Times New Roman"/>
        <family val="1"/>
      </rPr>
      <t>М201БМИЭФ175</t>
    </r>
  </si>
  <si>
    <r>
      <rPr>
        <sz val="6.5"/>
        <rFont val="Arial"/>
        <family val="2"/>
      </rPr>
      <t>Моисеева Ксения Игоревна</t>
    </r>
  </si>
  <si>
    <r>
      <rPr>
        <sz val="7"/>
        <rFont val="Times New Roman"/>
        <family val="1"/>
      </rPr>
      <t>М201БМИЭФ220</t>
    </r>
  </si>
  <si>
    <r>
      <rPr>
        <sz val="6.5"/>
        <rFont val="Arial"/>
        <family val="2"/>
      </rPr>
      <t>Синельник Софья Вадимовна</t>
    </r>
  </si>
  <si>
    <r>
      <rPr>
        <sz val="7"/>
        <rFont val="Times New Roman"/>
        <family val="1"/>
      </rPr>
      <t>М201БМИЭФ013</t>
    </r>
  </si>
  <si>
    <r>
      <rPr>
        <sz val="6.5"/>
        <rFont val="Arial"/>
        <family val="2"/>
      </rPr>
      <t xml:space="preserve">Лу Цзянь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</si>
  <si>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М201БМИЭФ123</t>
    </r>
  </si>
  <si>
    <r>
      <rPr>
        <sz val="6.5"/>
        <rFont val="Arial"/>
        <family val="2"/>
      </rPr>
      <t>Коломойцева Алина Леонидовна</t>
    </r>
  </si>
  <si>
    <r>
      <rPr>
        <sz val="7"/>
        <rFont val="Times New Roman"/>
        <family val="1"/>
      </rPr>
      <t>М201БМИЭФ254</t>
    </r>
  </si>
  <si>
    <r>
      <rPr>
        <sz val="6.5"/>
        <rFont val="Arial"/>
        <family val="2"/>
      </rPr>
      <t>Ханжин Марк Денисович</t>
    </r>
  </si>
  <si>
    <r>
      <rPr>
        <sz val="7"/>
        <rFont val="Times New Roman"/>
        <family val="1"/>
      </rPr>
      <t>М201БМИЭФ217</t>
    </r>
  </si>
  <si>
    <r>
      <rPr>
        <sz val="6.5"/>
        <rFont val="Arial"/>
        <family val="2"/>
      </rPr>
      <t>Сахно Евфросиния Дмитриевна</t>
    </r>
  </si>
  <si>
    <r>
      <rPr>
        <sz val="7"/>
        <rFont val="Times New Roman"/>
        <family val="1"/>
      </rPr>
      <t>М201БМИЭФ198</t>
    </r>
  </si>
  <si>
    <r>
      <rPr>
        <sz val="6.5"/>
        <rFont val="Arial"/>
        <family val="2"/>
      </rPr>
      <t>Поляков Александр Андреевич</t>
    </r>
  </si>
  <si>
    <r>
      <rPr>
        <sz val="7"/>
        <rFont val="Times New Roman"/>
        <family val="1"/>
      </rPr>
      <t>М201БМИЭФ280</t>
    </r>
  </si>
  <si>
    <r>
      <rPr>
        <sz val="6.5"/>
        <rFont val="Arial"/>
        <family val="2"/>
      </rPr>
      <t>Щекотова Анастасия Антоновна</t>
    </r>
  </si>
  <si>
    <r>
      <rPr>
        <sz val="7"/>
        <rFont val="Times New Roman"/>
        <family val="1"/>
      </rPr>
      <t>М201БМИЭФ099</t>
    </r>
  </si>
  <si>
    <r>
      <rPr>
        <sz val="6.5"/>
        <rFont val="Arial"/>
        <family val="2"/>
      </rPr>
      <t>Жижин Максим Андреевич</t>
    </r>
  </si>
  <si>
    <r>
      <rPr>
        <sz val="7"/>
        <rFont val="Times New Roman"/>
        <family val="1"/>
      </rPr>
      <t>М201БМИЭФ052</t>
    </r>
  </si>
  <si>
    <r>
      <rPr>
        <sz val="6.5"/>
        <rFont val="Arial"/>
        <family val="2"/>
      </rPr>
      <t>Болдырев Никита Сергеевич</t>
    </r>
  </si>
  <si>
    <r>
      <rPr>
        <sz val="7"/>
        <rFont val="Times New Roman"/>
        <family val="1"/>
      </rPr>
      <t>М201БМИЭФ270</t>
    </r>
  </si>
  <si>
    <r>
      <rPr>
        <sz val="6.5"/>
        <rFont val="Arial"/>
        <family val="2"/>
      </rPr>
      <t>Шванова Инна Геннадьевна</t>
    </r>
  </si>
  <si>
    <r>
      <rPr>
        <sz val="7"/>
        <rFont val="Times New Roman"/>
        <family val="1"/>
      </rPr>
      <t>М201БМИЭФ080</t>
    </r>
  </si>
  <si>
    <r>
      <rPr>
        <sz val="6.5"/>
        <rFont val="Arial"/>
        <family val="2"/>
      </rPr>
      <t>Голоднова Анастасия Вадимовна</t>
    </r>
  </si>
  <si>
    <r>
      <rPr>
        <sz val="7"/>
        <rFont val="Times New Roman"/>
        <family val="1"/>
      </rPr>
      <t>М201БМИЭФ167</t>
    </r>
  </si>
  <si>
    <r>
      <rPr>
        <sz val="6.5"/>
        <rFont val="Arial"/>
        <family val="2"/>
      </rPr>
      <t>Медведева Арина Евгеньевна</t>
    </r>
  </si>
  <si>
    <r>
      <rPr>
        <sz val="7"/>
        <rFont val="Times New Roman"/>
        <family val="1"/>
      </rPr>
      <t>М201БМИЭФ034</t>
    </r>
  </si>
  <si>
    <r>
      <rPr>
        <sz val="6.5"/>
        <rFont val="Arial"/>
        <family val="2"/>
      </rPr>
      <t>Антипова Анна Михайловна</t>
    </r>
  </si>
  <si>
    <r>
      <rPr>
        <sz val="7"/>
        <rFont val="Times New Roman"/>
        <family val="1"/>
      </rPr>
      <t>М201БМИЭФ041</t>
    </r>
  </si>
  <si>
    <r>
      <rPr>
        <sz val="6.5"/>
        <rFont val="Arial"/>
        <family val="2"/>
      </rPr>
      <t>Бабаева Дженнет Бяшимовна</t>
    </r>
  </si>
  <si>
    <r>
      <rPr>
        <sz val="7"/>
        <rFont val="Times New Roman"/>
        <family val="1"/>
      </rPr>
      <t>М201БМИЭФ260</t>
    </r>
  </si>
  <si>
    <r>
      <rPr>
        <sz val="6.5"/>
        <rFont val="Arial"/>
        <family val="2"/>
      </rPr>
      <t>Чеснакова Марина Алексеевна</t>
    </r>
  </si>
  <si>
    <r>
      <rPr>
        <sz val="7"/>
        <rFont val="Times New Roman"/>
        <family val="1"/>
      </rPr>
      <t>М201БМИЭФ152</t>
    </r>
  </si>
  <si>
    <r>
      <rPr>
        <sz val="6.5"/>
        <rFont val="Arial"/>
        <family val="2"/>
      </rPr>
      <t>Любимов Даниил Александрович</t>
    </r>
  </si>
  <si>
    <r>
      <rPr>
        <sz val="7"/>
        <rFont val="Times New Roman"/>
        <family val="1"/>
      </rPr>
      <t>М201БМИЭФ095</t>
    </r>
  </si>
  <si>
    <r>
      <rPr>
        <sz val="6.5"/>
        <rFont val="Arial"/>
        <family val="2"/>
      </rPr>
      <t>Егоров Богдан Евгеньевич</t>
    </r>
  </si>
  <si>
    <r>
      <rPr>
        <sz val="7"/>
        <rFont val="Times New Roman"/>
        <family val="1"/>
      </rPr>
      <t>М201БМИЭФ222</t>
    </r>
  </si>
  <si>
    <r>
      <rPr>
        <sz val="6.5"/>
        <rFont val="Arial"/>
        <family val="2"/>
      </rPr>
      <t>Смирнов Павел Сергеевич</t>
    </r>
  </si>
  <si>
    <r>
      <rPr>
        <sz val="7"/>
        <rFont val="Times New Roman"/>
        <family val="1"/>
      </rPr>
      <t>М201БМИЭФ189</t>
    </r>
  </si>
  <si>
    <r>
      <rPr>
        <sz val="6.5"/>
        <rFont val="Arial"/>
        <family val="2"/>
      </rPr>
      <t>Озолин Денис Александрович</t>
    </r>
  </si>
  <si>
    <r>
      <rPr>
        <sz val="7"/>
        <rFont val="Times New Roman"/>
        <family val="1"/>
      </rPr>
      <t>М201БМИЭФ108</t>
    </r>
  </si>
  <si>
    <r>
      <rPr>
        <sz val="6.5"/>
        <rFont val="Arial"/>
        <family val="2"/>
      </rPr>
      <t>Зыбин Фёдор Антонович</t>
    </r>
  </si>
  <si>
    <r>
      <rPr>
        <sz val="7"/>
        <rFont val="Times New Roman"/>
        <family val="1"/>
      </rPr>
      <t>М201БМИЭФ201</t>
    </r>
  </si>
  <si>
    <r>
      <rPr>
        <sz val="6.5"/>
        <rFont val="Arial"/>
        <family val="2"/>
      </rPr>
      <t>Потехина Вера Андреевна</t>
    </r>
  </si>
  <si>
    <r>
      <rPr>
        <sz val="7"/>
        <rFont val="Times New Roman"/>
        <family val="1"/>
      </rPr>
      <t>М201БМИЭФ172</t>
    </r>
  </si>
  <si>
    <r>
      <rPr>
        <sz val="6.5"/>
        <rFont val="Arial"/>
        <family val="2"/>
      </rPr>
      <t>Минаев Владислав Романович</t>
    </r>
  </si>
  <si>
    <r>
      <rPr>
        <sz val="7"/>
        <rFont val="Times New Roman"/>
        <family val="1"/>
      </rPr>
      <t>М201БМИЭФ023</t>
    </r>
  </si>
  <si>
    <r>
      <rPr>
        <sz val="6.5"/>
        <rFont val="Arial"/>
        <family val="2"/>
      </rPr>
      <t>Абрамов Илья Викторович</t>
    </r>
  </si>
  <si>
    <r>
      <rPr>
        <sz val="7"/>
        <rFont val="Times New Roman"/>
        <family val="1"/>
      </rPr>
      <t>М201БМИЭФ282</t>
    </r>
  </si>
  <si>
    <r>
      <rPr>
        <sz val="6.5"/>
        <rFont val="Arial"/>
        <family val="2"/>
      </rPr>
      <t>Экономова Мария Александровна</t>
    </r>
  </si>
  <si>
    <r>
      <rPr>
        <sz val="7"/>
        <rFont val="Times New Roman"/>
        <family val="1"/>
      </rPr>
      <t>М201БМИЭФ211</t>
    </r>
  </si>
  <si>
    <r>
      <rPr>
        <sz val="6.5"/>
        <rFont val="Arial"/>
        <family val="2"/>
      </rPr>
      <t>Савиных Егор Сергеевич</t>
    </r>
  </si>
  <si>
    <r>
      <rPr>
        <sz val="7"/>
        <rFont val="Times New Roman"/>
        <family val="1"/>
      </rPr>
      <t>М201БМИЭФ141</t>
    </r>
  </si>
  <si>
    <r>
      <rPr>
        <sz val="6.5"/>
        <rFont val="Arial"/>
        <family val="2"/>
      </rPr>
      <t>Кудряшова Анна Андреевна</t>
    </r>
  </si>
  <si>
    <r>
      <rPr>
        <sz val="7"/>
        <rFont val="Times New Roman"/>
        <family val="1"/>
      </rPr>
      <t>М201БМИЭФ110</t>
    </r>
  </si>
  <si>
    <r>
      <rPr>
        <sz val="6.5"/>
        <rFont val="Arial"/>
        <family val="2"/>
      </rPr>
      <t>Исаева Алина Юрьевна</t>
    </r>
  </si>
  <si>
    <r>
      <rPr>
        <sz val="7"/>
        <rFont val="Times New Roman"/>
        <family val="1"/>
      </rPr>
      <t>М201БМИЭФ160</t>
    </r>
  </si>
  <si>
    <r>
      <rPr>
        <sz val="6.5"/>
        <rFont val="Arial"/>
        <family val="2"/>
      </rPr>
      <t>Манчук Дмитрий Сергеевич</t>
    </r>
  </si>
  <si>
    <r>
      <rPr>
        <sz val="7"/>
        <rFont val="Times New Roman"/>
        <family val="1"/>
      </rPr>
      <t>М201БМИЭФ252</t>
    </r>
  </si>
  <si>
    <r>
      <rPr>
        <sz val="6.5"/>
        <rFont val="Arial"/>
        <family val="2"/>
      </rPr>
      <t>Фролов Артём Дмитриевич</t>
    </r>
  </si>
  <si>
    <r>
      <rPr>
        <sz val="7"/>
        <rFont val="Times New Roman"/>
        <family val="1"/>
      </rPr>
      <t>М201БМИЭФ294</t>
    </r>
  </si>
  <si>
    <r>
      <rPr>
        <sz val="6.5"/>
        <rFont val="Arial"/>
        <family val="2"/>
      </rPr>
      <t xml:space="preserve">Казыханов Ален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</si>
  <si>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М201БМИЭФ166</t>
    </r>
  </si>
  <si>
    <r>
      <rPr>
        <sz val="6.5"/>
        <rFont val="Arial"/>
        <family val="2"/>
      </rPr>
      <t>Махмудова Анастасия Искандаровна</t>
    </r>
  </si>
  <si>
    <r>
      <rPr>
        <sz val="7"/>
        <rFont val="Times New Roman"/>
        <family val="1"/>
      </rPr>
      <t>М201БМИЭФ071</t>
    </r>
  </si>
  <si>
    <r>
      <rPr>
        <sz val="6.5"/>
        <rFont val="Arial"/>
        <family val="2"/>
      </rPr>
      <t>Ворошилин Иван Игоревич</t>
    </r>
  </si>
  <si>
    <r>
      <rPr>
        <sz val="7"/>
        <rFont val="Times New Roman"/>
        <family val="1"/>
      </rPr>
      <t>М201БМИЭФ118</t>
    </r>
  </si>
  <si>
    <r>
      <rPr>
        <sz val="6.5"/>
        <rFont val="Arial"/>
        <family val="2"/>
      </rPr>
      <t>Козлов Максим Андреевич</t>
    </r>
  </si>
  <si>
    <r>
      <rPr>
        <sz val="7"/>
        <rFont val="Times New Roman"/>
        <family val="1"/>
      </rPr>
      <t>М201БМИЭФ196</t>
    </r>
  </si>
  <si>
    <r>
      <rPr>
        <sz val="6.5"/>
        <rFont val="Arial"/>
        <family val="2"/>
      </rPr>
      <t>Перваков Владислав Вадимович</t>
    </r>
  </si>
  <si>
    <r>
      <rPr>
        <sz val="7"/>
        <rFont val="Times New Roman"/>
        <family val="1"/>
      </rPr>
      <t>М201БМИЭФ173</t>
    </r>
  </si>
  <si>
    <r>
      <rPr>
        <sz val="6.5"/>
        <rFont val="Arial"/>
        <family val="2"/>
      </rPr>
      <t>Мирзоева Айсел Фамиль кызы</t>
    </r>
  </si>
  <si>
    <r>
      <rPr>
        <sz val="7"/>
        <rFont val="Times New Roman"/>
        <family val="1"/>
      </rPr>
      <t>М201БМИЭФ121</t>
    </r>
  </si>
  <si>
    <r>
      <rPr>
        <sz val="6.5"/>
        <rFont val="Arial"/>
        <family val="2"/>
      </rPr>
      <t>Кокорев Максим Александрович</t>
    </r>
  </si>
  <si>
    <r>
      <rPr>
        <sz val="7"/>
        <rFont val="Times New Roman"/>
        <family val="1"/>
      </rPr>
      <t>М201БМИЭФ029</t>
    </r>
  </si>
  <si>
    <r>
      <rPr>
        <sz val="6.5"/>
        <rFont val="Arial"/>
        <family val="2"/>
      </rPr>
      <t>Акопян Мариам Аперовна</t>
    </r>
  </si>
  <si>
    <r>
      <rPr>
        <sz val="7"/>
        <rFont val="Times New Roman"/>
        <family val="1"/>
      </rPr>
      <t>М201БМИЭФ005</t>
    </r>
  </si>
  <si>
    <r>
      <rPr>
        <sz val="6.5"/>
        <rFont val="Arial"/>
        <family val="2"/>
      </rPr>
      <t>Абдуганиев Бехзод Бахромжон угли</t>
    </r>
  </si>
  <si>
    <r>
      <rPr>
        <sz val="7"/>
        <rFont val="Times New Roman"/>
        <family val="1"/>
      </rPr>
      <t>М201БМИЭФ131</t>
    </r>
  </si>
  <si>
    <r>
      <rPr>
        <sz val="6.5"/>
        <rFont val="Arial"/>
        <family val="2"/>
      </rPr>
      <t>Конькова Арина Александровна</t>
    </r>
  </si>
  <si>
    <r>
      <rPr>
        <sz val="7"/>
        <rFont val="Times New Roman"/>
        <family val="1"/>
      </rPr>
      <t>М201БМИЭФ250</t>
    </r>
  </si>
  <si>
    <r>
      <rPr>
        <sz val="6.5"/>
        <rFont val="Arial"/>
        <family val="2"/>
      </rPr>
      <t>Финютина Екатерина Вячеславовна</t>
    </r>
  </si>
  <si>
    <r>
      <rPr>
        <sz val="7"/>
        <rFont val="Times New Roman"/>
        <family val="1"/>
      </rPr>
      <t>М201БМИЭФ290</t>
    </r>
  </si>
  <si>
    <r>
      <rPr>
        <sz val="6.5"/>
        <rFont val="Arial"/>
        <family val="2"/>
      </rPr>
      <t>Баходуров Руслан Мамурович</t>
    </r>
  </si>
  <si>
    <r>
      <rPr>
        <sz val="7"/>
        <rFont val="Times New Roman"/>
        <family val="1"/>
      </rPr>
      <t>М201БМИЭФ010</t>
    </r>
  </si>
  <si>
    <r>
      <rPr>
        <sz val="6.5"/>
        <rFont val="Arial"/>
        <family val="2"/>
      </rPr>
      <t xml:space="preserve">Динмухамед Даяна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</si>
  <si>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М201БМИЭФ111</t>
    </r>
  </si>
  <si>
    <r>
      <rPr>
        <sz val="6.5"/>
        <rFont val="Arial"/>
        <family val="2"/>
      </rPr>
      <t>Каланджан Глеб Андреевич</t>
    </r>
  </si>
  <si>
    <r>
      <rPr>
        <sz val="7"/>
        <rFont val="Times New Roman"/>
        <family val="1"/>
      </rPr>
      <t>М201БМИЭФ182</t>
    </r>
  </si>
  <si>
    <r>
      <rPr>
        <sz val="6.5"/>
        <rFont val="Arial"/>
        <family val="2"/>
      </rPr>
      <t>Насуханова Ясмина Шаамановна</t>
    </r>
  </si>
  <si>
    <r>
      <rPr>
        <sz val="7"/>
        <rFont val="Times New Roman"/>
        <family val="1"/>
      </rPr>
      <t>М201БМИЭФ066</t>
    </r>
  </si>
  <si>
    <r>
      <rPr>
        <sz val="6.5"/>
        <rFont val="Arial"/>
        <family val="2"/>
      </rPr>
      <t>Вихарева Кристина Олеговна</t>
    </r>
  </si>
  <si>
    <r>
      <rPr>
        <sz val="7"/>
        <rFont val="Times New Roman"/>
        <family val="1"/>
      </rPr>
      <t>М201БМИЭФ089</t>
    </r>
  </si>
  <si>
    <r>
      <rPr>
        <sz val="6.5"/>
        <rFont val="Arial"/>
        <family val="2"/>
      </rPr>
      <t>Долганова Софья Михайловна</t>
    </r>
  </si>
  <si>
    <r>
      <rPr>
        <sz val="7"/>
        <rFont val="Times New Roman"/>
        <family val="1"/>
      </rPr>
      <t>М201БМИЭФ288</t>
    </r>
  </si>
  <si>
    <r>
      <rPr>
        <sz val="6.5"/>
        <rFont val="Arial"/>
        <family val="2"/>
      </rPr>
      <t xml:space="preserve">Толеужан Адилет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</si>
  <si>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М201БМИЭФ042</t>
    </r>
  </si>
  <si>
    <r>
      <rPr>
        <sz val="6.5"/>
        <rFont val="Arial"/>
        <family val="2"/>
      </rPr>
      <t>Бабаян Кристина Сергеевна</t>
    </r>
  </si>
  <si>
    <r>
      <rPr>
        <sz val="7"/>
        <rFont val="Times New Roman"/>
        <family val="1"/>
      </rPr>
      <t>М201БМИЭФ188</t>
    </r>
  </si>
  <si>
    <r>
      <rPr>
        <sz val="6.5"/>
        <rFont val="Arial"/>
        <family val="2"/>
      </rPr>
      <t>Одинцова Настасья Алексеевна</t>
    </r>
  </si>
  <si>
    <r>
      <rPr>
        <sz val="7"/>
        <rFont val="Times New Roman"/>
        <family val="1"/>
      </rPr>
      <t>М201БМИЭФ045</t>
    </r>
  </si>
  <si>
    <r>
      <rPr>
        <sz val="6.5"/>
        <rFont val="Arial"/>
        <family val="2"/>
      </rPr>
      <t>Баричева Полина Олеговна</t>
    </r>
  </si>
  <si>
    <r>
      <rPr>
        <sz val="7"/>
        <rFont val="Times New Roman"/>
        <family val="1"/>
      </rPr>
      <t>М201БМИЭФ203</t>
    </r>
  </si>
  <si>
    <r>
      <rPr>
        <sz val="6.5"/>
        <rFont val="Arial"/>
        <family val="2"/>
      </rPr>
      <t>Пятаков Илья Андреевич</t>
    </r>
  </si>
  <si>
    <r>
      <rPr>
        <sz val="7"/>
        <rFont val="Times New Roman"/>
        <family val="1"/>
      </rPr>
      <t>М201БМИЭФ190</t>
    </r>
  </si>
  <si>
    <r>
      <rPr>
        <sz val="6.5"/>
        <rFont val="Arial"/>
        <family val="2"/>
      </rPr>
      <t>Оржебовская Евгения Константиновна</t>
    </r>
  </si>
  <si>
    <r>
      <rPr>
        <sz val="7"/>
        <rFont val="Times New Roman"/>
        <family val="1"/>
      </rPr>
      <t>М201БМИЭФ085</t>
    </r>
  </si>
  <si>
    <r>
      <rPr>
        <sz val="6.5"/>
        <rFont val="Arial"/>
        <family val="2"/>
      </rPr>
      <t>Гуманова Мария Михайловна</t>
    </r>
  </si>
  <si>
    <r>
      <rPr>
        <sz val="7"/>
        <rFont val="Times New Roman"/>
        <family val="1"/>
      </rPr>
      <t>М201БМИЭФ208</t>
    </r>
  </si>
  <si>
    <r>
      <rPr>
        <sz val="6.5"/>
        <rFont val="Arial"/>
        <family val="2"/>
      </rPr>
      <t>Роберт Алексей Эрикович</t>
    </r>
  </si>
  <si>
    <r>
      <rPr>
        <sz val="7"/>
        <rFont val="Times New Roman"/>
        <family val="1"/>
      </rPr>
      <t>М201БМИЭФ043</t>
    </r>
  </si>
  <si>
    <r>
      <rPr>
        <sz val="6.5"/>
        <rFont val="Arial"/>
        <family val="2"/>
      </rPr>
      <t>Багдасарова Ангелина Рафиковна</t>
    </r>
  </si>
  <si>
    <r>
      <rPr>
        <sz val="7"/>
        <rFont val="Times New Roman"/>
        <family val="1"/>
      </rPr>
      <t>М201БМИЭФ263</t>
    </r>
  </si>
  <si>
    <r>
      <rPr>
        <sz val="6.5"/>
        <rFont val="Arial"/>
        <family val="2"/>
      </rPr>
      <t>Чуйков Артём Игоревич</t>
    </r>
  </si>
  <si>
    <r>
      <rPr>
        <sz val="7"/>
        <rFont val="Times New Roman"/>
        <family val="1"/>
      </rPr>
      <t>М201БМИЭФ150</t>
    </r>
  </si>
  <si>
    <r>
      <rPr>
        <sz val="6.5"/>
        <rFont val="Arial"/>
        <family val="2"/>
      </rPr>
      <t>Лифар Михаил Андраникович</t>
    </r>
  </si>
  <si>
    <r>
      <rPr>
        <sz val="7"/>
        <rFont val="Times New Roman"/>
        <family val="1"/>
      </rPr>
      <t>М201БМИЭФ084</t>
    </r>
  </si>
  <si>
    <r>
      <rPr>
        <sz val="6.5"/>
        <rFont val="Arial"/>
        <family val="2"/>
      </rPr>
      <t>Гришин Александр Сергеевич</t>
    </r>
  </si>
  <si>
    <r>
      <rPr>
        <sz val="7"/>
        <rFont val="Times New Roman"/>
        <family val="1"/>
      </rPr>
      <t>М201БМИЭФ086</t>
    </r>
  </si>
  <si>
    <r>
      <rPr>
        <sz val="6.5"/>
        <rFont val="Arial"/>
        <family val="2"/>
      </rPr>
      <t>Демьянов Александр Сергеевич</t>
    </r>
  </si>
  <si>
    <r>
      <rPr>
        <sz val="7"/>
        <rFont val="Times New Roman"/>
        <family val="1"/>
      </rPr>
      <t>М201БМИЭФ159</t>
    </r>
  </si>
  <si>
    <r>
      <rPr>
        <sz val="6.5"/>
        <rFont val="Arial"/>
        <family val="2"/>
      </rPr>
      <t>Манукян Александр Андраникович</t>
    </r>
  </si>
  <si>
    <r>
      <rPr>
        <sz val="7"/>
        <rFont val="Times New Roman"/>
        <family val="1"/>
      </rPr>
      <t>М201БМИЭФ056</t>
    </r>
  </si>
  <si>
    <r>
      <rPr>
        <sz val="6.5"/>
        <rFont val="Arial"/>
        <family val="2"/>
      </rPr>
      <t>Бородин Андрей Викторович</t>
    </r>
  </si>
  <si>
    <r>
      <rPr>
        <sz val="7"/>
        <rFont val="Times New Roman"/>
        <family val="1"/>
      </rPr>
      <t>М201БМИЭФ156</t>
    </r>
  </si>
  <si>
    <r>
      <rPr>
        <sz val="6.5"/>
        <rFont val="Arial"/>
        <family val="2"/>
      </rPr>
      <t>Максимов Дмитрий Александрович</t>
    </r>
  </si>
  <si>
    <r>
      <rPr>
        <sz val="7"/>
        <rFont val="Times New Roman"/>
        <family val="1"/>
      </rPr>
      <t>М201БМИЭФ179</t>
    </r>
  </si>
  <si>
    <r>
      <rPr>
        <sz val="6.5"/>
        <rFont val="Arial"/>
        <family val="2"/>
      </rPr>
      <t>Мухин Константин Григорьевич</t>
    </r>
  </si>
  <si>
    <r>
      <rPr>
        <sz val="7"/>
        <rFont val="Times New Roman"/>
        <family val="1"/>
      </rPr>
      <t>М201БМИЭФ076</t>
    </r>
  </si>
  <si>
    <r>
      <rPr>
        <sz val="6.5"/>
        <rFont val="Arial"/>
        <family val="2"/>
      </rPr>
      <t>Гиниятуллин Эрнест Эдуардович</t>
    </r>
  </si>
  <si>
    <r>
      <rPr>
        <sz val="7"/>
        <rFont val="Times New Roman"/>
        <family val="1"/>
      </rPr>
      <t>М201БМИЭФ228</t>
    </r>
  </si>
  <si>
    <r>
      <rPr>
        <sz val="6.5"/>
        <rFont val="Arial"/>
        <family val="2"/>
      </rPr>
      <t>Стрельников Владимир Игоревич</t>
    </r>
  </si>
  <si>
    <r>
      <rPr>
        <sz val="7"/>
        <rFont val="Times New Roman"/>
        <family val="1"/>
      </rPr>
      <t>М201БМИЭФ221</t>
    </r>
  </si>
  <si>
    <r>
      <rPr>
        <sz val="6.5"/>
        <rFont val="Arial"/>
        <family val="2"/>
      </rPr>
      <t>Смирнов Георгий Александрович</t>
    </r>
  </si>
  <si>
    <r>
      <rPr>
        <sz val="7"/>
        <rFont val="Times New Roman"/>
        <family val="1"/>
      </rPr>
      <t>М201БМИЭФ281</t>
    </r>
  </si>
  <si>
    <r>
      <rPr>
        <sz val="6.5"/>
        <rFont val="Arial"/>
        <family val="2"/>
      </rPr>
      <t>Эдельбиев Абдул</t>
    </r>
    <r>
      <rPr>
        <sz val="6.5"/>
        <rFont val="Calibri"/>
        <family val="2"/>
      </rPr>
      <t>-</t>
    </r>
    <r>
      <rPr>
        <sz val="6.5"/>
        <rFont val="Arial"/>
        <family val="2"/>
      </rPr>
      <t>Малик Абдул</t>
    </r>
    <r>
      <rPr>
        <sz val="6.5"/>
        <rFont val="Calibri"/>
        <family val="2"/>
      </rPr>
      <t>-</t>
    </r>
    <r>
      <rPr>
        <sz val="6.5"/>
        <rFont val="Arial"/>
        <family val="2"/>
      </rPr>
      <t>Керимови</t>
    </r>
  </si>
  <si>
    <r>
      <rPr>
        <sz val="7"/>
        <rFont val="Times New Roman"/>
        <family val="1"/>
      </rPr>
      <t>М201БМИЭФ134</t>
    </r>
  </si>
  <si>
    <r>
      <rPr>
        <sz val="6.5"/>
        <rFont val="Arial"/>
        <family val="2"/>
      </rPr>
      <t>Костюк Ярослав Русланович</t>
    </r>
  </si>
  <si>
    <r>
      <rPr>
        <sz val="7"/>
        <rFont val="Times New Roman"/>
        <family val="1"/>
      </rPr>
      <t>М201БМИЭФ259</t>
    </r>
  </si>
  <si>
    <r>
      <rPr>
        <sz val="6.5"/>
        <rFont val="Arial"/>
        <family val="2"/>
      </rPr>
      <t>Чернышев Глеб Владимирович</t>
    </r>
  </si>
  <si>
    <r>
      <rPr>
        <sz val="7"/>
        <rFont val="Times New Roman"/>
        <family val="1"/>
      </rPr>
      <t>М201БМИЭФ284</t>
    </r>
  </si>
  <si>
    <r>
      <rPr>
        <sz val="6.5"/>
        <rFont val="Arial"/>
        <family val="2"/>
      </rPr>
      <t>Явися Полина Андреевна</t>
    </r>
  </si>
  <si>
    <r>
      <rPr>
        <sz val="7"/>
        <rFont val="Times New Roman"/>
        <family val="1"/>
      </rPr>
      <t>М201БМИЭФ057</t>
    </r>
  </si>
  <si>
    <r>
      <rPr>
        <sz val="6.5"/>
        <rFont val="Arial"/>
        <family val="2"/>
      </rPr>
      <t>Буднева Полина Михайловна</t>
    </r>
  </si>
  <si>
    <r>
      <rPr>
        <sz val="7"/>
        <rFont val="Times New Roman"/>
        <family val="1"/>
      </rPr>
      <t>М201БМИЭФ048</t>
    </r>
  </si>
  <si>
    <r>
      <rPr>
        <sz val="6.5"/>
        <rFont val="Arial"/>
        <family val="2"/>
      </rPr>
      <t>Бовдурец Сергей Сергеевич</t>
    </r>
  </si>
  <si>
    <r>
      <rPr>
        <sz val="7"/>
        <rFont val="Times New Roman"/>
        <family val="1"/>
      </rPr>
      <t>М201БМИЭФ106</t>
    </r>
  </si>
  <si>
    <r>
      <rPr>
        <sz val="6.5"/>
        <rFont val="Arial"/>
        <family val="2"/>
      </rPr>
      <t>Золотарева Злата Сергеевна</t>
    </r>
  </si>
  <si>
    <r>
      <rPr>
        <sz val="7"/>
        <rFont val="Times New Roman"/>
        <family val="1"/>
      </rPr>
      <t>М201БМИЭФ037</t>
    </r>
  </si>
  <si>
    <r>
      <rPr>
        <sz val="6.5"/>
        <rFont val="Arial"/>
        <family val="2"/>
      </rPr>
      <t>Асадова Айгюн Джабировна</t>
    </r>
  </si>
  <si>
    <r>
      <rPr>
        <sz val="7"/>
        <rFont val="Times New Roman"/>
        <family val="1"/>
      </rPr>
      <t>М201БМИЭФ163</t>
    </r>
  </si>
  <si>
    <r>
      <rPr>
        <sz val="6.5"/>
        <rFont val="Arial"/>
        <family val="2"/>
      </rPr>
      <t>Мартиросян Нарине Григорьевна</t>
    </r>
  </si>
  <si>
    <r>
      <rPr>
        <sz val="7"/>
        <rFont val="Times New Roman"/>
        <family val="1"/>
      </rPr>
      <t>М201БМИЭФ213</t>
    </r>
  </si>
  <si>
    <r>
      <rPr>
        <sz val="6.5"/>
        <rFont val="Arial"/>
        <family val="2"/>
      </rPr>
      <t>Сайфуллин Арсен Эдуардович</t>
    </r>
  </si>
  <si>
    <r>
      <rPr>
        <sz val="7"/>
        <rFont val="Times New Roman"/>
        <family val="1"/>
      </rPr>
      <t>М201БМИЭФ269</t>
    </r>
  </si>
  <si>
    <r>
      <rPr>
        <sz val="6.5"/>
        <rFont val="Arial"/>
        <family val="2"/>
      </rPr>
      <t>Шаров Илья Андреевич</t>
    </r>
  </si>
  <si>
    <r>
      <rPr>
        <sz val="7"/>
        <rFont val="Times New Roman"/>
        <family val="1"/>
      </rPr>
      <t>М201БМИЭФ097</t>
    </r>
  </si>
  <si>
    <r>
      <rPr>
        <sz val="6.5"/>
        <rFont val="Arial"/>
        <family val="2"/>
      </rPr>
      <t>Ершова Мария Александровна</t>
    </r>
  </si>
  <si>
    <r>
      <rPr>
        <sz val="7"/>
        <rFont val="Times New Roman"/>
        <family val="1"/>
      </rPr>
      <t>М201БМИЭФ033</t>
    </r>
  </si>
  <si>
    <r>
      <rPr>
        <sz val="6.5"/>
        <rFont val="Arial"/>
        <family val="2"/>
      </rPr>
      <t>Андреев Дмитрий Валерьевич</t>
    </r>
  </si>
  <si>
    <r>
      <rPr>
        <sz val="7"/>
        <rFont val="Times New Roman"/>
        <family val="1"/>
      </rPr>
      <t>М201БМИЭФ285</t>
    </r>
  </si>
  <si>
    <r>
      <rPr>
        <sz val="6.5"/>
        <rFont val="Arial"/>
        <family val="2"/>
      </rPr>
      <t>Яцуненко Даниил Евгеньевич</t>
    </r>
  </si>
  <si>
    <r>
      <rPr>
        <sz val="7"/>
        <rFont val="Times New Roman"/>
        <family val="1"/>
      </rPr>
      <t>М201БМИЭФ225</t>
    </r>
  </si>
  <si>
    <r>
      <rPr>
        <sz val="6.5"/>
        <rFont val="Arial"/>
        <family val="2"/>
      </rPr>
      <t>Сосорев Владимир Андреевич</t>
    </r>
  </si>
  <si>
    <r>
      <rPr>
        <sz val="7"/>
        <rFont val="Times New Roman"/>
        <family val="1"/>
      </rPr>
      <t>М191БМИЭФ292</t>
    </r>
  </si>
  <si>
    <r>
      <rPr>
        <sz val="6.5"/>
        <rFont val="Arial"/>
        <family val="2"/>
      </rPr>
      <t>Зайнобиддинов Хожиакбар Мухаммаджо</t>
    </r>
  </si>
  <si>
    <r>
      <rPr>
        <sz val="7"/>
        <rFont val="Times New Roman"/>
        <family val="1"/>
      </rPr>
      <t>М201БМИЭФ242</t>
    </r>
  </si>
  <si>
    <r>
      <rPr>
        <sz val="6.5"/>
        <rFont val="Arial"/>
        <family val="2"/>
      </rPr>
      <t>Уланова Алина Николаевна</t>
    </r>
  </si>
  <si>
    <r>
      <rPr>
        <sz val="7"/>
        <rFont val="Times New Roman"/>
        <family val="1"/>
      </rPr>
      <t>М201БМИЭФ036</t>
    </r>
  </si>
  <si>
    <r>
      <rPr>
        <sz val="6.5"/>
        <rFont val="Arial"/>
        <family val="2"/>
      </rPr>
      <t>Арчибасова Алина Олеговна</t>
    </r>
  </si>
  <si>
    <r>
      <rPr>
        <sz val="7"/>
        <rFont val="Times New Roman"/>
        <family val="1"/>
      </rPr>
      <t>М201БМИЭФ235</t>
    </r>
  </si>
  <si>
    <r>
      <rPr>
        <sz val="6.5"/>
        <rFont val="Arial"/>
        <family val="2"/>
      </rPr>
      <t>Тесленко Пётр Олегович</t>
    </r>
  </si>
  <si>
    <r>
      <rPr>
        <sz val="7"/>
        <rFont val="Times New Roman"/>
        <family val="1"/>
      </rPr>
      <t>М201БМИЭФ237</t>
    </r>
  </si>
  <si>
    <r>
      <rPr>
        <sz val="6.5"/>
        <rFont val="Arial"/>
        <family val="2"/>
      </rPr>
      <t>Тишкова Софья Сергеевна</t>
    </r>
  </si>
  <si>
    <r>
      <rPr>
        <sz val="7"/>
        <rFont val="Times New Roman"/>
        <family val="1"/>
      </rPr>
      <t>М201БМИЭФ197</t>
    </r>
  </si>
  <si>
    <r>
      <rPr>
        <sz val="6.5"/>
        <rFont val="Arial"/>
        <family val="2"/>
      </rPr>
      <t>Пинчук Екатерина Витальевна</t>
    </r>
  </si>
  <si>
    <r>
      <rPr>
        <sz val="7"/>
        <rFont val="Times New Roman"/>
        <family val="1"/>
      </rPr>
      <t>М201БМИЭФ296</t>
    </r>
  </si>
  <si>
    <r>
      <rPr>
        <sz val="6.5"/>
        <rFont val="Arial"/>
        <family val="2"/>
      </rPr>
      <t xml:space="preserve">Томилин Артём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</si>
  <si>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М201БМИЭФ028</t>
    </r>
  </si>
  <si>
    <r>
      <rPr>
        <sz val="6.5"/>
        <rFont val="Arial"/>
        <family val="2"/>
      </rPr>
      <t>Азимова Асаль Сухробовна</t>
    </r>
  </si>
  <si>
    <r>
      <rPr>
        <sz val="7"/>
        <rFont val="Times New Roman"/>
        <family val="1"/>
      </rPr>
      <t>М201БМИЭФ227</t>
    </r>
  </si>
  <si>
    <r>
      <rPr>
        <sz val="6.5"/>
        <rFont val="Arial"/>
        <family val="2"/>
      </rPr>
      <t>Стефанова Варвара Александровна</t>
    </r>
  </si>
  <si>
    <r>
      <rPr>
        <sz val="7"/>
        <rFont val="Times New Roman"/>
        <family val="1"/>
      </rPr>
      <t>М201БМИЭФ268</t>
    </r>
  </si>
  <si>
    <r>
      <rPr>
        <sz val="6.5"/>
        <rFont val="Arial"/>
        <family val="2"/>
      </rPr>
      <t>Шарифов Эльмир Беглярович</t>
    </r>
  </si>
  <si>
    <r>
      <rPr>
        <sz val="7"/>
        <rFont val="Times New Roman"/>
        <family val="1"/>
      </rPr>
      <t>М201БМИЭФ202</t>
    </r>
  </si>
  <si>
    <r>
      <rPr>
        <sz val="6.5"/>
        <rFont val="Arial"/>
        <family val="2"/>
      </rPr>
      <t>Прусаков Андрей Денисович</t>
    </r>
  </si>
  <si>
    <r>
      <rPr>
        <sz val="7"/>
        <rFont val="Times New Roman"/>
        <family val="1"/>
      </rPr>
      <t>М201БМИЭФ240</t>
    </r>
  </si>
  <si>
    <r>
      <rPr>
        <sz val="6.5"/>
        <rFont val="Arial"/>
        <family val="2"/>
      </rPr>
      <t>Туровская Мария Сергеевна</t>
    </r>
  </si>
  <si>
    <r>
      <rPr>
        <sz val="7"/>
        <rFont val="Times New Roman"/>
        <family val="1"/>
      </rPr>
      <t>М201БМИЭФ249</t>
    </r>
  </si>
  <si>
    <r>
      <rPr>
        <sz val="6.5"/>
        <rFont val="Arial"/>
        <family val="2"/>
      </rPr>
      <t>Филимонова Екатерина Олеговна</t>
    </r>
  </si>
  <si>
    <r>
      <rPr>
        <sz val="7"/>
        <rFont val="Times New Roman"/>
        <family val="1"/>
      </rPr>
      <t>М201БМИЭФ299</t>
    </r>
  </si>
  <si>
    <r>
      <rPr>
        <sz val="6.5"/>
        <rFont val="Arial"/>
        <family val="2"/>
      </rPr>
      <t xml:space="preserve">Кабылбеков Алихан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</si>
  <si>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М201БМИЭФ212</t>
    </r>
  </si>
  <si>
    <r>
      <rPr>
        <sz val="6.5"/>
        <rFont val="Arial"/>
        <family val="2"/>
      </rPr>
      <t>Сагиев Вадим Вадимович</t>
    </r>
  </si>
  <si>
    <r>
      <rPr>
        <sz val="7"/>
        <rFont val="Times New Roman"/>
        <family val="1"/>
      </rPr>
      <t>М201БМИЭФ024</t>
    </r>
  </si>
  <si>
    <r>
      <rPr>
        <sz val="6.5"/>
        <rFont val="Arial"/>
        <family val="2"/>
      </rPr>
      <t>Аванесов Артём Андреевич</t>
    </r>
  </si>
  <si>
    <r>
      <rPr>
        <sz val="7"/>
        <rFont val="Times New Roman"/>
        <family val="1"/>
      </rPr>
      <t>М201БМИЭФ248</t>
    </r>
  </si>
  <si>
    <r>
      <rPr>
        <sz val="6.5"/>
        <rFont val="Arial"/>
        <family val="2"/>
      </rPr>
      <t>Феоктистов Николай Константинович</t>
    </r>
  </si>
  <si>
    <r>
      <rPr>
        <sz val="7"/>
        <rFont val="Times New Roman"/>
        <family val="1"/>
      </rPr>
      <t>М201БМИЭФ115</t>
    </r>
  </si>
  <si>
    <r>
      <rPr>
        <sz val="6.5"/>
        <rFont val="Arial"/>
        <family val="2"/>
      </rPr>
      <t>Коваленко Виктория Эдуардовна</t>
    </r>
  </si>
  <si>
    <r>
      <rPr>
        <sz val="7"/>
        <rFont val="Times New Roman"/>
        <family val="1"/>
      </rPr>
      <t>М201БМИЭФ126</t>
    </r>
  </si>
  <si>
    <r>
      <rPr>
        <sz val="6.5"/>
        <rFont val="Arial"/>
        <family val="2"/>
      </rPr>
      <t>Команова Алиса Викторовна</t>
    </r>
  </si>
  <si>
    <r>
      <rPr>
        <sz val="7"/>
        <rFont val="Times New Roman"/>
        <family val="1"/>
      </rPr>
      <t>М201БМИЭФ187</t>
    </r>
  </si>
  <si>
    <r>
      <rPr>
        <sz val="6.5"/>
        <rFont val="Arial"/>
        <family val="2"/>
      </rPr>
      <t>Одинцов Антон Викторович</t>
    </r>
  </si>
  <si>
    <r>
      <rPr>
        <sz val="7"/>
        <rFont val="Times New Roman"/>
        <family val="1"/>
      </rPr>
      <t>М201БМИЭФ032</t>
    </r>
  </si>
  <si>
    <r>
      <rPr>
        <sz val="6.5"/>
        <rFont val="Arial"/>
        <family val="2"/>
      </rPr>
      <t>Алиев Арслан Магомедович</t>
    </r>
  </si>
  <si>
    <r>
      <rPr>
        <sz val="7"/>
        <rFont val="Times New Roman"/>
        <family val="1"/>
      </rPr>
      <t>М201БМИЭФ137</t>
    </r>
  </si>
  <si>
    <r>
      <rPr>
        <sz val="6.5"/>
        <rFont val="Arial"/>
        <family val="2"/>
      </rPr>
      <t>Красавин Олег Игоревич</t>
    </r>
  </si>
  <si>
    <r>
      <rPr>
        <sz val="7"/>
        <rFont val="Times New Roman"/>
        <family val="1"/>
      </rPr>
      <t>М201БМИЭФ304</t>
    </r>
  </si>
  <si>
    <r>
      <rPr>
        <sz val="6.5"/>
        <rFont val="Arial"/>
        <family val="2"/>
      </rPr>
      <t>Кривошеева Анна Сергеевна</t>
    </r>
  </si>
  <si>
    <r>
      <rPr>
        <sz val="7"/>
        <rFont val="Times New Roman"/>
        <family val="1"/>
      </rPr>
      <t>М201БМИЭФ148</t>
    </r>
  </si>
  <si>
    <r>
      <rPr>
        <sz val="6.5"/>
        <rFont val="Arial"/>
        <family val="2"/>
      </rPr>
      <t>Лебедева Элина Эмильевна</t>
    </r>
  </si>
  <si>
    <r>
      <rPr>
        <sz val="7"/>
        <rFont val="Times New Roman"/>
        <family val="1"/>
      </rPr>
      <t>М201БМИЭФ116</t>
    </r>
  </si>
  <si>
    <r>
      <rPr>
        <sz val="6.5"/>
        <rFont val="Arial"/>
        <family val="2"/>
      </rPr>
      <t>Козачук Александр Владимирович</t>
    </r>
  </si>
  <si>
    <r>
      <rPr>
        <sz val="7"/>
        <rFont val="Times New Roman"/>
        <family val="1"/>
      </rPr>
      <t>М201БМИЭФ267</t>
    </r>
  </si>
  <si>
    <r>
      <rPr>
        <sz val="6.5"/>
        <rFont val="Arial"/>
        <family val="2"/>
      </rPr>
      <t>Шамои Заил Рашидович</t>
    </r>
  </si>
  <si>
    <r>
      <rPr>
        <sz val="7"/>
        <rFont val="Times New Roman"/>
        <family val="1"/>
      </rPr>
      <t>М201БМИЭФ055</t>
    </r>
  </si>
  <si>
    <r>
      <rPr>
        <sz val="6.5"/>
        <rFont val="Arial"/>
        <family val="2"/>
      </rPr>
      <t>Борисова Ульяна Васильевна</t>
    </r>
  </si>
  <si>
    <r>
      <rPr>
        <sz val="7"/>
        <rFont val="Times New Roman"/>
        <family val="1"/>
      </rPr>
      <t>М201БМИЭФ016</t>
    </r>
  </si>
  <si>
    <r>
      <rPr>
        <sz val="6.5"/>
        <rFont val="Arial"/>
        <family val="2"/>
      </rPr>
      <t xml:space="preserve">Чан Конг Зуи Ан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</si>
  <si>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М201БМИЭФ169</t>
    </r>
  </si>
  <si>
    <r>
      <rPr>
        <sz val="6.5"/>
        <rFont val="Arial"/>
        <family val="2"/>
      </rPr>
      <t>Мельничук Виолетта Владимировна</t>
    </r>
  </si>
  <si>
    <r>
      <rPr>
        <sz val="7"/>
        <rFont val="Times New Roman"/>
        <family val="1"/>
      </rPr>
      <t>М201БМИЭФ104</t>
    </r>
  </si>
  <si>
    <r>
      <rPr>
        <sz val="6.5"/>
        <rFont val="Arial"/>
        <family val="2"/>
      </rPr>
      <t>Зезелёв Максим Андреевич</t>
    </r>
  </si>
  <si>
    <r>
      <rPr>
        <sz val="7"/>
        <rFont val="Times New Roman"/>
        <family val="1"/>
      </rPr>
      <t>М201БМИЭФ091</t>
    </r>
  </si>
  <si>
    <r>
      <rPr>
        <sz val="6.5"/>
        <rFont val="Arial"/>
        <family val="2"/>
      </rPr>
      <t>Дубровская Яна Олеговна</t>
    </r>
  </si>
  <si>
    <r>
      <rPr>
        <sz val="7"/>
        <rFont val="Times New Roman"/>
        <family val="1"/>
      </rPr>
      <t>М201БМИЭФ125</t>
    </r>
  </si>
  <si>
    <r>
      <rPr>
        <sz val="6.5"/>
        <rFont val="Arial"/>
        <family val="2"/>
      </rPr>
      <t>Колчин Борис Олегович</t>
    </r>
  </si>
  <si>
    <r>
      <rPr>
        <sz val="7"/>
        <rFont val="Times New Roman"/>
        <family val="1"/>
      </rPr>
      <t>М201БМИЭФ279</t>
    </r>
  </si>
  <si>
    <r>
      <rPr>
        <sz val="6.5"/>
        <rFont val="Arial"/>
        <family val="2"/>
      </rPr>
      <t>Шхимян Мадлена Константиновна</t>
    </r>
  </si>
  <si>
    <r>
      <rPr>
        <sz val="7"/>
        <rFont val="Times New Roman"/>
        <family val="1"/>
      </rPr>
      <t>М201БМИЭФ243</t>
    </r>
  </si>
  <si>
    <r>
      <rPr>
        <sz val="6.5"/>
        <rFont val="Arial"/>
        <family val="2"/>
      </rPr>
      <t>Уланова Виктория Николаевна</t>
    </r>
  </si>
  <si>
    <r>
      <rPr>
        <sz val="7"/>
        <rFont val="Times New Roman"/>
        <family val="1"/>
      </rPr>
      <t>М201БМИЭФ199</t>
    </r>
  </si>
  <si>
    <r>
      <rPr>
        <sz val="6.5"/>
        <rFont val="Arial"/>
        <family val="2"/>
      </rPr>
      <t>Попельнюхова Екатерина Сергеевна</t>
    </r>
  </si>
  <si>
    <r>
      <rPr>
        <sz val="7"/>
        <rFont val="Times New Roman"/>
        <family val="1"/>
      </rPr>
      <t>М201БМИЭФ194</t>
    </r>
  </si>
  <si>
    <r>
      <rPr>
        <sz val="6.5"/>
        <rFont val="Arial"/>
        <family val="2"/>
      </rPr>
      <t>Панин Максим Александрович</t>
    </r>
  </si>
  <si>
    <r>
      <rPr>
        <sz val="7"/>
        <rFont val="Times New Roman"/>
        <family val="1"/>
      </rPr>
      <t>М201БМИЭФ253</t>
    </r>
  </si>
  <si>
    <r>
      <rPr>
        <sz val="6.5"/>
        <rFont val="Arial"/>
        <family val="2"/>
      </rPr>
      <t>Хает Марк Игоревич</t>
    </r>
  </si>
  <si>
    <r>
      <rPr>
        <sz val="7"/>
        <rFont val="Times New Roman"/>
        <family val="1"/>
      </rPr>
      <t>М201БМИЭФ014</t>
    </r>
  </si>
  <si>
    <r>
      <rPr>
        <sz val="6.5"/>
        <rFont val="Arial"/>
        <family val="2"/>
      </rPr>
      <t>Синявская Дарья Степановна</t>
    </r>
  </si>
  <si>
    <r>
      <rPr>
        <sz val="7"/>
        <rFont val="Times New Roman"/>
        <family val="1"/>
      </rPr>
      <t>М201БМИЭФ135</t>
    </r>
  </si>
  <si>
    <r>
      <rPr>
        <sz val="6.5"/>
        <rFont val="Arial"/>
        <family val="2"/>
      </rPr>
      <t>Кошелев Емельян Александрович</t>
    </r>
  </si>
  <si>
    <r>
      <rPr>
        <sz val="7"/>
        <rFont val="Times New Roman"/>
        <family val="1"/>
      </rPr>
      <t>М201БМИЭФ047</t>
    </r>
  </si>
  <si>
    <r>
      <rPr>
        <sz val="6.5"/>
        <rFont val="Arial"/>
        <family val="2"/>
      </rPr>
      <t>Баян Айрана Аясовна</t>
    </r>
  </si>
  <si>
    <r>
      <rPr>
        <sz val="7"/>
        <rFont val="Times New Roman"/>
        <family val="1"/>
      </rPr>
      <t>М201БМИЭФ051</t>
    </r>
  </si>
  <si>
    <r>
      <rPr>
        <sz val="6.5"/>
        <rFont val="Arial"/>
        <family val="2"/>
      </rPr>
      <t>Болдова Мария Марковна</t>
    </r>
  </si>
  <si>
    <r>
      <rPr>
        <sz val="7"/>
        <rFont val="Times New Roman"/>
        <family val="1"/>
      </rPr>
      <t>М201БМИЭФ185</t>
    </r>
  </si>
  <si>
    <r>
      <rPr>
        <sz val="6.5"/>
        <rFont val="Arial"/>
        <family val="2"/>
      </rPr>
      <t>Оганов Михаил Владимирович</t>
    </r>
  </si>
  <si>
    <r>
      <rPr>
        <sz val="7"/>
        <rFont val="Times New Roman"/>
        <family val="1"/>
      </rPr>
      <t>М201БМИЭФ278</t>
    </r>
  </si>
  <si>
    <r>
      <rPr>
        <sz val="6.5"/>
        <rFont val="Arial"/>
        <family val="2"/>
      </rPr>
      <t>Шумилов Егор Дмитриевич</t>
    </r>
  </si>
  <si>
    <r>
      <rPr>
        <sz val="7"/>
        <rFont val="Times New Roman"/>
        <family val="1"/>
      </rPr>
      <t>М201БМИЭФ129</t>
    </r>
  </si>
  <si>
    <r>
      <rPr>
        <sz val="6.5"/>
        <rFont val="Arial"/>
        <family val="2"/>
      </rPr>
      <t>Кондрашова Елизавета Вячеславовна</t>
    </r>
  </si>
  <si>
    <r>
      <rPr>
        <sz val="7"/>
        <rFont val="Times New Roman"/>
        <family val="1"/>
      </rPr>
      <t>М201БМИЭФ146</t>
    </r>
  </si>
  <si>
    <r>
      <rPr>
        <sz val="6.5"/>
        <rFont val="Arial"/>
        <family val="2"/>
      </rPr>
      <t>Кухлевская Анастасия Эдуардовна</t>
    </r>
  </si>
  <si>
    <r>
      <rPr>
        <sz val="7"/>
        <rFont val="Times New Roman"/>
        <family val="1"/>
      </rPr>
      <t>М201БМИЭФ192</t>
    </r>
  </si>
  <si>
    <r>
      <rPr>
        <sz val="6.5"/>
        <rFont val="Arial"/>
        <family val="2"/>
      </rPr>
      <t>Павлоцкий Борис Ефимович</t>
    </r>
  </si>
  <si>
    <r>
      <rPr>
        <sz val="7"/>
        <rFont val="Times New Roman"/>
        <family val="1"/>
      </rPr>
      <t>М201БМИЭФ136</t>
    </r>
  </si>
  <si>
    <r>
      <rPr>
        <sz val="6.5"/>
        <rFont val="Arial"/>
        <family val="2"/>
      </rPr>
      <t>Крапивной Виталий Александрович</t>
    </r>
  </si>
  <si>
    <r>
      <rPr>
        <sz val="7"/>
        <rFont val="Times New Roman"/>
        <family val="1"/>
      </rPr>
      <t>М201БМИЭФ210</t>
    </r>
  </si>
  <si>
    <r>
      <rPr>
        <sz val="6.5"/>
        <rFont val="Arial"/>
        <family val="2"/>
      </rPr>
      <t>Рубан Иван Константинович</t>
    </r>
  </si>
  <si>
    <r>
      <rPr>
        <sz val="7"/>
        <rFont val="Times New Roman"/>
        <family val="1"/>
      </rPr>
      <t>М201БМИЭФ273</t>
    </r>
  </si>
  <si>
    <r>
      <rPr>
        <sz val="6.5"/>
        <rFont val="Arial"/>
        <family val="2"/>
      </rPr>
      <t>Шерматова Тансулуу Насипбековна</t>
    </r>
  </si>
  <si>
    <r>
      <rPr>
        <sz val="7"/>
        <rFont val="Times New Roman"/>
        <family val="1"/>
      </rPr>
      <t>М201БМИЭФ139</t>
    </r>
  </si>
  <si>
    <r>
      <rPr>
        <sz val="6.5"/>
        <rFont val="Arial"/>
        <family val="2"/>
      </rPr>
      <t>Крымов Владислав Константинович</t>
    </r>
  </si>
  <si>
    <r>
      <rPr>
        <sz val="7"/>
        <rFont val="Times New Roman"/>
        <family val="1"/>
      </rPr>
      <t>М201БМИЭФ153</t>
    </r>
  </si>
  <si>
    <r>
      <rPr>
        <sz val="6.5"/>
        <rFont val="Arial"/>
        <family val="2"/>
      </rPr>
      <t>Магамедова Анна Сергеевна</t>
    </r>
  </si>
  <si>
    <r>
      <rPr>
        <sz val="7"/>
        <rFont val="Times New Roman"/>
        <family val="1"/>
      </rPr>
      <t>М201БМИЭФ184</t>
    </r>
  </si>
  <si>
    <r>
      <rPr>
        <sz val="6.5"/>
        <rFont val="Arial"/>
        <family val="2"/>
      </rPr>
      <t>Нордас Анастасия Максимовна</t>
    </r>
  </si>
  <si>
    <r>
      <rPr>
        <sz val="7"/>
        <rFont val="Times New Roman"/>
        <family val="1"/>
      </rPr>
      <t>М201БМИЭФ093</t>
    </r>
  </si>
  <si>
    <r>
      <rPr>
        <sz val="6.5"/>
        <rFont val="Arial"/>
        <family val="2"/>
      </rPr>
      <t>Дулин Борис Константинович</t>
    </r>
  </si>
  <si>
    <r>
      <rPr>
        <sz val="7"/>
        <rFont val="Times New Roman"/>
        <family val="1"/>
      </rPr>
      <t>М201БМИЭФ050</t>
    </r>
  </si>
  <si>
    <r>
      <rPr>
        <sz val="6.5"/>
        <rFont val="Arial"/>
        <family val="2"/>
      </rPr>
      <t>Богомолова Дарья Евгеньевна</t>
    </r>
  </si>
  <si>
    <r>
      <rPr>
        <sz val="7"/>
        <rFont val="Times New Roman"/>
        <family val="1"/>
      </rPr>
      <t>М191БМИЭФ290</t>
    </r>
  </si>
  <si>
    <r>
      <rPr>
        <sz val="6.5"/>
        <rFont val="Arial"/>
        <family val="2"/>
      </rPr>
      <t>Султонбеков Хусанбек Гофурбек угли</t>
    </r>
  </si>
  <si>
    <r>
      <rPr>
        <sz val="7"/>
        <rFont val="Times New Roman"/>
        <family val="1"/>
      </rPr>
      <t>М201БМИЭФ088</t>
    </r>
  </si>
  <si>
    <r>
      <rPr>
        <sz val="6.5"/>
        <rFont val="Arial"/>
        <family val="2"/>
      </rPr>
      <t>Дижур Елизавета Геннадьевна</t>
    </r>
  </si>
  <si>
    <r>
      <rPr>
        <sz val="7"/>
        <rFont val="Times New Roman"/>
        <family val="1"/>
      </rPr>
      <t>М201БМИЭФ130</t>
    </r>
  </si>
  <si>
    <r>
      <rPr>
        <sz val="6.5"/>
        <rFont val="Arial"/>
        <family val="2"/>
      </rPr>
      <t>Кононова Мария Алексеевна</t>
    </r>
  </si>
  <si>
    <r>
      <rPr>
        <sz val="7"/>
        <rFont val="Times New Roman"/>
        <family val="1"/>
      </rPr>
      <t>М191БМИЭФ247</t>
    </r>
  </si>
  <si>
    <r>
      <rPr>
        <sz val="6.5"/>
        <rFont val="Arial"/>
        <family val="2"/>
      </rPr>
      <t xml:space="preserve">Фунг Куок Туан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</si>
  <si>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М201БМИЭФ083</t>
    </r>
  </si>
  <si>
    <r>
      <rPr>
        <sz val="6.5"/>
        <rFont val="Arial"/>
        <family val="2"/>
      </rPr>
      <t>Грицевич Камилла Евгеньевна</t>
    </r>
  </si>
  <si>
    <r>
      <rPr>
        <sz val="7"/>
        <rFont val="Times New Roman"/>
        <family val="1"/>
      </rPr>
      <t>М201БМИЭФ233</t>
    </r>
  </si>
  <si>
    <r>
      <rPr>
        <sz val="6.5"/>
        <rFont val="Arial"/>
        <family val="2"/>
      </rPr>
      <t>Тарасов Кирилл Олегович</t>
    </r>
  </si>
  <si>
    <r>
      <rPr>
        <sz val="7"/>
        <rFont val="Times New Roman"/>
        <family val="1"/>
      </rPr>
      <t>М201БМИЭФ258</t>
    </r>
  </si>
  <si>
    <r>
      <rPr>
        <sz val="6.5"/>
        <rFont val="Arial"/>
        <family val="2"/>
      </rPr>
      <t>Чернуха Алексей Алексеевич</t>
    </r>
  </si>
  <si>
    <r>
      <rPr>
        <sz val="7"/>
        <rFont val="Times New Roman"/>
        <family val="1"/>
      </rPr>
      <t>М201БМИЭФ087</t>
    </r>
  </si>
  <si>
    <r>
      <rPr>
        <sz val="6.5"/>
        <rFont val="Arial"/>
        <family val="2"/>
      </rPr>
      <t>Джумаян Анна Арамовна</t>
    </r>
  </si>
  <si>
    <r>
      <rPr>
        <sz val="7"/>
        <rFont val="Times New Roman"/>
        <family val="1"/>
      </rPr>
      <t>М201БМИЭФ256</t>
    </r>
  </si>
  <si>
    <r>
      <rPr>
        <sz val="6.5"/>
        <rFont val="Arial"/>
        <family val="2"/>
      </rPr>
      <t>Цаллагова Виолетта Дмитриевна</t>
    </r>
  </si>
  <si>
    <r>
      <rPr>
        <sz val="7"/>
        <rFont val="Times New Roman"/>
        <family val="1"/>
      </rPr>
      <t>М201БМИЭФ122</t>
    </r>
  </si>
  <si>
    <r>
      <rPr>
        <sz val="6.5"/>
        <rFont val="Arial"/>
        <family val="2"/>
      </rPr>
      <t>Колесников Максим Александрович</t>
    </r>
  </si>
  <si>
    <r>
      <rPr>
        <sz val="7"/>
        <rFont val="Times New Roman"/>
        <family val="1"/>
      </rPr>
      <t>М201БМИЭФ191</t>
    </r>
  </si>
  <si>
    <r>
      <rPr>
        <sz val="6.5"/>
        <rFont val="Arial"/>
        <family val="2"/>
      </rPr>
      <t>Орлова Варвара Максимовна</t>
    </r>
  </si>
  <si>
    <r>
      <rPr>
        <sz val="7"/>
        <rFont val="Times New Roman"/>
        <family val="1"/>
      </rPr>
      <t>М201БМИЭФ239</t>
    </r>
  </si>
  <si>
    <r>
      <rPr>
        <sz val="6.5"/>
        <rFont val="Arial"/>
        <family val="2"/>
      </rPr>
      <t>Трухан Никита Александрович</t>
    </r>
  </si>
  <si>
    <r>
      <rPr>
        <sz val="7"/>
        <rFont val="Times New Roman"/>
        <family val="1"/>
      </rPr>
      <t>М201БМИЭФ006</t>
    </r>
  </si>
  <si>
    <r>
      <rPr>
        <sz val="6.5"/>
        <rFont val="Arial"/>
        <family val="2"/>
      </rPr>
      <t>Агакишиева Нигар Исмаиловна</t>
    </r>
  </si>
  <si>
    <r>
      <rPr>
        <sz val="7"/>
        <rFont val="Times New Roman"/>
        <family val="1"/>
      </rPr>
      <t>М201БМИЭФ244</t>
    </r>
  </si>
  <si>
    <r>
      <rPr>
        <sz val="6.5"/>
        <rFont val="Arial"/>
        <family val="2"/>
      </rPr>
      <t>Уразбахтин Радмир Расихович</t>
    </r>
  </si>
  <si>
    <r>
      <rPr>
        <sz val="7"/>
        <rFont val="Times New Roman"/>
        <family val="1"/>
      </rPr>
      <t>М201БМИЭФ107</t>
    </r>
  </si>
  <si>
    <r>
      <rPr>
        <sz val="6.5"/>
        <rFont val="Arial"/>
        <family val="2"/>
      </rPr>
      <t>Зольникова Августа Сергеевна</t>
    </r>
  </si>
  <si>
    <r>
      <rPr>
        <sz val="7"/>
        <rFont val="Times New Roman"/>
        <family val="1"/>
      </rPr>
      <t>М201БМИЭФ105</t>
    </r>
  </si>
  <si>
    <r>
      <rPr>
        <sz val="6.5"/>
        <rFont val="Arial"/>
        <family val="2"/>
      </rPr>
      <t>Зимин Александр Ильич</t>
    </r>
  </si>
  <si>
    <r>
      <rPr>
        <sz val="7"/>
        <rFont val="Times New Roman"/>
        <family val="1"/>
      </rPr>
      <t>М201БМИЭФ161</t>
    </r>
  </si>
  <si>
    <r>
      <rPr>
        <sz val="6.5"/>
        <rFont val="Arial"/>
        <family val="2"/>
      </rPr>
      <t>Маркарян Марк Жирайрович</t>
    </r>
  </si>
  <si>
    <r>
      <rPr>
        <sz val="7"/>
        <rFont val="Times New Roman"/>
        <family val="1"/>
      </rPr>
      <t>М201БМИЭФ308</t>
    </r>
  </si>
  <si>
    <r>
      <rPr>
        <sz val="6.5"/>
        <rFont val="Arial"/>
        <family val="2"/>
      </rPr>
      <t>Албегов Азамат Русланович</t>
    </r>
  </si>
  <si>
    <r>
      <rPr>
        <sz val="7"/>
        <rFont val="Times New Roman"/>
        <family val="1"/>
      </rPr>
      <t>М201БМИЭФ255</t>
    </r>
  </si>
  <si>
    <r>
      <rPr>
        <sz val="6.5"/>
        <rFont val="Arial"/>
        <family val="2"/>
      </rPr>
      <t>Ходырев Александр Евгеньевич</t>
    </r>
  </si>
  <si>
    <r>
      <rPr>
        <sz val="7"/>
        <rFont val="Times New Roman"/>
        <family val="1"/>
      </rPr>
      <t>М201БМИЭФ209</t>
    </r>
  </si>
  <si>
    <r>
      <rPr>
        <sz val="6.5"/>
        <rFont val="Arial"/>
        <family val="2"/>
      </rPr>
      <t>Романова Александра Андреевна</t>
    </r>
  </si>
  <si>
    <r>
      <rPr>
        <sz val="7"/>
        <rFont val="Times New Roman"/>
        <family val="1"/>
      </rPr>
      <t>М201БМИЭФ171</t>
    </r>
  </si>
  <si>
    <r>
      <rPr>
        <sz val="6.5"/>
        <rFont val="Arial"/>
        <family val="2"/>
      </rPr>
      <t>Мечетина Ева Александровна</t>
    </r>
  </si>
  <si>
    <r>
      <rPr>
        <sz val="7"/>
        <rFont val="Times New Roman"/>
        <family val="1"/>
      </rPr>
      <t>М201БМИЭФ183</t>
    </r>
  </si>
  <si>
    <r>
      <rPr>
        <sz val="6.5"/>
        <rFont val="Arial"/>
        <family val="2"/>
      </rPr>
      <t>Нерсесян Аристарх Робертович</t>
    </r>
  </si>
  <si>
    <r>
      <rPr>
        <sz val="7"/>
        <rFont val="Times New Roman"/>
        <family val="1"/>
      </rPr>
      <t>М201БМИЭФ090</t>
    </r>
  </si>
  <si>
    <r>
      <rPr>
        <sz val="6.5"/>
        <rFont val="Arial"/>
        <family val="2"/>
      </rPr>
      <t>Дубинина Ксения Михайловна</t>
    </r>
  </si>
  <si>
    <r>
      <rPr>
        <sz val="7"/>
        <rFont val="Times New Roman"/>
        <family val="1"/>
      </rPr>
      <t>М201БМИЭФ176</t>
    </r>
  </si>
  <si>
    <r>
      <rPr>
        <sz val="6.5"/>
        <rFont val="Arial"/>
        <family val="2"/>
      </rPr>
      <t>Монгуш Валерия Аясовна</t>
    </r>
  </si>
  <si>
    <r>
      <rPr>
        <sz val="7"/>
        <rFont val="Times New Roman"/>
        <family val="1"/>
      </rPr>
      <t>М201БМИЭФ030</t>
    </r>
  </si>
  <si>
    <r>
      <rPr>
        <sz val="6.5"/>
        <rFont val="Arial"/>
        <family val="2"/>
      </rPr>
      <t>Алексеенко Полина Игоревна</t>
    </r>
  </si>
  <si>
    <r>
      <rPr>
        <sz val="7"/>
        <rFont val="Times New Roman"/>
        <family val="1"/>
      </rPr>
      <t>М201БМИЭФ218</t>
    </r>
  </si>
  <si>
    <r>
      <rPr>
        <sz val="6.5"/>
        <rFont val="Arial"/>
        <family val="2"/>
      </rPr>
      <t>Секрет Татьяна Андреевна</t>
    </r>
  </si>
  <si>
    <r>
      <rPr>
        <sz val="7"/>
        <rFont val="Times New Roman"/>
        <family val="1"/>
      </rPr>
      <t>М201БМИЭФ238</t>
    </r>
  </si>
  <si>
    <r>
      <rPr>
        <sz val="6.5"/>
        <rFont val="Arial"/>
        <family val="2"/>
      </rPr>
      <t>Тищенко Александр Сергеевич</t>
    </r>
  </si>
  <si>
    <r>
      <rPr>
        <sz val="7"/>
        <rFont val="Times New Roman"/>
        <family val="1"/>
      </rPr>
      <t>М201БМИЭФ151</t>
    </r>
  </si>
  <si>
    <r>
      <rPr>
        <sz val="6.5"/>
        <rFont val="Arial"/>
        <family val="2"/>
      </rPr>
      <t>Лосаберидзе Полина Мамуковна</t>
    </r>
  </si>
  <si>
    <r>
      <rPr>
        <sz val="7"/>
        <rFont val="Times New Roman"/>
        <family val="1"/>
      </rPr>
      <t>М181БМИЭФ184</t>
    </r>
  </si>
  <si>
    <r>
      <rPr>
        <sz val="6.5"/>
        <rFont val="Arial"/>
        <family val="2"/>
      </rPr>
      <t>Поляков Артемий Владимирович</t>
    </r>
  </si>
  <si>
    <r>
      <rPr>
        <sz val="7"/>
        <rFont val="Times New Roman"/>
        <family val="1"/>
      </rPr>
      <t>М201БМИЭФ181</t>
    </r>
  </si>
  <si>
    <r>
      <rPr>
        <sz val="6.5"/>
        <rFont val="Arial"/>
        <family val="2"/>
      </rPr>
      <t>Насонов Руслан Денисович</t>
    </r>
  </si>
  <si>
    <r>
      <rPr>
        <sz val="7"/>
        <rFont val="Times New Roman"/>
        <family val="1"/>
      </rPr>
      <t>М201БМИЭФ132</t>
    </r>
  </si>
  <si>
    <r>
      <rPr>
        <sz val="6.5"/>
        <rFont val="Arial"/>
        <family val="2"/>
      </rPr>
      <t>Коробов Иван Дмитриевич</t>
    </r>
  </si>
  <si>
    <r>
      <rPr>
        <sz val="7"/>
        <rFont val="Times New Roman"/>
        <family val="1"/>
      </rPr>
      <t>М201БМИЭФ081</t>
    </r>
  </si>
  <si>
    <r>
      <rPr>
        <sz val="6.5"/>
        <rFont val="Arial"/>
        <family val="2"/>
      </rPr>
      <t>Гольм Юлия Вадимовна</t>
    </r>
  </si>
  <si>
    <r>
      <rPr>
        <sz val="7"/>
        <rFont val="Times New Roman"/>
        <family val="1"/>
      </rPr>
      <t>М201БМИЭФ109</t>
    </r>
  </si>
  <si>
    <r>
      <rPr>
        <sz val="6.5"/>
        <rFont val="Arial"/>
        <family val="2"/>
      </rPr>
      <t>Иванов Всеволод Никитич</t>
    </r>
  </si>
  <si>
    <r>
      <rPr>
        <sz val="7"/>
        <rFont val="Times New Roman"/>
        <family val="1"/>
      </rPr>
      <t>М201БМИЭФ205</t>
    </r>
  </si>
  <si>
    <r>
      <rPr>
        <sz val="6.5"/>
        <rFont val="Arial"/>
        <family val="2"/>
      </rPr>
      <t>Ратушная Александра Романовна</t>
    </r>
  </si>
  <si>
    <r>
      <rPr>
        <sz val="7"/>
        <rFont val="Times New Roman"/>
        <family val="1"/>
      </rPr>
      <t>М201БМИЭФ094</t>
    </r>
  </si>
  <si>
    <r>
      <rPr>
        <sz val="6.5"/>
        <rFont val="Arial"/>
        <family val="2"/>
      </rPr>
      <t>Думнова Валерия Алексеевна</t>
    </r>
  </si>
  <si>
    <r>
      <rPr>
        <sz val="7"/>
        <rFont val="Times New Roman"/>
        <family val="1"/>
      </rPr>
      <t>М201БМИЭФ246</t>
    </r>
  </si>
  <si>
    <r>
      <rPr>
        <sz val="6.5"/>
        <rFont val="Arial"/>
        <family val="2"/>
      </rPr>
      <t>Ушакова Дарья Андреевна</t>
    </r>
  </si>
  <si>
    <r>
      <rPr>
        <sz val="7"/>
        <rFont val="Times New Roman"/>
        <family val="1"/>
      </rPr>
      <t>М201БМИЭФ015</t>
    </r>
  </si>
  <si>
    <r>
      <rPr>
        <sz val="6.5"/>
        <rFont val="Arial"/>
        <family val="2"/>
      </rPr>
      <t xml:space="preserve">Турнаев Александр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</si>
  <si>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М201БМИЭФ170</t>
    </r>
  </si>
  <si>
    <r>
      <rPr>
        <sz val="6.5"/>
        <rFont val="Arial"/>
        <family val="2"/>
      </rPr>
      <t>Меркулова Виктория Анатольевна</t>
    </r>
  </si>
  <si>
    <r>
      <rPr>
        <sz val="7"/>
        <rFont val="Times New Roman"/>
        <family val="1"/>
      </rPr>
      <t>М201БМИЭФ274</t>
    </r>
  </si>
  <si>
    <r>
      <rPr>
        <sz val="6.5"/>
        <rFont val="Arial"/>
        <family val="2"/>
      </rPr>
      <t>Ширшов Захар Владиславович</t>
    </r>
  </si>
  <si>
    <r>
      <rPr>
        <sz val="7"/>
        <rFont val="Times New Roman"/>
        <family val="1"/>
      </rPr>
      <t>М201БМИЭФ303</t>
    </r>
  </si>
  <si>
    <r>
      <rPr>
        <sz val="7"/>
        <rFont val="Times New Roman"/>
        <family val="1"/>
      </rPr>
      <t>М201БМИЭФ101</t>
    </r>
  </si>
  <si>
    <r>
      <rPr>
        <sz val="6.5"/>
        <rFont val="Arial"/>
        <family val="2"/>
      </rPr>
      <t>Жученко Алла Сергеевна</t>
    </r>
  </si>
  <si>
    <r>
      <rPr>
        <sz val="7"/>
        <rFont val="Times New Roman"/>
        <family val="1"/>
      </rPr>
      <t>М201БМИЭФ216</t>
    </r>
  </si>
  <si>
    <r>
      <rPr>
        <sz val="6.5"/>
        <rFont val="Arial"/>
        <family val="2"/>
      </rPr>
      <t>Самокишин Семен Алексеевич</t>
    </r>
  </si>
  <si>
    <r>
      <rPr>
        <sz val="7"/>
        <rFont val="Times New Roman"/>
        <family val="1"/>
      </rPr>
      <t>М201БМИЭФ223</t>
    </r>
  </si>
  <si>
    <r>
      <rPr>
        <sz val="6.5"/>
        <rFont val="Arial"/>
        <family val="2"/>
      </rPr>
      <t>Снастина Софья Алексеевна</t>
    </r>
  </si>
  <si>
    <r>
      <rPr>
        <sz val="7"/>
        <rFont val="Times New Roman"/>
        <family val="1"/>
      </rPr>
      <t>М201БМИЭФ291</t>
    </r>
  </si>
  <si>
    <r>
      <rPr>
        <sz val="6.5"/>
        <rFont val="Arial"/>
        <family val="2"/>
      </rPr>
      <t xml:space="preserve">Бишир Младен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</si>
  <si>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М201БМИЭФ266</t>
    </r>
  </si>
  <si>
    <r>
      <rPr>
        <sz val="6.5"/>
        <rFont val="Arial"/>
        <family val="2"/>
      </rPr>
      <t>Шаврова Виктория Алексеевна</t>
    </r>
  </si>
  <si>
    <r>
      <rPr>
        <sz val="7"/>
        <rFont val="Times New Roman"/>
        <family val="1"/>
      </rPr>
      <t>М201БМИЭФ063</t>
    </r>
  </si>
  <si>
    <r>
      <rPr>
        <sz val="6.5"/>
        <rFont val="Arial"/>
        <family val="2"/>
      </rPr>
      <t>Верба Владимир Максимович</t>
    </r>
  </si>
  <si>
    <r>
      <rPr>
        <sz val="7"/>
        <rFont val="Times New Roman"/>
        <family val="1"/>
      </rPr>
      <t>М201БМИЭФ231</t>
    </r>
  </si>
  <si>
    <r>
      <rPr>
        <sz val="6.5"/>
        <rFont val="Arial"/>
        <family val="2"/>
      </rPr>
      <t>Сучков Артём Алексеевич</t>
    </r>
  </si>
  <si>
    <r>
      <rPr>
        <sz val="7"/>
        <rFont val="Times New Roman"/>
        <family val="1"/>
      </rPr>
      <t>М201БМИЭФ008</t>
    </r>
  </si>
  <si>
    <r>
      <rPr>
        <sz val="6.5"/>
        <rFont val="Arial"/>
        <family val="2"/>
      </rPr>
      <t xml:space="preserve">Ван Юйцзе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</si>
  <si>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М201БМИЭФ092</t>
    </r>
  </si>
  <si>
    <r>
      <rPr>
        <sz val="6.5"/>
        <rFont val="Arial"/>
        <family val="2"/>
      </rPr>
      <t>Дулгеру Алексей Артурович</t>
    </r>
  </si>
  <si>
    <r>
      <rPr>
        <sz val="7"/>
        <rFont val="Times New Roman"/>
        <family val="1"/>
      </rPr>
      <t>М201БМИЭФ232</t>
    </r>
  </si>
  <si>
    <r>
      <rPr>
        <sz val="6.5"/>
        <rFont val="Arial"/>
        <family val="2"/>
      </rPr>
      <t>Тангиев Идрис Ибрагимович</t>
    </r>
  </si>
  <si>
    <r>
      <rPr>
        <sz val="7"/>
        <rFont val="Times New Roman"/>
        <family val="1"/>
      </rPr>
      <t>М201БМИЭФ031</t>
    </r>
  </si>
  <si>
    <r>
      <rPr>
        <sz val="6.5"/>
        <rFont val="Arial"/>
        <family val="2"/>
      </rPr>
      <t>Алехно Максим Игоревич</t>
    </r>
  </si>
  <si>
    <r>
      <rPr>
        <sz val="7"/>
        <rFont val="Times New Roman"/>
        <family val="1"/>
      </rPr>
      <t>М201БМИЭФ119</t>
    </r>
  </si>
  <si>
    <r>
      <rPr>
        <sz val="6.5"/>
        <rFont val="Arial"/>
        <family val="2"/>
      </rPr>
      <t>Козлова Анна Сергеевна</t>
    </r>
  </si>
  <si>
    <r>
      <rPr>
        <sz val="7"/>
        <rFont val="Times New Roman"/>
        <family val="1"/>
      </rPr>
      <t>М201БМИЭФ292</t>
    </r>
  </si>
  <si>
    <r>
      <rPr>
        <sz val="6.5"/>
        <rFont val="Arial"/>
        <family val="2"/>
      </rPr>
      <t xml:space="preserve">Юминова Анна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</si>
  <si>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М201БМИЭФ174</t>
    </r>
  </si>
  <si>
    <r>
      <rPr>
        <sz val="6.5"/>
        <rFont val="Arial"/>
        <family val="2"/>
      </rPr>
      <t>Мишуков Егор Дмитриевич</t>
    </r>
  </si>
  <si>
    <r>
      <rPr>
        <sz val="7"/>
        <rFont val="Times New Roman"/>
        <family val="1"/>
      </rPr>
      <t>М201БМИЭФ158</t>
    </r>
  </si>
  <si>
    <r>
      <rPr>
        <sz val="6.5"/>
        <rFont val="Arial"/>
        <family val="2"/>
      </rPr>
      <t>Мамедкеримов Руслан Тимурович</t>
    </r>
  </si>
  <si>
    <r>
      <rPr>
        <sz val="7"/>
        <rFont val="Times New Roman"/>
        <family val="1"/>
      </rPr>
      <t>М201БМИЭФ040</t>
    </r>
  </si>
  <si>
    <r>
      <rPr>
        <sz val="6.5"/>
        <rFont val="Arial"/>
        <family val="2"/>
      </rPr>
      <t>Ахтариева Алёна Данировна</t>
    </r>
  </si>
  <si>
    <r>
      <rPr>
        <sz val="7"/>
        <rFont val="Times New Roman"/>
        <family val="1"/>
      </rPr>
      <t>М201БМИЭФ162</t>
    </r>
  </si>
  <si>
    <r>
      <rPr>
        <sz val="6.5"/>
        <rFont val="Arial"/>
        <family val="2"/>
      </rPr>
      <t>Марковская Анастасия Дмитриевна</t>
    </r>
  </si>
  <si>
    <r>
      <rPr>
        <sz val="7"/>
        <rFont val="Times New Roman"/>
        <family val="1"/>
      </rPr>
      <t>М201БМИЭФ286</t>
    </r>
  </si>
  <si>
    <r>
      <rPr>
        <sz val="6.5"/>
        <rFont val="Arial"/>
        <family val="2"/>
      </rPr>
      <t xml:space="preserve">Киселев Георгий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</si>
  <si>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М201БМИЭФ039</t>
    </r>
  </si>
  <si>
    <r>
      <rPr>
        <sz val="6.5"/>
        <rFont val="Arial"/>
        <family val="2"/>
      </rPr>
      <t>Атулян Анна Джаниковна</t>
    </r>
  </si>
  <si>
    <r>
      <rPr>
        <sz val="7"/>
        <rFont val="Times New Roman"/>
        <family val="1"/>
      </rPr>
      <t>М201БМИЭФ009</t>
    </r>
  </si>
  <si>
    <r>
      <rPr>
        <sz val="6.5"/>
        <rFont val="Arial"/>
        <family val="2"/>
      </rPr>
      <t xml:space="preserve">Даупбаева Айганым </t>
    </r>
    <r>
      <rPr>
        <sz val="6.5"/>
        <rFont val="Calibri"/>
        <family val="2"/>
      </rPr>
      <t>-</t>
    </r>
  </si>
  <si>
    <r>
      <rPr>
        <sz val="7"/>
        <rFont val="Times New Roman"/>
        <family val="1"/>
      </rPr>
      <t>М201БМИЭФ073</t>
    </r>
  </si>
  <si>
    <r>
      <rPr>
        <sz val="6.5"/>
        <rFont val="Arial"/>
        <family val="2"/>
      </rPr>
      <t>Галиченко Валентина Павловна</t>
    </r>
  </si>
  <si>
    <r>
      <rPr>
        <sz val="7"/>
        <rFont val="Times New Roman"/>
        <family val="1"/>
      </rPr>
      <t>М201БМИЭФ035</t>
    </r>
  </si>
  <si>
    <r>
      <rPr>
        <sz val="6.5"/>
        <rFont val="Arial"/>
        <family val="2"/>
      </rPr>
      <t>Антонян Роман Витальевич</t>
    </r>
  </si>
  <si>
    <r>
      <rPr>
        <sz val="7"/>
        <rFont val="Times New Roman"/>
        <family val="1"/>
      </rPr>
      <t>М201БМИЭФ186</t>
    </r>
  </si>
  <si>
    <r>
      <rPr>
        <sz val="6.5"/>
        <rFont val="Arial"/>
        <family val="2"/>
      </rPr>
      <t>Оглы Анастасия Александровна</t>
    </r>
  </si>
  <si>
    <r>
      <rPr>
        <sz val="7"/>
        <rFont val="Times New Roman"/>
        <family val="1"/>
      </rPr>
      <t>М201БМИЭФ302</t>
    </r>
  </si>
  <si>
    <r>
      <rPr>
        <sz val="6.5"/>
        <rFont val="Arial"/>
        <family val="2"/>
      </rPr>
      <t>Авдалян Георгий Каренович</t>
    </r>
  </si>
  <si>
    <r>
      <rPr>
        <sz val="7"/>
        <rFont val="Times New Roman"/>
        <family val="1"/>
      </rPr>
      <t>М201БМИЭФ154</t>
    </r>
  </si>
  <si>
    <r>
      <rPr>
        <sz val="6.5"/>
        <rFont val="Arial"/>
        <family val="2"/>
      </rPr>
      <t>Мазурин Даниил Денисович</t>
    </r>
  </si>
  <si>
    <r>
      <rPr>
        <sz val="7"/>
        <rFont val="Times New Roman"/>
        <family val="1"/>
      </rPr>
      <t>М201БМИЭФ065</t>
    </r>
  </si>
  <si>
    <r>
      <rPr>
        <sz val="6.5"/>
        <rFont val="Arial"/>
        <family val="2"/>
      </rPr>
      <t>Виноградов Дмитрий Борисович</t>
    </r>
  </si>
  <si>
    <r>
      <rPr>
        <sz val="7"/>
        <rFont val="Times New Roman"/>
        <family val="1"/>
      </rPr>
      <t>М201БМИЭФ078</t>
    </r>
  </si>
  <si>
    <r>
      <rPr>
        <sz val="6.5"/>
        <rFont val="Arial"/>
        <family val="2"/>
      </rPr>
      <t>Гозгешев Эльдар Альбертович</t>
    </r>
  </si>
  <si>
    <r>
      <rPr>
        <sz val="7"/>
        <rFont val="Times New Roman"/>
        <family val="1"/>
      </rPr>
      <t>М201БМИЭФ178</t>
    </r>
  </si>
  <si>
    <r>
      <rPr>
        <sz val="6.5"/>
        <rFont val="Arial"/>
        <family val="2"/>
      </rPr>
      <t>Мурылева Ксения Антоновна</t>
    </r>
  </si>
  <si>
    <r>
      <rPr>
        <sz val="7"/>
        <rFont val="Times New Roman"/>
        <family val="1"/>
      </rPr>
      <t>М201БМИЭФ075</t>
    </r>
  </si>
  <si>
    <r>
      <rPr>
        <sz val="6.5"/>
        <rFont val="Arial"/>
        <family val="2"/>
      </rPr>
      <t>Гедгагов Султан Арсенович</t>
    </r>
  </si>
  <si>
    <r>
      <rPr>
        <sz val="7"/>
        <rFont val="Times New Roman"/>
        <family val="1"/>
      </rPr>
      <t>М201БМИЭФ007</t>
    </r>
  </si>
  <si>
    <r>
      <rPr>
        <sz val="6.5"/>
        <rFont val="Arial"/>
        <family val="2"/>
      </rPr>
      <t xml:space="preserve">Ван Цзинхуэй </t>
    </r>
    <r>
      <rPr>
        <sz val="6.5"/>
        <rFont val="Calibri"/>
        <family val="2"/>
      </rPr>
      <t>-</t>
    </r>
  </si>
  <si>
    <t xml:space="preserve"> </t>
  </si>
  <si>
    <t>MOCK APRIL</t>
  </si>
  <si>
    <t>1st Block (max 56 points)</t>
  </si>
  <si>
    <t>2nd Block (max 58 points)</t>
  </si>
  <si>
    <t>max 100</t>
  </si>
  <si>
    <t>MCQ</t>
  </si>
  <si>
    <t>Numerical</t>
  </si>
  <si>
    <t>FR1</t>
  </si>
  <si>
    <t>FR2</t>
  </si>
  <si>
    <t>Student ID</t>
  </si>
  <si>
    <t>ФИО (Rus)</t>
  </si>
  <si>
    <t>ID EDU.HSE</t>
  </si>
  <si>
    <t>Group</t>
  </si>
  <si>
    <t>out of 37</t>
  </si>
  <si>
    <t>out of 19</t>
  </si>
  <si>
    <t>out of 28 (minus 1 point)</t>
  </si>
  <si>
    <t>out of 32 (minus 1 point)</t>
  </si>
  <si>
    <t>out of 100 (50% 1st block + 50% 2nd Block)</t>
  </si>
  <si>
    <t>eyuchistyakova@edu.hse.ru</t>
  </si>
  <si>
    <t>pobusheva@edu.hse.ru</t>
  </si>
  <si>
    <t>sesalyamova@edu.hse.ru</t>
  </si>
  <si>
    <t>piatovmyan@edu.hse.ru</t>
  </si>
  <si>
    <t>sarasputina@edu.hse.ru</t>
  </si>
  <si>
    <t>zhmurzalina@edu.hse.ru</t>
  </si>
  <si>
    <t>ayubakhmutskiy@edu.hse.ru</t>
  </si>
  <si>
    <t>eazavyalova@edu.hse.ru</t>
  </si>
  <si>
    <t>Панин Кирилл Артёмович</t>
  </si>
  <si>
    <t>kapanin@edu.hse.ru</t>
  </si>
  <si>
    <t>mdyurchuk@edu.hse.ru</t>
  </si>
  <si>
    <t>kivengerov@edu.hse.ru</t>
  </si>
  <si>
    <t>eikozello@edu.hse.ru</t>
  </si>
  <si>
    <t>Репецкая Матрёна Сергеевна</t>
  </si>
  <si>
    <t>msrepetskaya@edu.hse.ru</t>
  </si>
  <si>
    <t>amshishkina@edu.hse.ru</t>
  </si>
  <si>
    <t>vyavidovich@edu.hse.ru</t>
  </si>
  <si>
    <t>eazhdanova_1@edu.hse.ru</t>
  </si>
  <si>
    <t>eiageeva_1@edu.hse.ru</t>
  </si>
  <si>
    <t>pvvolodchenko@edu.hse.ru</t>
  </si>
  <si>
    <t>kmbutakova@edu.hse.ru</t>
  </si>
  <si>
    <t>diserdyuk@edu.hse.ru</t>
  </si>
  <si>
    <t>yuashabanov@edu.hse.ru</t>
  </si>
  <si>
    <t>asbogomazova@edu.hse.ru</t>
  </si>
  <si>
    <t>mrchernigovskiy@edu.hse.ru</t>
  </si>
  <si>
    <t>aisukhanova@edu.hse.ru</t>
  </si>
  <si>
    <t>iyukarpilovich@edu.hse.ru</t>
  </si>
  <si>
    <t>vyuzapryagaeva@edu.hse.ru</t>
  </si>
  <si>
    <t>paustimenko@edu.hse.ru</t>
  </si>
  <si>
    <t>argaynutdinova_1@edu.hse.ru</t>
  </si>
  <si>
    <t>eastarodubov@edu.hse.ru</t>
  </si>
  <si>
    <t>vavoronov@edu.hse.ru</t>
  </si>
  <si>
    <t>atoleuzhan@edu.hse.ru</t>
  </si>
  <si>
    <t>vvpervakov@edu.hse.ru</t>
  </si>
  <si>
    <t>daozolin@edu.hse.ru</t>
  </si>
  <si>
    <t>akkrevsun@edu.hse.ru</t>
  </si>
  <si>
    <t>Багдасарова Мария Артёмовна</t>
  </si>
  <si>
    <t>mabagdasarova@edu.hse.ru</t>
  </si>
  <si>
    <t>adkomarova@edu.hse.ru</t>
  </si>
  <si>
    <t>magorovaya@edu.hse.ru</t>
  </si>
  <si>
    <t>Азаренко Артём Александрович</t>
  </si>
  <si>
    <t>aaazarenko@edu.hse.ru</t>
  </si>
  <si>
    <t>vnkuchev@edu.hse.ru</t>
  </si>
  <si>
    <t>mpmatvievskiy@edu.hse.ru</t>
  </si>
  <si>
    <t>ivkurbatov@edu.hse.ru</t>
  </si>
  <si>
    <t>dastukan@edu.hse.ru</t>
  </si>
  <si>
    <t>pssmirnov_4@edu.hse.ru</t>
  </si>
  <si>
    <t>kibulgakova@edu.hse.ru</t>
  </si>
  <si>
    <t>samakhalova@edu.hse.ru</t>
  </si>
  <si>
    <t>svborisov@edu.hse.ru</t>
  </si>
  <si>
    <t>ivabramov_2@edu.hse.ru</t>
  </si>
  <si>
    <t>amkoltun@edu.hse.ru</t>
  </si>
  <si>
    <t>esvolokhova@edu.hse.ru</t>
  </si>
  <si>
    <t>arvakhitova@edu.hse.ru</t>
  </si>
  <si>
    <t>aakonkova@edu.hse.ru</t>
  </si>
  <si>
    <t>eishtutsa@edu.hse.ru</t>
  </si>
  <si>
    <t>eesaladuschenkova@edu.hse.ru</t>
  </si>
  <si>
    <t>kvsolntsev_1@edu.hse.ru</t>
  </si>
  <si>
    <t>adasadova@edu.hse.ru</t>
  </si>
  <si>
    <t>vigvozdeva@edu.hse.ru</t>
  </si>
  <si>
    <t>vdborisov_1@edu.hse.ru</t>
  </si>
  <si>
    <t>nsboldyrev@edu.hse.ru</t>
  </si>
  <si>
    <t>avgolodnova@edu.hse.ru</t>
  </si>
  <si>
    <t>vvsagiev@edu.hse.ru</t>
  </si>
  <si>
    <t>szkhakimov@edu.hse.ru</t>
  </si>
  <si>
    <t>12 онлайн</t>
  </si>
  <si>
    <t>drmesserova@edu.hse.ru</t>
  </si>
  <si>
    <t>lakuzmishin@edu.hse.ru</t>
  </si>
  <si>
    <t>aamanukyan_5@edu.hse.ru</t>
  </si>
  <si>
    <t>dbbabaeva@edu.hse.ru</t>
  </si>
  <si>
    <t>pmbudneva@edu.hse.ru</t>
  </si>
  <si>
    <t>alkolomoytseva@edu.hse.ru</t>
  </si>
  <si>
    <t>smdolganova@edu.hse.ru</t>
  </si>
  <si>
    <t>dakostenkova@edu.hse.ru</t>
  </si>
  <si>
    <t>mvoganov@edu.hse.ru</t>
  </si>
  <si>
    <t>ndpasikhov@edu.hse.ru</t>
  </si>
  <si>
    <t>eafedorova_13@edu.hse.ru</t>
  </si>
  <si>
    <t>aakalinovskiy@edu.hse.ru</t>
  </si>
  <si>
    <t>mashvidko@edu.hse.ru</t>
  </si>
  <si>
    <t>Головин Артём Андреевич</t>
  </si>
  <si>
    <t>aagolovin_1@edu.hse.ru</t>
  </si>
  <si>
    <t>achan@edu.hse.ru</t>
  </si>
  <si>
    <t>aakokina_2@edu.hse.ru</t>
  </si>
  <si>
    <t>aamochalov_1@edu.hse.ru</t>
  </si>
  <si>
    <t>Алиханов Антон</t>
  </si>
  <si>
    <t>ИУП</t>
  </si>
  <si>
    <t>vpavlov_1@edu.hse.ru</t>
  </si>
  <si>
    <t>maakopyan@edu.hse.ru</t>
  </si>
  <si>
    <t>beegorov@edu.hse.ru</t>
  </si>
  <si>
    <t>payavisya@edu.hse.ru</t>
  </si>
  <si>
    <t>maekonomova@edu.hse.ru</t>
  </si>
  <si>
    <t>arbagdasarova@edu.hse.ru</t>
  </si>
  <si>
    <t>aimakhmudova@edu.hse.ru</t>
  </si>
  <si>
    <t>aakudryashova_7@edu.hse.ru</t>
  </si>
  <si>
    <t>aesayfullin@edu.hse.ru</t>
  </si>
  <si>
    <t>yudkomarova@edu.hse.ru</t>
  </si>
  <si>
    <t>uvborisova@edu.hse.ru</t>
  </si>
  <si>
    <t>ssbovdurets@edu.hse.ru</t>
  </si>
  <si>
    <t>myuzhuk@edu.hse.ru</t>
  </si>
  <si>
    <t>makokorev_1@edu.hse.ru</t>
  </si>
  <si>
    <t>aishutina@edu.hse.ru</t>
  </si>
  <si>
    <t>svsinelnik@edu.hse.ru</t>
  </si>
  <si>
    <t>ikruban@edu.hse.ru</t>
  </si>
  <si>
    <t>vrminaev_1@edu.hse.ru</t>
  </si>
  <si>
    <t>aapolyakov_3@edu.hse.ru</t>
  </si>
  <si>
    <t>amantipova@edu.hse.ru</t>
  </si>
  <si>
    <t>gvchernyshev@edu.hse.ru</t>
  </si>
  <si>
    <t>nkhazhimurat@edu.hse.ru</t>
  </si>
  <si>
    <t>gakalandzhan@edu.hse.ru</t>
  </si>
  <si>
    <t>mmgumanova@edu.hse.ru</t>
  </si>
  <si>
    <t>machesnakova@edu.hse.ru</t>
  </si>
  <si>
    <t>abmakarova@edu.hse.ru</t>
  </si>
  <si>
    <t>Удовица Артём Олегович</t>
  </si>
  <si>
    <t>aoudovitsa@edu.hse.ru</t>
  </si>
  <si>
    <t>pdchulanova@edu.hse.ru</t>
  </si>
  <si>
    <t>kgmukhin@edu.hse.ru</t>
  </si>
  <si>
    <t>Зыбин Фёдор Антонович</t>
  </si>
  <si>
    <t>fazybin@edu.hse.ru</t>
  </si>
  <si>
    <t>ebegorova@edu.hse.ru</t>
  </si>
  <si>
    <t>Сиваков Семён Александрович</t>
  </si>
  <si>
    <t>sasivakov_1@edu.hse.ru</t>
  </si>
  <si>
    <t>samalkova_1@edu.hse.ru</t>
  </si>
  <si>
    <t>Чернеев Дмитрий Васильевич</t>
  </si>
  <si>
    <t>dvcherneev@edu.hse.ru</t>
  </si>
  <si>
    <t>aatishkov@edu.hse.ru</t>
  </si>
  <si>
    <t>vekovalenko_2@edu.hse.ru</t>
  </si>
  <si>
    <t>mazhizhin@edu.hse.ru</t>
  </si>
  <si>
    <t>ogurbanov@edu.hse.ru</t>
  </si>
  <si>
    <t>askrivosheeva@edu.hse.ru</t>
  </si>
  <si>
    <t>amtasminskaya@edu.hse.ru</t>
  </si>
  <si>
    <t>avpolyakov_2@edu.hse.ru</t>
  </si>
  <si>
    <t>anulanova@edu.hse.ru</t>
  </si>
  <si>
    <t>ksbabayan@edu.hse.ru</t>
  </si>
  <si>
    <t>naodintsova_1@edu.hse.ru</t>
  </si>
  <si>
    <t>kchan@edu.hse.ru</t>
  </si>
  <si>
    <t>iivoroshilin@edu.hse.ru</t>
  </si>
  <si>
    <t>mzhmarkaryan@edu.hse.ru</t>
  </si>
  <si>
    <t>Гаврюшин Иван Викторович</t>
  </si>
  <si>
    <t>ivgavryushin@edu.hse.ru</t>
  </si>
  <si>
    <t>dalyubimov@edu.hse.ru</t>
  </si>
  <si>
    <t>mschinarikhin@edu.hse.ru</t>
  </si>
  <si>
    <t>vapotekhina@edu.hse.ru</t>
  </si>
  <si>
    <t>idbelyaevskiy@edu.hse.ru</t>
  </si>
  <si>
    <t>mkshkhimyan@edu.hse.ru</t>
  </si>
  <si>
    <t>avkozachuk@edu.hse.ru</t>
  </si>
  <si>
    <t>sakudrina@edu.hse.ru</t>
  </si>
  <si>
    <t>tasekret@edu.hse.ru</t>
  </si>
  <si>
    <t>tnshermatova@edu.hse.ru</t>
  </si>
  <si>
    <t>adkuznetsov_6@edu.hse.ru</t>
  </si>
  <si>
    <t>ebsharifov@edu.hse.ru</t>
  </si>
  <si>
    <t>idkorobov@edu.hse.ru</t>
  </si>
  <si>
    <t>yuyuglebov@edu.hse.ru</t>
  </si>
  <si>
    <t>ayuisaeva@edu.hse.ru</t>
  </si>
  <si>
    <t>mdkhanzhin@edu.hse.ru</t>
  </si>
  <si>
    <t>sstishkova@edu.hse.ru</t>
  </si>
  <si>
    <t>lrlimanskiy@edu.hse.ru</t>
  </si>
  <si>
    <t>edshumilov@edu.hse.ru</t>
  </si>
  <si>
    <t>msturovskaya@edu.hse.ru</t>
  </si>
  <si>
    <t>maershova_2@edu.hse.ru</t>
  </si>
  <si>
    <t>makozlov_3@edu.hse.ru</t>
  </si>
  <si>
    <t>makononova_1@edu.hse.ru</t>
  </si>
  <si>
    <t>vastefanova@edu.hse.ru</t>
  </si>
  <si>
    <t>igshvanova@edu.hse.ru</t>
  </si>
  <si>
    <t>kimoiseeva_1@edu.hse.ru</t>
  </si>
  <si>
    <t>aaedelbiev@edu.hse.ru</t>
  </si>
  <si>
    <t>ngmartirosyan_1@edu.hse.ru</t>
  </si>
  <si>
    <t>khgsultonbekov@edu.hse.ru</t>
  </si>
  <si>
    <t>edsakhno@edu.hse.ru</t>
  </si>
  <si>
    <t>zrshamoi@edu.hse.ru</t>
  </si>
  <si>
    <t>vmorlova_1@edu.hse.ru</t>
  </si>
  <si>
    <t>zszolotareva@edu.hse.ru</t>
  </si>
  <si>
    <t>dikurmukova@edu.hse.ru</t>
  </si>
  <si>
    <t>mmkosyakova@edu.hse.ru</t>
  </si>
  <si>
    <t>bkdulin@edu.hse.ru</t>
  </si>
  <si>
    <t>aaflegontov@edu.hse.ru</t>
  </si>
  <si>
    <t>М191БМИЭФ054</t>
  </si>
  <si>
    <t>Караченцов Пётр Андреевич</t>
  </si>
  <si>
    <t>pakarachentsov@edu.hse.ru</t>
  </si>
  <si>
    <t>Уталиев Ахат Ринатович</t>
  </si>
  <si>
    <t>arutaliev@edu.hse.ru</t>
  </si>
  <si>
    <t>Аванесов Артём Андреевич</t>
  </si>
  <si>
    <t>aaavanesov@edu.hse.ru</t>
  </si>
  <si>
    <t>aszhuchenko_1@edu.hse.ru</t>
  </si>
  <si>
    <t>evfinyutina@edu.hse.ru</t>
  </si>
  <si>
    <t>dsvlasyuk@edu.hse.ru</t>
  </si>
  <si>
    <t>bokolchin@edu.hse.ru</t>
  </si>
  <si>
    <t>dsmanchuk@edu.hse.ru</t>
  </si>
  <si>
    <t>mmboldova@edu.hse.ru</t>
  </si>
  <si>
    <t>vasosorev_1@edu.hse.ru</t>
  </si>
  <si>
    <t>iamelnikov_4@edu.hse.ru</t>
  </si>
  <si>
    <t>malifar@edu.hse.ru</t>
  </si>
  <si>
    <t>Аббасов Байрам Рахман оглы</t>
  </si>
  <si>
    <t>brabbasov@edu.hse.ru</t>
  </si>
  <si>
    <t>evkondrashova_1@edu.hse.ru</t>
  </si>
  <si>
    <t>vnulanova@edu.hse.ru</t>
  </si>
  <si>
    <t>afmirzoeva@edu.hse.ru</t>
  </si>
  <si>
    <t>aizimin@edu.hse.ru</t>
  </si>
  <si>
    <t>espopelnyukhova@edu.hse.ru</t>
  </si>
  <si>
    <t>kamuryleva@edu.hse.ru</t>
  </si>
  <si>
    <t>dakim@edu.hse.ru</t>
  </si>
  <si>
    <t>iitangiev@edu.hse.ru</t>
  </si>
  <si>
    <t>lasherman@edu.hse.ru</t>
  </si>
  <si>
    <t>deshishkin@edu.hse.ru</t>
  </si>
  <si>
    <t>aachernukha@edu.hse.ru</t>
  </si>
  <si>
    <t>М181БМИЭФ070</t>
  </si>
  <si>
    <t>aoarchibasova@edu.hse.ru</t>
  </si>
  <si>
    <t>Жирихин Павел Антонович</t>
  </si>
  <si>
    <t>pazhirikhin@edu.hse.ru</t>
  </si>
  <si>
    <t>Точилкина Алёна Игоревна</t>
  </si>
  <si>
    <t>atochilkina@edu.hse.ru</t>
  </si>
  <si>
    <t>vvmelnichuk@edu.hse.ru</t>
  </si>
  <si>
    <t>М191БМИЭФ299</t>
  </si>
  <si>
    <t>damaksimov_1@edu.hse.ru</t>
  </si>
  <si>
    <t>М191БМИЭФ080</t>
  </si>
  <si>
    <t>Хань Хаочэнь -</t>
  </si>
  <si>
    <t>khkhan_2@edu.hse.ru</t>
  </si>
  <si>
    <t>Елтаев Икрамжон -</t>
  </si>
  <si>
    <t>ieltaev@edu.hse.ru</t>
  </si>
  <si>
    <t>debogomolova@edu.hse.ru</t>
  </si>
  <si>
    <t>dssinyavskaya@edu.hse.ru</t>
  </si>
  <si>
    <t>avkomanova@edu.hse.ru</t>
  </si>
  <si>
    <t>Сало Назар Игоревич</t>
  </si>
  <si>
    <t>kovikhareva@edu.hse.ru</t>
  </si>
  <si>
    <t>oikrasavin@edu.hse.ru</t>
  </si>
  <si>
    <t>М191БМИЭФ132</t>
  </si>
  <si>
    <t>mialekhno@edu.hse.ru</t>
  </si>
  <si>
    <t>avodintsov@edu.hse.ru</t>
  </si>
  <si>
    <t>Лебедев Владислав Владимирович</t>
  </si>
  <si>
    <t>vvlebedev_3@edu.hse.ru</t>
  </si>
  <si>
    <t>grrafaelyan@edu.hse.ru</t>
  </si>
  <si>
    <t>aaromanova_13@edu.hse.ru</t>
  </si>
  <si>
    <t>aszolnikova@edu.hse.ru</t>
  </si>
  <si>
    <t>aaschekotova_1@edu.hse.ru</t>
  </si>
  <si>
    <t>yarkostyuk@edu.hse.ru</t>
  </si>
  <si>
    <t>yaodubrovskaya@edu.hse.ru</t>
  </si>
  <si>
    <t>avborodin_2@edu.hse.ru</t>
  </si>
  <si>
    <t>vkkrymov@edu.hse.ru</t>
  </si>
  <si>
    <t>essavinykh@edu.hse.ru</t>
  </si>
  <si>
    <t>mbishir@edu.hse.ru</t>
  </si>
  <si>
    <t>Павленко Полина Олеговна</t>
  </si>
  <si>
    <t>popavlenko@edu.hse.ru</t>
  </si>
  <si>
    <t xml:space="preserve"> ИУП</t>
  </si>
  <si>
    <t>Черников Евгений Александрович</t>
  </si>
  <si>
    <t>eachernikov@edu.hse.ru</t>
  </si>
  <si>
    <t>vamerkulova_2@edu.hse.ru</t>
  </si>
  <si>
    <t>aturnaev@edu.hse.ru</t>
  </si>
  <si>
    <t>deyatsunenko@edu.hse.ru</t>
  </si>
  <si>
    <t>vsoboleva@edu.hse.ru</t>
  </si>
  <si>
    <t>amnordas@edu.hse.ru</t>
  </si>
  <si>
    <t>Зезелёв Максим Андреевич</t>
  </si>
  <si>
    <t>mazezelyov@edu.hse.ru</t>
  </si>
  <si>
    <t>kotarasov@edu.hse.ru</t>
  </si>
  <si>
    <t>М191БМИЭФ183</t>
  </si>
  <si>
    <t>kegritsevich@edu.hse.ru</t>
  </si>
  <si>
    <t>mikhaet@edu.hse.ru</t>
  </si>
  <si>
    <t>bbabduganiev@edu.hse.ru</t>
  </si>
  <si>
    <t>Пирогов Дмитрий Леонидович</t>
  </si>
  <si>
    <t>dlpirogov@edu.hse.ru</t>
  </si>
  <si>
    <t>aeskendir@edu.hse.ru</t>
  </si>
  <si>
    <t>eamechetina@edu.hse.ru</t>
  </si>
  <si>
    <t>aayadrischenskiy@edu.hse.ru</t>
  </si>
  <si>
    <t>adprusakov@edu.hse.ru</t>
  </si>
  <si>
    <t>ddinmukhamed@edu.hse.ru</t>
  </si>
  <si>
    <t>pmlosaberidze@edu.hse.ru</t>
  </si>
  <si>
    <t>makolesnikov@edu.hse.ru</t>
  </si>
  <si>
    <t>asdemyanov_1@edu.hse.ru</t>
  </si>
  <si>
    <t>ezhilyaeva@edu.hse.ru</t>
  </si>
  <si>
    <t>evpinchuk@edu.hse.ru</t>
  </si>
  <si>
    <t>egdizhur@edu.hse.ru</t>
  </si>
  <si>
    <t>arratushnaya@edu.hse.ru</t>
  </si>
  <si>
    <t>eeginiyatullin@edu.hse.ru</t>
  </si>
  <si>
    <t>zhfkhashimov@edu.hse.ru</t>
  </si>
  <si>
    <t>iasharov_1@edu.hse.ru</t>
  </si>
  <si>
    <t>vdtsallagova@edu.hse.ru</t>
  </si>
  <si>
    <t>М191БМИЭФ247</t>
  </si>
  <si>
    <t>iapyatakov@edu.hse.ru</t>
  </si>
  <si>
    <t>asmagamedova@edu.hse.ru</t>
  </si>
  <si>
    <t>Фунг Куок Туан -</t>
  </si>
  <si>
    <t>kfung@edu.hse.ru</t>
  </si>
  <si>
    <t>vistrelnikov@edu.hse.ru</t>
  </si>
  <si>
    <t>nkfeoktistov@edu.hse.ru</t>
  </si>
  <si>
    <t>aerobert@edu.hse.ru</t>
  </si>
  <si>
    <t>rmbakhodurov@edu.hse.ru</t>
  </si>
  <si>
    <t>aekukhlevskaya@edu.hse.ru</t>
  </si>
  <si>
    <t>ddmazurin@edu.hse.ru</t>
  </si>
  <si>
    <t>М191БМИЭФ174</t>
  </si>
  <si>
    <t>aemedvedeva_1@edu.hse.ru</t>
  </si>
  <si>
    <t>yashnasukhanova@edu.hse.ru</t>
  </si>
  <si>
    <t>ekorzhebovskaya@edu.hse.ru</t>
  </si>
  <si>
    <t>vnivanov_1@edu.hse.ru</t>
  </si>
  <si>
    <t>Томилин Артём -</t>
  </si>
  <si>
    <t>atomilin@edu.hse.ru</t>
  </si>
  <si>
    <t>tsvan_7@edu.hse.ru</t>
  </si>
  <si>
    <t>Фролов Артём Дмитриевич</t>
  </si>
  <si>
    <t>adfrolov_2@edu.hse.ru</t>
  </si>
  <si>
    <t>papospelova@edu.hse.ru</t>
  </si>
  <si>
    <t>dvandreev@edu.hse.ru</t>
  </si>
  <si>
    <t>vmverba@edu.hse.ru</t>
  </si>
  <si>
    <t>gasmirnov_1@edu.hse.ru</t>
  </si>
  <si>
    <t>mapanin@edu.hse.ru</t>
  </si>
  <si>
    <t>aabayan@edu.hse.ru</t>
  </si>
  <si>
    <t>arnersesyan@edu.hse.ru</t>
  </si>
  <si>
    <t>vakrapivnoy@edu.hse.ru</t>
  </si>
  <si>
    <t>eofilimonova@edu.hse.ru</t>
  </si>
  <si>
    <t>Цзян Хаоюнь -</t>
  </si>
  <si>
    <t>khtszyan@edu.hse.ru</t>
  </si>
  <si>
    <t>vashavrova@edu.hse.ru</t>
  </si>
  <si>
    <t>rtmamedkerimov@edu.hse.ru</t>
  </si>
  <si>
    <t>rrurazbakhtin@edu.hse.ru</t>
  </si>
  <si>
    <t>aekhodyrev@edu.hse.ru</t>
  </si>
  <si>
    <t>natrukhan@edu.hse.ru</t>
  </si>
  <si>
    <t>М191БМИЭФ169</t>
  </si>
  <si>
    <t>Новоженов Дмитрий Денисович</t>
  </si>
  <si>
    <t>ddnovozhenov@edu.hse.ru</t>
  </si>
  <si>
    <t>asgrishin@edu.hse.ru</t>
  </si>
  <si>
    <t>jlu_2@edu.hse.ru</t>
  </si>
  <si>
    <t>vamongush@edu.hse.ru</t>
  </si>
  <si>
    <t>askozlova_4@edu.hse.ru</t>
  </si>
  <si>
    <t>Албегов Азамат Русланович</t>
  </si>
  <si>
    <t>aralbegov@edu.hse.ru</t>
  </si>
  <si>
    <t>aadulgeru@edu.hse.ru</t>
  </si>
  <si>
    <t>ayuminova@edu.hse.ru</t>
  </si>
  <si>
    <t>asazimova@edu.hse.ru</t>
  </si>
  <si>
    <t>Ахтариева Алёна Данировна</t>
  </si>
  <si>
    <t>adakhtarieva@edu.hse.ru</t>
  </si>
  <si>
    <t>Симикян Андранник</t>
  </si>
  <si>
    <t>rdnasonov@edu.hse.ru</t>
  </si>
  <si>
    <t>zvshirshov@edu.hse.ru</t>
  </si>
  <si>
    <t>pialekseenko@edu.hse.ru</t>
  </si>
  <si>
    <t>vadumnova@edu.hse.ru</t>
  </si>
  <si>
    <t>eelebedeva@edu.hse.ru</t>
  </si>
  <si>
    <t>Сучков Артём Алексеевич</t>
  </si>
  <si>
    <t>aasuchkov@edu.hse.ru</t>
  </si>
  <si>
    <t>daushakova@edu.hse.ru</t>
  </si>
  <si>
    <t>niagakishieva@edu.hse.ru</t>
  </si>
  <si>
    <t>kmdubinina@edu.hse.ru</t>
  </si>
  <si>
    <t>amaliev@edu.hse.ru</t>
  </si>
  <si>
    <t>aadzhumayan@edu.hse.ru</t>
  </si>
  <si>
    <t>eakoshelev@edu.hse.ru</t>
  </si>
  <si>
    <t>М191БМИЭФ002</t>
  </si>
  <si>
    <t>Абахов Александр Олегович</t>
  </si>
  <si>
    <t>aoabakhov@edu.hse.ru</t>
  </si>
  <si>
    <t>Чуйков Артём Игоревич</t>
  </si>
  <si>
    <t>aichuykov@edu.hse.ru</t>
  </si>
  <si>
    <t>dlin@edu.hse.ru</t>
  </si>
  <si>
    <t>Тесленко Пётр Олегович</t>
  </si>
  <si>
    <t>poteslenko@edu.hse.ru</t>
  </si>
  <si>
    <t>akabylbekov@edu.hse.ru</t>
  </si>
  <si>
    <t>astischenko_1@edu.hse.ru</t>
  </si>
  <si>
    <t>Москалёв Владимир Денисович</t>
  </si>
  <si>
    <t>vdmoskalev@edu.hse.ru</t>
  </si>
  <si>
    <t>pobaricheva@edu.hse.ru</t>
  </si>
  <si>
    <t>edmishukov@edu.hse.ru</t>
  </si>
  <si>
    <t>sasnastina@edu.hse.ru</t>
  </si>
  <si>
    <t>ywang_1@edu.hse.ru</t>
  </si>
  <si>
    <t>khmzaynobiddinov@edu.hse.ru</t>
  </si>
  <si>
    <t>akazykhanov@edu.hse.ru</t>
  </si>
  <si>
    <t>gkavdalyan@edu.hse.ru</t>
  </si>
  <si>
    <t>rvantonyan@edu.hse.ru</t>
  </si>
  <si>
    <t>adatulyan@edu.hse.ru</t>
  </si>
  <si>
    <t>dbvinogradov@edu.hse.ru</t>
  </si>
  <si>
    <t>vpgalichenko@edu.hse.ru</t>
  </si>
  <si>
    <t>sagedgagov@edu.hse.ru</t>
  </si>
  <si>
    <t>eagozgeshev@edu.hse.ru</t>
  </si>
  <si>
    <t>yuvgolm@edu.hse.ru</t>
  </si>
  <si>
    <t>adaupbaeva@edu.hse.ru</t>
  </si>
  <si>
    <t>gkiselev@edu.hse.ru</t>
  </si>
  <si>
    <t>Максимов Риад Юнус олгы</t>
  </si>
  <si>
    <t>ryumaksimov@edu.hse.ru</t>
  </si>
  <si>
    <t>admarkovskaya@edu.hse.ru</t>
  </si>
  <si>
    <t>aaogly@edu.hse.ru</t>
  </si>
  <si>
    <t>sasamokishin@edu.hse.ru</t>
  </si>
  <si>
    <t>Чжао Хэннань</t>
  </si>
  <si>
    <t>khchzhao@edu.hse.ru</t>
  </si>
  <si>
    <t>Яо Юймо</t>
  </si>
  <si>
    <t>yuyao@edu.hse.ru</t>
  </si>
  <si>
    <t>Probability and Statistics, exam March 2021</t>
  </si>
  <si>
    <t>№</t>
  </si>
  <si>
    <t>ID</t>
  </si>
  <si>
    <t>Student</t>
  </si>
  <si>
    <t>English name</t>
  </si>
  <si>
    <t>6a</t>
  </si>
  <si>
    <t>6b</t>
  </si>
  <si>
    <t>6c</t>
  </si>
  <si>
    <t>7a</t>
  </si>
  <si>
    <t>7b</t>
  </si>
  <si>
    <t>7c</t>
  </si>
  <si>
    <t>8a</t>
  </si>
  <si>
    <t>8b</t>
  </si>
  <si>
    <t>8c</t>
  </si>
  <si>
    <t>TOTAL</t>
  </si>
  <si>
    <t>нет</t>
  </si>
  <si>
    <t>Albegov Azamat</t>
  </si>
  <si>
    <t>М191БМИЭФ011</t>
  </si>
  <si>
    <t>Андрианов Андрей Сергеевич</t>
  </si>
  <si>
    <t>М191БМИЭФ019</t>
  </si>
  <si>
    <t>Асадов Иван Анастасович</t>
  </si>
  <si>
    <t>М191БМИЭФ275</t>
  </si>
  <si>
    <t>Аслонов Жавохир Уктамжонович</t>
  </si>
  <si>
    <t>Бозоргмехр Галичех Баф Ядзи</t>
  </si>
  <si>
    <t>Bozorgmehr Ghalicheh Baf Yadzi</t>
  </si>
  <si>
    <t>М191БМИЭФ039</t>
  </si>
  <si>
    <t>Бутко Софья Андреевна</t>
  </si>
  <si>
    <t>М191БМИЭФ061</t>
  </si>
  <si>
    <t>Гордеева Наталия Михайловна</t>
  </si>
  <si>
    <t>М191БМИЭФ063</t>
  </si>
  <si>
    <t>Горюнов Георгий Алексеевич</t>
  </si>
  <si>
    <t>Anna Dzhumanyan</t>
  </si>
  <si>
    <t>М191БМИЭФ098</t>
  </si>
  <si>
    <t>Иванцова Екатерина Николаевна</t>
  </si>
  <si>
    <t>Kosyakova Maria</t>
  </si>
  <si>
    <t>М191БМИЭФ134</t>
  </si>
  <si>
    <t>Ледяева Полина Сергеевна</t>
  </si>
  <si>
    <t>М191БМИЭФ160</t>
  </si>
  <si>
    <t>Молчанов Милан Вагифович</t>
  </si>
  <si>
    <t>Сиваков Семен</t>
  </si>
  <si>
    <t>М191БМИЭФ222</t>
  </si>
  <si>
    <t>Симикян Андраник Артурович</t>
  </si>
  <si>
    <t>Artem Suchkov</t>
  </si>
  <si>
    <t>Утолиев Ахат</t>
  </si>
  <si>
    <t>Han Haochen</t>
  </si>
  <si>
    <t>Yadrishchenskiy Alexander</t>
  </si>
  <si>
    <t>Avg.</t>
  </si>
  <si>
    <t>Count</t>
  </si>
  <si>
    <t xml:space="preserve">PRELIMINARY FIRST  SEMESTER  2020 - 2021  RATING  OF  ICEF  YEAR  1  STUDENTS </t>
  </si>
  <si>
    <t>Position in rating</t>
  </si>
  <si>
    <t>Position ВСОШ</t>
  </si>
  <si>
    <t>Персентиль</t>
  </si>
  <si>
    <t>Name_Rus</t>
  </si>
  <si>
    <t>Academic group</t>
  </si>
  <si>
    <t>English group</t>
  </si>
  <si>
    <t xml:space="preserve">Introduction to Microeconomics </t>
  </si>
  <si>
    <t>Calculus</t>
  </si>
  <si>
    <t xml:space="preserve">Statistics </t>
  </si>
  <si>
    <t xml:space="preserve">Information Computer Systems
</t>
  </si>
  <si>
    <t>Programming and Data Processing</t>
  </si>
  <si>
    <t xml:space="preserve">Programming and Data Bases </t>
  </si>
  <si>
    <t xml:space="preserve">English </t>
  </si>
  <si>
    <r>
      <t>History of Western Philosophy</t>
    </r>
    <r>
      <rPr>
        <b/>
        <sz val="9"/>
        <color rgb="FFFF0000"/>
        <rFont val="Calibri"/>
        <family val="2"/>
        <charset val="204"/>
        <scheme val="minor"/>
      </rPr>
      <t xml:space="preserve"> </t>
    </r>
  </si>
  <si>
    <t xml:space="preserve">World Intellectual History </t>
  </si>
  <si>
    <t>Coef.</t>
  </si>
  <si>
    <t>RATING</t>
  </si>
  <si>
    <t>критерий 1</t>
  </si>
  <si>
    <t>критерий 2</t>
  </si>
  <si>
    <t>критерий 3</t>
  </si>
  <si>
    <t>критерий 4</t>
  </si>
  <si>
    <t>критерий 5</t>
  </si>
  <si>
    <t>критерий 6</t>
  </si>
  <si>
    <t>критерий 7</t>
  </si>
  <si>
    <t>критерий 8</t>
  </si>
  <si>
    <t>критерий 9</t>
  </si>
  <si>
    <t>критерий 10</t>
  </si>
  <si>
    <t>критерий 11</t>
  </si>
  <si>
    <t>критерий 12</t>
  </si>
  <si>
    <t>средний балл</t>
  </si>
  <si>
    <t>all</t>
  </si>
  <si>
    <t>Мурзалина Жания</t>
  </si>
  <si>
    <t>17 online</t>
  </si>
  <si>
    <t>Динмухамед Даяна</t>
  </si>
  <si>
    <t>Павлов Владимир</t>
  </si>
  <si>
    <t>Лу Цзянь</t>
  </si>
  <si>
    <t>Ишутина Александра</t>
  </si>
  <si>
    <t>Даупбаева Айганым</t>
  </si>
  <si>
    <t>Чан Ань Киет</t>
  </si>
  <si>
    <t>Ескендир Ажар</t>
  </si>
  <si>
    <t>n/a</t>
  </si>
  <si>
    <t>Хажимурат Нурбек</t>
  </si>
  <si>
    <t>Ван Цзинхуэй</t>
  </si>
  <si>
    <t>Чан Конг Зуи Ан</t>
  </si>
  <si>
    <t>Соболева Виктория</t>
  </si>
  <si>
    <t>Жиляева Елизавета</t>
  </si>
  <si>
    <t>Линь Данни</t>
  </si>
  <si>
    <t>Бишир Младен</t>
  </si>
  <si>
    <t>Толеужан Адилет</t>
  </si>
  <si>
    <t>Гурбанов Осман Майыс оглу</t>
  </si>
  <si>
    <t>Юминова Анна</t>
  </si>
  <si>
    <t>Томилин Артем</t>
  </si>
  <si>
    <t>справка</t>
  </si>
  <si>
    <t>Баходуров Руслан Махмурович</t>
  </si>
  <si>
    <t>Киселев Георгий</t>
  </si>
  <si>
    <t>Цзян Хаоюнь</t>
  </si>
  <si>
    <t>Кабылбеков Алихан</t>
  </si>
  <si>
    <t>Казыханов Ален</t>
  </si>
  <si>
    <t>Ван Юйцзе</t>
  </si>
  <si>
    <t>Зайнобиддинов Хожиакбар Мухаммаджон</t>
  </si>
  <si>
    <t>OUT OF RATING</t>
  </si>
  <si>
    <t>Хань Хаочэнь</t>
  </si>
  <si>
    <t>Фунг Куок Туан</t>
  </si>
  <si>
    <t>Академическая группа</t>
  </si>
  <si>
    <t>Английская группа</t>
  </si>
  <si>
    <t>Позиция ВСОШ</t>
  </si>
  <si>
    <t>Позиция в рейтинге</t>
  </si>
  <si>
    <t>Calculus, 100</t>
  </si>
  <si>
    <t>Statistics, 100</t>
  </si>
  <si>
    <t>Microeconomics,100</t>
  </si>
  <si>
    <t>Macroeconomics, 100</t>
  </si>
  <si>
    <t>History/Phiosophy, 100</t>
  </si>
  <si>
    <t>ICS/Python/DB, 100</t>
  </si>
  <si>
    <t>English, 100</t>
  </si>
  <si>
    <t>Overall, 100</t>
  </si>
  <si>
    <t>Cтуденческий билет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</si>
</sst>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_);_(* \(#,##0\);_(* &quot;-&quot;??_);_(@_)"/>
    <numFmt numFmtId="165" formatCode="_-* #,##0.00\ _₽_-;\-* #,##0.00\ _₽_-;_-* &quot;-&quot;??\ _₽_-;_-@_-"/>
    <numFmt numFmtId="166" formatCode="#,##0.0_ ;\-#,##0.0\ "/>
    <numFmt numFmtId="167" formatCode="0.0"/>
    <numFmt numFmtId="168" formatCode="&quot; &quot;* #,##0.0&quot; &quot;;&quot; &quot;* \(#,##0.0\);&quot; &quot;* &quot;-&quot;??&quot; &quot;"/>
    <numFmt numFmtId="169" formatCode="&quot; &quot;* #,##0.00&quot;   &quot;;&quot;-&quot;* #,##0.00&quot;   &quot;;&quot; &quot;* &quot;-&quot;??&quot;   &quot;"/>
    <numFmt numFmtId="170" formatCode="_-* #,##0\ _₽_-;\-* #,##0\ _₽_-;_-* &quot;-&quot;??\ _₽_-;_-@_-"/>
    <numFmt numFmtId="171" formatCode="_-* #,##0_р_._-;\-* #,##0_р_._-;_-* &quot;-&quot;??_р_._-;_-@_-"/>
    <numFmt numFmtId="172" formatCode="_-* #,##0.0_р_._-;\-* #,##0.0_р_._-;_-* &quot;-&quot;??_р_._-;_-@_-"/>
    <numFmt numFmtId="173" formatCode="_-* #,##0.0\ _₽_-;\-* #,##0.0\ _₽_-;_-* &quot;-&quot;??\ _₽_-;_-@_-"/>
    <numFmt numFmtId="174" formatCode="_-* #,##0.0\ _₽_-;\-* #,##0.0\ _₽_-;_-* &quot;-&quot;?\ _₽_-;_-@_-"/>
    <numFmt numFmtId="175" formatCode="#,##0_ ;\-#,##0\ "/>
    <numFmt numFmtId="176" formatCode="0.000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rgb="FF000000"/>
      <name val="Arial"/>
    </font>
    <font>
      <b/>
      <sz val="14"/>
      <color rgb="FF000000"/>
      <name val="Times New Roman"/>
    </font>
    <font>
      <sz val="10"/>
      <name val="Arial"/>
    </font>
    <font>
      <b/>
      <sz val="14"/>
      <color rgb="FFFF0000"/>
      <name val="Times New Roman"/>
    </font>
    <font>
      <b/>
      <sz val="14"/>
      <color rgb="FF000000"/>
      <name val="Arial"/>
    </font>
    <font>
      <sz val="10"/>
      <color rgb="FFFF0000"/>
      <name val="Arial"/>
    </font>
    <font>
      <b/>
      <sz val="10"/>
      <color rgb="FF000000"/>
      <name val="Arial"/>
    </font>
    <font>
      <sz val="11"/>
      <color rgb="FF000000"/>
      <name val="Arial"/>
    </font>
    <font>
      <b/>
      <sz val="10"/>
      <color rgb="FF000000"/>
      <name val="Times New Roman"/>
    </font>
    <font>
      <b/>
      <sz val="10"/>
      <color rgb="FFFF0000"/>
      <name val="Arial"/>
    </font>
    <font>
      <b/>
      <sz val="9"/>
      <color rgb="FF000000"/>
      <name val="Arial"/>
    </font>
    <font>
      <sz val="11"/>
      <color rgb="FF222222"/>
      <name val="Verdana"/>
    </font>
    <font>
      <sz val="11"/>
      <color rgb="FF000000"/>
      <name val="Calibri"/>
    </font>
    <font>
      <sz val="12"/>
      <color rgb="FF000000"/>
      <name val="Times New Roman"/>
    </font>
    <font>
      <sz val="11"/>
      <color rgb="FF000000"/>
      <name val="Verdana"/>
    </font>
    <font>
      <sz val="10"/>
      <color rgb="FF000000"/>
      <name val="Arimo"/>
    </font>
    <font>
      <b/>
      <sz val="11"/>
      <color theme="1"/>
      <name val="Calibri"/>
      <family val="2"/>
      <charset val="204"/>
      <scheme val="minor"/>
    </font>
    <font>
      <sz val="10"/>
      <color rgb="FF000000"/>
      <name val="Times New Roman"/>
      <charset val="204"/>
    </font>
    <font>
      <b/>
      <sz val="6.5"/>
      <color rgb="FF000000"/>
      <name val="Arial"/>
      <family val="2"/>
      <charset val="204"/>
    </font>
    <font>
      <sz val="6.5"/>
      <color rgb="FF000000"/>
      <name val="Arial"/>
      <family val="2"/>
    </font>
    <font>
      <sz val="7"/>
      <name val="Times New Roman"/>
      <family val="1"/>
    </font>
    <font>
      <sz val="6.5"/>
      <name val="Arial"/>
      <family val="2"/>
    </font>
    <font>
      <sz val="6.5"/>
      <name val="Calibri"/>
      <family val="2"/>
    </font>
    <font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sz val="10"/>
      <name val="Arial"/>
    </font>
    <font>
      <sz val="10"/>
      <name val="Calibri"/>
      <family val="2"/>
      <charset val="204"/>
    </font>
    <font>
      <sz val="10"/>
      <name val="Arial"/>
      <family val="2"/>
      <charset val="1"/>
    </font>
    <font>
      <sz val="10"/>
      <name val="Calibri"/>
      <family val="2"/>
      <charset val="1"/>
    </font>
    <font>
      <sz val="10"/>
      <name val="Calibri"/>
      <charset val="1"/>
    </font>
    <font>
      <sz val="10"/>
      <color rgb="FF000000"/>
      <name val="Calibri"/>
      <charset val="1"/>
    </font>
    <font>
      <sz val="10"/>
      <color rgb="FF000000"/>
      <name val="Calibri"/>
      <family val="2"/>
      <charset val="204"/>
    </font>
    <font>
      <sz val="10"/>
      <name val="Arial Cyr"/>
      <charset val="204"/>
    </font>
    <font>
      <b/>
      <sz val="9"/>
      <color indexed="8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b/>
      <sz val="9"/>
      <color rgb="FFFF0000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b/>
      <sz val="9"/>
      <color rgb="FF00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rgb="FF00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8080"/>
        <bgColor rgb="FFFF8080"/>
      </patternFill>
    </fill>
    <fill>
      <patternFill patternType="solid">
        <fgColor rgb="FFFFFF00"/>
        <bgColor rgb="FFFFFF00"/>
      </patternFill>
    </fill>
    <fill>
      <patternFill patternType="solid">
        <fgColor rgb="FFF3F3F3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9389629810485"/>
        <bgColor rgb="FFFFFFFF"/>
      </patternFill>
    </fill>
    <fill>
      <patternFill patternType="solid">
        <fgColor theme="4" tint="0.39997558519241921"/>
        <bgColor indexed="64"/>
      </patternFill>
    </fill>
  </fills>
  <borders count="85">
    <border>
      <left/>
      <right/>
      <top/>
      <bottom/>
      <diagonal/>
    </border>
    <border>
      <left style="thin">
        <color rgb="FFAAAAAA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AAAAAA"/>
      </right>
      <top style="medium">
        <color rgb="FF000000"/>
      </top>
      <bottom/>
      <diagonal/>
    </border>
    <border>
      <left style="thin">
        <color rgb="FFAAAAAA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n">
        <color rgb="FFAAAAAA"/>
      </right>
      <top style="medium">
        <color rgb="FF000000"/>
      </top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/>
      <diagonal/>
    </border>
    <border>
      <left style="thin">
        <color rgb="FFAAAAAA"/>
      </left>
      <right style="thin">
        <color rgb="FF000000"/>
      </right>
      <top style="thin">
        <color rgb="FFAAAAAA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AAAAAA"/>
      </top>
      <bottom/>
      <diagonal/>
    </border>
    <border>
      <left/>
      <right/>
      <top style="thin">
        <color rgb="FFAAAAAA"/>
      </top>
      <bottom/>
      <diagonal/>
    </border>
    <border>
      <left/>
      <right style="thin">
        <color rgb="FFAAAAAA"/>
      </right>
      <top style="thin">
        <color rgb="FFAAAAAA"/>
      </top>
      <bottom/>
      <diagonal/>
    </border>
    <border>
      <left style="thin">
        <color rgb="FFAAAAAA"/>
      </left>
      <right style="thin">
        <color rgb="FF000000"/>
      </right>
      <top style="thin">
        <color rgb="FFAAAAAA"/>
      </top>
      <bottom style="thin">
        <color rgb="FFAAAAAA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AAAAAA"/>
      </right>
      <top style="medium">
        <color indexed="64"/>
      </top>
      <bottom style="medium">
        <color indexed="64"/>
      </bottom>
      <diagonal/>
    </border>
    <border>
      <left style="thin">
        <color rgb="FFAAAAAA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AAAAAA"/>
      </top>
      <bottom style="thin">
        <color rgb="FFAAAAAA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AAAAAA"/>
      </top>
      <bottom style="thin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AAAAAA"/>
      </left>
      <right style="thin">
        <color rgb="FFAAAAAA"/>
      </right>
      <top/>
      <bottom style="thin">
        <color rgb="FFAAAAAA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medium">
        <color rgb="FF000000"/>
      </left>
      <right style="thin">
        <color rgb="FFAAAAAA"/>
      </right>
      <top style="thin">
        <color rgb="FF000000"/>
      </top>
      <bottom style="thin">
        <color rgb="FF000000"/>
      </bottom>
      <diagonal/>
    </border>
    <border>
      <left style="thin">
        <color rgb="FFAAAAAA"/>
      </left>
      <right style="thin">
        <color rgb="FFAAAAAA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2" fillId="0" borderId="0"/>
    <xf numFmtId="165" fontId="2" fillId="0" borderId="0" applyFont="0" applyFill="0" applyBorder="0" applyAlignment="0" applyProtection="0"/>
    <xf numFmtId="0" fontId="20" fillId="0" borderId="0"/>
    <xf numFmtId="0" fontId="26" fillId="0" borderId="0"/>
    <xf numFmtId="0" fontId="31" fillId="0" borderId="0"/>
    <xf numFmtId="0" fontId="36" fillId="0" borderId="0"/>
    <xf numFmtId="165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170" fontId="36" fillId="0" borderId="0" applyFont="0" applyFill="0" applyBorder="0" applyAlignment="0" applyProtection="0"/>
    <xf numFmtId="0" fontId="1" fillId="0" borderId="0"/>
  </cellStyleXfs>
  <cellXfs count="320">
    <xf numFmtId="0" fontId="0" fillId="0" borderId="0" xfId="0"/>
    <xf numFmtId="0" fontId="2" fillId="2" borderId="1" xfId="1" applyFill="1" applyBorder="1" applyAlignment="1">
      <alignment horizontal="center"/>
    </xf>
    <xf numFmtId="49" fontId="3" fillId="2" borderId="2" xfId="1" applyNumberFormat="1" applyFont="1" applyFill="1" applyBorder="1"/>
    <xf numFmtId="0" fontId="3" fillId="2" borderId="3" xfId="1" applyFont="1" applyFill="1" applyBorder="1"/>
    <xf numFmtId="0" fontId="6" fillId="2" borderId="3" xfId="1" applyFont="1" applyFill="1" applyBorder="1"/>
    <xf numFmtId="164" fontId="7" fillId="3" borderId="5" xfId="1" applyNumberFormat="1" applyFont="1" applyFill="1" applyBorder="1" applyAlignment="1">
      <alignment vertical="center"/>
    </xf>
    <xf numFmtId="165" fontId="0" fillId="2" borderId="8" xfId="2" applyFont="1" applyFill="1" applyBorder="1" applyAlignment="1">
      <alignment horizontal="center"/>
    </xf>
    <xf numFmtId="166" fontId="0" fillId="2" borderId="8" xfId="2" applyNumberFormat="1" applyFont="1" applyFill="1" applyBorder="1" applyAlignment="1">
      <alignment horizontal="center"/>
    </xf>
    <xf numFmtId="167" fontId="8" fillId="2" borderId="9" xfId="1" applyNumberFormat="1" applyFont="1" applyFill="1" applyBorder="1" applyAlignment="1">
      <alignment horizontal="center"/>
    </xf>
    <xf numFmtId="2" fontId="3" fillId="3" borderId="2" xfId="1" applyNumberFormat="1" applyFont="1" applyFill="1" applyBorder="1" applyAlignment="1">
      <alignment horizontal="center"/>
    </xf>
    <xf numFmtId="2" fontId="2" fillId="3" borderId="13" xfId="1" applyNumberFormat="1" applyFill="1" applyBorder="1" applyAlignment="1">
      <alignment horizontal="center"/>
    </xf>
    <xf numFmtId="1" fontId="2" fillId="3" borderId="14" xfId="1" applyNumberFormat="1" applyFill="1" applyBorder="1" applyAlignment="1">
      <alignment horizontal="center"/>
    </xf>
    <xf numFmtId="0" fontId="2" fillId="2" borderId="15" xfId="1" applyFill="1" applyBorder="1" applyAlignment="1">
      <alignment horizontal="center"/>
    </xf>
    <xf numFmtId="0" fontId="2" fillId="2" borderId="8" xfId="1" applyFill="1" applyBorder="1" applyAlignment="1">
      <alignment horizontal="center"/>
    </xf>
    <xf numFmtId="0" fontId="2" fillId="2" borderId="16" xfId="1" applyFill="1" applyBorder="1"/>
    <xf numFmtId="49" fontId="9" fillId="2" borderId="17" xfId="1" applyNumberFormat="1" applyFont="1" applyFill="1" applyBorder="1" applyAlignment="1">
      <alignment horizontal="center"/>
    </xf>
    <xf numFmtId="0" fontId="2" fillId="0" borderId="0" xfId="1"/>
    <xf numFmtId="0" fontId="2" fillId="2" borderId="18" xfId="1" applyFill="1" applyBorder="1" applyAlignment="1">
      <alignment horizontal="center" vertical="center" wrapText="1"/>
    </xf>
    <xf numFmtId="49" fontId="10" fillId="2" borderId="19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 vertical="center" wrapText="1"/>
    </xf>
    <xf numFmtId="49" fontId="11" fillId="2" borderId="21" xfId="1" applyNumberFormat="1" applyFont="1" applyFill="1" applyBorder="1" applyAlignment="1">
      <alignment horizontal="center" vertical="center" wrapText="1"/>
    </xf>
    <xf numFmtId="49" fontId="11" fillId="2" borderId="22" xfId="1" applyNumberFormat="1" applyFont="1" applyFill="1" applyBorder="1" applyAlignment="1">
      <alignment horizontal="center" vertical="center" wrapText="1"/>
    </xf>
    <xf numFmtId="49" fontId="11" fillId="4" borderId="23" xfId="1" applyNumberFormat="1" applyFont="1" applyFill="1" applyBorder="1" applyAlignment="1">
      <alignment horizontal="center" vertical="center" wrapText="1"/>
    </xf>
    <xf numFmtId="49" fontId="11" fillId="2" borderId="19" xfId="1" applyNumberFormat="1" applyFont="1" applyFill="1" applyBorder="1" applyAlignment="1">
      <alignment horizontal="center" vertical="center" wrapText="1"/>
    </xf>
    <xf numFmtId="49" fontId="12" fillId="2" borderId="19" xfId="1" applyNumberFormat="1" applyFont="1" applyFill="1" applyBorder="1" applyAlignment="1">
      <alignment horizontal="center" vertical="center" wrapText="1"/>
    </xf>
    <xf numFmtId="49" fontId="11" fillId="2" borderId="24" xfId="1" applyNumberFormat="1" applyFont="1" applyFill="1" applyBorder="1" applyAlignment="1">
      <alignment horizontal="center" vertical="center" wrapText="1"/>
    </xf>
    <xf numFmtId="49" fontId="11" fillId="2" borderId="23" xfId="1" applyNumberFormat="1" applyFont="1" applyFill="1" applyBorder="1" applyAlignment="1">
      <alignment horizontal="center" vertical="center" wrapText="1"/>
    </xf>
    <xf numFmtId="49" fontId="11" fillId="4" borderId="24" xfId="1" applyNumberFormat="1" applyFont="1" applyFill="1" applyBorder="1" applyAlignment="1">
      <alignment horizontal="center" vertical="center" wrapText="1"/>
    </xf>
    <xf numFmtId="164" fontId="11" fillId="3" borderId="25" xfId="1" applyNumberFormat="1" applyFont="1" applyFill="1" applyBorder="1" applyAlignment="1">
      <alignment horizontal="center" vertical="center" wrapText="1"/>
    </xf>
    <xf numFmtId="166" fontId="11" fillId="2" borderId="26" xfId="2" applyNumberFormat="1" applyFont="1" applyFill="1" applyBorder="1" applyAlignment="1">
      <alignment horizontal="center" vertical="center" wrapText="1"/>
    </xf>
    <xf numFmtId="166" fontId="11" fillId="2" borderId="22" xfId="2" applyNumberFormat="1" applyFont="1" applyFill="1" applyBorder="1" applyAlignment="1">
      <alignment horizontal="center" vertical="center" wrapText="1"/>
    </xf>
    <xf numFmtId="165" fontId="11" fillId="4" borderId="23" xfId="2" applyFont="1" applyFill="1" applyBorder="1" applyAlignment="1">
      <alignment horizontal="center" vertical="center" wrapText="1"/>
    </xf>
    <xf numFmtId="166" fontId="11" fillId="2" borderId="19" xfId="2" applyNumberFormat="1" applyFont="1" applyFill="1" applyBorder="1" applyAlignment="1">
      <alignment horizontal="center" vertical="center" wrapText="1"/>
    </xf>
    <xf numFmtId="49" fontId="12" fillId="2" borderId="24" xfId="1" applyNumberFormat="1" applyFont="1" applyFill="1" applyBorder="1" applyAlignment="1">
      <alignment horizontal="center" vertical="center" wrapText="1"/>
    </xf>
    <xf numFmtId="49" fontId="13" fillId="2" borderId="22" xfId="1" applyNumberFormat="1" applyFont="1" applyFill="1" applyBorder="1" applyAlignment="1">
      <alignment horizontal="center" vertical="center" wrapText="1"/>
    </xf>
    <xf numFmtId="49" fontId="13" fillId="2" borderId="23" xfId="1" applyNumberFormat="1" applyFont="1" applyFill="1" applyBorder="1" applyAlignment="1">
      <alignment horizontal="center" vertical="center" wrapText="1"/>
    </xf>
    <xf numFmtId="49" fontId="9" fillId="3" borderId="19" xfId="1" applyNumberFormat="1" applyFont="1" applyFill="1" applyBorder="1" applyAlignment="1">
      <alignment horizontal="center" vertical="center" wrapText="1"/>
    </xf>
    <xf numFmtId="49" fontId="2" fillId="2" borderId="19" xfId="1" applyNumberFormat="1" applyFill="1" applyBorder="1" applyAlignment="1">
      <alignment horizontal="center" vertical="center" wrapText="1"/>
    </xf>
    <xf numFmtId="49" fontId="2" fillId="2" borderId="27" xfId="1" applyNumberFormat="1" applyFill="1" applyBorder="1" applyAlignment="1">
      <alignment horizontal="center" vertical="center" wrapText="1"/>
    </xf>
    <xf numFmtId="0" fontId="2" fillId="2" borderId="28" xfId="1" applyFill="1" applyBorder="1" applyAlignment="1">
      <alignment vertical="center" wrapText="1"/>
    </xf>
    <xf numFmtId="0" fontId="2" fillId="2" borderId="29" xfId="1" applyFill="1" applyBorder="1" applyAlignment="1">
      <alignment vertical="center" wrapText="1"/>
    </xf>
    <xf numFmtId="0" fontId="2" fillId="2" borderId="30" xfId="1" applyFill="1" applyBorder="1" applyAlignment="1">
      <alignment horizontal="center"/>
    </xf>
    <xf numFmtId="49" fontId="14" fillId="2" borderId="30" xfId="1" applyNumberFormat="1" applyFont="1" applyFill="1" applyBorder="1" applyAlignment="1">
      <alignment horizontal="left" vertical="top" readingOrder="1"/>
    </xf>
    <xf numFmtId="168" fontId="2" fillId="2" borderId="31" xfId="1" applyNumberFormat="1" applyFill="1" applyBorder="1" applyAlignment="1">
      <alignment horizontal="center"/>
    </xf>
    <xf numFmtId="168" fontId="2" fillId="2" borderId="32" xfId="1" applyNumberFormat="1" applyFill="1" applyBorder="1" applyAlignment="1">
      <alignment horizontal="center"/>
    </xf>
    <xf numFmtId="168" fontId="2" fillId="4" borderId="33" xfId="1" applyNumberFormat="1" applyFill="1" applyBorder="1" applyAlignment="1">
      <alignment horizontal="center"/>
    </xf>
    <xf numFmtId="169" fontId="2" fillId="2" borderId="34" xfId="1" applyNumberFormat="1" applyFill="1" applyBorder="1" applyAlignment="1">
      <alignment horizontal="center"/>
    </xf>
    <xf numFmtId="167" fontId="8" fillId="2" borderId="35" xfId="1" applyNumberFormat="1" applyFont="1" applyFill="1" applyBorder="1"/>
    <xf numFmtId="167" fontId="2" fillId="2" borderId="32" xfId="1" applyNumberFormat="1" applyFill="1" applyBorder="1" applyAlignment="1">
      <alignment horizontal="center" vertical="center"/>
    </xf>
    <xf numFmtId="167" fontId="2" fillId="2" borderId="36" xfId="1" applyNumberFormat="1" applyFill="1" applyBorder="1" applyAlignment="1">
      <alignment horizontal="center" vertical="center"/>
    </xf>
    <xf numFmtId="167" fontId="2" fillId="4" borderId="34" xfId="1" applyNumberFormat="1" applyFill="1" applyBorder="1" applyAlignment="1">
      <alignment horizontal="center"/>
    </xf>
    <xf numFmtId="164" fontId="9" fillId="3" borderId="37" xfId="1" applyNumberFormat="1" applyFont="1" applyFill="1" applyBorder="1" applyAlignment="1">
      <alignment horizontal="center" vertical="center"/>
    </xf>
    <xf numFmtId="166" fontId="0" fillId="2" borderId="32" xfId="2" applyNumberFormat="1" applyFont="1" applyFill="1" applyBorder="1" applyAlignment="1">
      <alignment horizontal="center"/>
    </xf>
    <xf numFmtId="166" fontId="0" fillId="2" borderId="36" xfId="2" applyNumberFormat="1" applyFont="1" applyFill="1" applyBorder="1" applyAlignment="1">
      <alignment horizontal="center"/>
    </xf>
    <xf numFmtId="165" fontId="0" fillId="4" borderId="34" xfId="2" applyFont="1" applyFill="1" applyBorder="1" applyAlignment="1">
      <alignment horizontal="center"/>
    </xf>
    <xf numFmtId="0" fontId="0" fillId="2" borderId="34" xfId="2" applyNumberFormat="1" applyFont="1" applyFill="1" applyBorder="1" applyAlignment="1">
      <alignment horizontal="center"/>
    </xf>
    <xf numFmtId="167" fontId="8" fillId="2" borderId="34" xfId="1" applyNumberFormat="1" applyFont="1" applyFill="1" applyBorder="1" applyAlignment="1">
      <alignment horizontal="center"/>
    </xf>
    <xf numFmtId="167" fontId="15" fillId="2" borderId="35" xfId="1" applyNumberFormat="1" applyFont="1" applyFill="1" applyBorder="1"/>
    <xf numFmtId="167" fontId="15" fillId="2" borderId="32" xfId="1" applyNumberFormat="1" applyFont="1" applyFill="1" applyBorder="1"/>
    <xf numFmtId="167" fontId="15" fillId="2" borderId="36" xfId="1" applyNumberFormat="1" applyFont="1" applyFill="1" applyBorder="1"/>
    <xf numFmtId="2" fontId="2" fillId="3" borderId="35" xfId="1" applyNumberFormat="1" applyFill="1" applyBorder="1" applyAlignment="1">
      <alignment horizontal="center"/>
    </xf>
    <xf numFmtId="0" fontId="2" fillId="3" borderId="32" xfId="1" applyFill="1" applyBorder="1" applyAlignment="1">
      <alignment horizontal="center"/>
    </xf>
    <xf numFmtId="1" fontId="2" fillId="3" borderId="36" xfId="1" applyNumberFormat="1" applyFill="1" applyBorder="1" applyAlignment="1">
      <alignment horizontal="center"/>
    </xf>
    <xf numFmtId="49" fontId="16" fillId="2" borderId="34" xfId="1" applyNumberFormat="1" applyFont="1" applyFill="1" applyBorder="1"/>
    <xf numFmtId="0" fontId="16" fillId="2" borderId="34" xfId="1" applyFont="1" applyFill="1" applyBorder="1" applyAlignment="1">
      <alignment horizontal="center"/>
    </xf>
    <xf numFmtId="0" fontId="2" fillId="2" borderId="38" xfId="1" applyFill="1" applyBorder="1"/>
    <xf numFmtId="0" fontId="2" fillId="2" borderId="39" xfId="1" applyFill="1" applyBorder="1"/>
    <xf numFmtId="0" fontId="2" fillId="2" borderId="39" xfId="1" applyFill="1" applyBorder="1" applyAlignment="1">
      <alignment horizontal="center"/>
    </xf>
    <xf numFmtId="49" fontId="14" fillId="2" borderId="39" xfId="1" applyNumberFormat="1" applyFont="1" applyFill="1" applyBorder="1" applyAlignment="1">
      <alignment horizontal="left" vertical="top" readingOrder="1"/>
    </xf>
    <xf numFmtId="168" fontId="2" fillId="2" borderId="40" xfId="1" applyNumberFormat="1" applyFill="1" applyBorder="1" applyAlignment="1">
      <alignment horizontal="center"/>
    </xf>
    <xf numFmtId="168" fontId="2" fillId="2" borderId="17" xfId="1" applyNumberFormat="1" applyFill="1" applyBorder="1" applyAlignment="1">
      <alignment horizontal="center"/>
    </xf>
    <xf numFmtId="168" fontId="2" fillId="4" borderId="41" xfId="1" applyNumberFormat="1" applyFill="1" applyBorder="1" applyAlignment="1">
      <alignment horizontal="center"/>
    </xf>
    <xf numFmtId="169" fontId="2" fillId="2" borderId="42" xfId="1" applyNumberFormat="1" applyFill="1" applyBorder="1" applyAlignment="1">
      <alignment horizontal="center"/>
    </xf>
    <xf numFmtId="167" fontId="8" fillId="2" borderId="43" xfId="1" applyNumberFormat="1" applyFont="1" applyFill="1" applyBorder="1"/>
    <xf numFmtId="167" fontId="2" fillId="2" borderId="17" xfId="1" applyNumberFormat="1" applyFill="1" applyBorder="1" applyAlignment="1">
      <alignment horizontal="center" vertical="center"/>
    </xf>
    <xf numFmtId="167" fontId="2" fillId="2" borderId="44" xfId="1" applyNumberFormat="1" applyFill="1" applyBorder="1" applyAlignment="1">
      <alignment horizontal="center" vertical="center"/>
    </xf>
    <xf numFmtId="167" fontId="2" fillId="4" borderId="42" xfId="1" applyNumberFormat="1" applyFill="1" applyBorder="1" applyAlignment="1">
      <alignment horizontal="center"/>
    </xf>
    <xf numFmtId="164" fontId="9" fillId="3" borderId="45" xfId="1" applyNumberFormat="1" applyFont="1" applyFill="1" applyBorder="1" applyAlignment="1">
      <alignment horizontal="center" vertical="center"/>
    </xf>
    <xf numFmtId="166" fontId="0" fillId="2" borderId="17" xfId="2" applyNumberFormat="1" applyFont="1" applyFill="1" applyBorder="1" applyAlignment="1">
      <alignment horizontal="center"/>
    </xf>
    <xf numFmtId="166" fontId="0" fillId="2" borderId="44" xfId="2" applyNumberFormat="1" applyFont="1" applyFill="1" applyBorder="1" applyAlignment="1">
      <alignment horizontal="center"/>
    </xf>
    <xf numFmtId="165" fontId="0" fillId="4" borderId="42" xfId="2" applyFont="1" applyFill="1" applyBorder="1" applyAlignment="1">
      <alignment horizontal="center"/>
    </xf>
    <xf numFmtId="0" fontId="0" fillId="2" borderId="42" xfId="2" applyNumberFormat="1" applyFont="1" applyFill="1" applyBorder="1" applyAlignment="1">
      <alignment horizontal="center"/>
    </xf>
    <xf numFmtId="167" fontId="8" fillId="2" borderId="42" xfId="1" applyNumberFormat="1" applyFont="1" applyFill="1" applyBorder="1" applyAlignment="1">
      <alignment horizontal="center"/>
    </xf>
    <xf numFmtId="167" fontId="15" fillId="2" borderId="43" xfId="1" applyNumberFormat="1" applyFont="1" applyFill="1" applyBorder="1"/>
    <xf numFmtId="167" fontId="15" fillId="2" borderId="17" xfId="1" applyNumberFormat="1" applyFont="1" applyFill="1" applyBorder="1"/>
    <xf numFmtId="167" fontId="15" fillId="2" borderId="44" xfId="1" applyNumberFormat="1" applyFont="1" applyFill="1" applyBorder="1"/>
    <xf numFmtId="2" fontId="2" fillId="3" borderId="43" xfId="1" applyNumberFormat="1" applyFill="1" applyBorder="1" applyAlignment="1">
      <alignment horizontal="center"/>
    </xf>
    <xf numFmtId="49" fontId="16" fillId="2" borderId="42" xfId="1" applyNumberFormat="1" applyFont="1" applyFill="1" applyBorder="1"/>
    <xf numFmtId="0" fontId="16" fillId="2" borderId="42" xfId="1" applyFont="1" applyFill="1" applyBorder="1" applyAlignment="1">
      <alignment horizontal="center"/>
    </xf>
    <xf numFmtId="166" fontId="0" fillId="2" borderId="42" xfId="2" applyNumberFormat="1" applyFont="1" applyFill="1" applyBorder="1" applyAlignment="1">
      <alignment horizontal="center"/>
    </xf>
    <xf numFmtId="0" fontId="2" fillId="2" borderId="46" xfId="1" applyFill="1" applyBorder="1"/>
    <xf numFmtId="0" fontId="2" fillId="2" borderId="47" xfId="1" applyFill="1" applyBorder="1"/>
    <xf numFmtId="0" fontId="2" fillId="2" borderId="48" xfId="1" applyFill="1" applyBorder="1"/>
    <xf numFmtId="0" fontId="17" fillId="2" borderId="39" xfId="1" applyFont="1" applyFill="1" applyBorder="1"/>
    <xf numFmtId="0" fontId="2" fillId="2" borderId="40" xfId="1" applyFill="1" applyBorder="1"/>
    <xf numFmtId="0" fontId="2" fillId="2" borderId="17" xfId="1" applyFill="1" applyBorder="1"/>
    <xf numFmtId="0" fontId="2" fillId="2" borderId="41" xfId="1" applyFill="1" applyBorder="1"/>
    <xf numFmtId="169" fontId="2" fillId="2" borderId="42" xfId="1" applyNumberFormat="1" applyFill="1" applyBorder="1"/>
    <xf numFmtId="0" fontId="8" fillId="2" borderId="43" xfId="1" applyFont="1" applyFill="1" applyBorder="1"/>
    <xf numFmtId="167" fontId="2" fillId="2" borderId="17" xfId="1" applyNumberFormat="1" applyFill="1" applyBorder="1" applyAlignment="1">
      <alignment horizontal="center"/>
    </xf>
    <xf numFmtId="167" fontId="2" fillId="2" borderId="44" xfId="1" applyNumberFormat="1" applyFill="1" applyBorder="1" applyAlignment="1">
      <alignment horizontal="center"/>
    </xf>
    <xf numFmtId="0" fontId="2" fillId="2" borderId="42" xfId="1" applyFill="1" applyBorder="1"/>
    <xf numFmtId="164" fontId="2" fillId="2" borderId="45" xfId="1" applyNumberFormat="1" applyFill="1" applyBorder="1"/>
    <xf numFmtId="165" fontId="0" fillId="2" borderId="42" xfId="2" applyFont="1" applyFill="1" applyBorder="1" applyAlignment="1">
      <alignment horizontal="center"/>
    </xf>
    <xf numFmtId="0" fontId="8" fillId="2" borderId="42" xfId="1" applyFont="1" applyFill="1" applyBorder="1"/>
    <xf numFmtId="0" fontId="2" fillId="2" borderId="43" xfId="1" applyFill="1" applyBorder="1"/>
    <xf numFmtId="0" fontId="2" fillId="2" borderId="44" xfId="1" applyFill="1" applyBorder="1"/>
    <xf numFmtId="0" fontId="2" fillId="2" borderId="42" xfId="1" applyFill="1" applyBorder="1" applyAlignment="1">
      <alignment horizontal="center"/>
    </xf>
    <xf numFmtId="49" fontId="16" fillId="2" borderId="42" xfId="1" applyNumberFormat="1" applyFont="1" applyFill="1" applyBorder="1" applyAlignment="1">
      <alignment horizontal="center"/>
    </xf>
    <xf numFmtId="49" fontId="2" fillId="2" borderId="46" xfId="1" applyNumberFormat="1" applyFill="1" applyBorder="1"/>
    <xf numFmtId="0" fontId="0" fillId="2" borderId="44" xfId="2" applyNumberFormat="1" applyFont="1" applyFill="1" applyBorder="1" applyAlignment="1">
      <alignment horizontal="center"/>
    </xf>
    <xf numFmtId="168" fontId="18" fillId="2" borderId="40" xfId="1" applyNumberFormat="1" applyFont="1" applyFill="1" applyBorder="1" applyAlignment="1">
      <alignment horizontal="center"/>
    </xf>
    <xf numFmtId="49" fontId="2" fillId="2" borderId="42" xfId="1" applyNumberFormat="1" applyFill="1" applyBorder="1"/>
    <xf numFmtId="49" fontId="16" fillId="2" borderId="49" xfId="1" applyNumberFormat="1" applyFont="1" applyFill="1" applyBorder="1"/>
    <xf numFmtId="0" fontId="16" fillId="2" borderId="50" xfId="1" applyFont="1" applyFill="1" applyBorder="1" applyAlignment="1">
      <alignment horizontal="center"/>
    </xf>
    <xf numFmtId="49" fontId="2" fillId="2" borderId="42" xfId="1" applyNumberFormat="1" applyFill="1" applyBorder="1" applyAlignment="1">
      <alignment horizontal="center"/>
    </xf>
    <xf numFmtId="0" fontId="2" fillId="2" borderId="17" xfId="1" applyFill="1" applyBorder="1" applyAlignment="1">
      <alignment horizontal="center"/>
    </xf>
    <xf numFmtId="0" fontId="2" fillId="2" borderId="44" xfId="1" applyFill="1" applyBorder="1" applyAlignment="1">
      <alignment horizontal="center"/>
    </xf>
    <xf numFmtId="49" fontId="2" fillId="2" borderId="17" xfId="1" applyNumberFormat="1" applyFill="1" applyBorder="1" applyAlignment="1">
      <alignment horizontal="center"/>
    </xf>
    <xf numFmtId="0" fontId="0" fillId="2" borderId="17" xfId="2" applyNumberFormat="1" applyFont="1" applyFill="1" applyBorder="1" applyAlignment="1">
      <alignment horizontal="center"/>
    </xf>
    <xf numFmtId="167" fontId="2" fillId="2" borderId="40" xfId="1" applyNumberFormat="1" applyFill="1" applyBorder="1" applyAlignment="1">
      <alignment horizontal="center"/>
    </xf>
    <xf numFmtId="164" fontId="9" fillId="3" borderId="51" xfId="1" applyNumberFormat="1" applyFont="1" applyFill="1" applyBorder="1" applyAlignment="1">
      <alignment horizontal="center" vertical="center"/>
    </xf>
    <xf numFmtId="169" fontId="2" fillId="2" borderId="48" xfId="1" applyNumberFormat="1" applyFill="1" applyBorder="1"/>
    <xf numFmtId="0" fontId="8" fillId="2" borderId="48" xfId="1" applyFont="1" applyFill="1" applyBorder="1"/>
    <xf numFmtId="0" fontId="2" fillId="2" borderId="48" xfId="1" applyFill="1" applyBorder="1" applyAlignment="1">
      <alignment horizontal="center"/>
    </xf>
    <xf numFmtId="164" fontId="2" fillId="2" borderId="48" xfId="1" applyNumberFormat="1" applyFill="1" applyBorder="1"/>
    <xf numFmtId="166" fontId="0" fillId="2" borderId="48" xfId="2" applyNumberFormat="1" applyFont="1" applyFill="1" applyBorder="1" applyAlignment="1">
      <alignment horizontal="center"/>
    </xf>
    <xf numFmtId="165" fontId="0" fillId="2" borderId="48" xfId="2" applyFont="1" applyFill="1" applyBorder="1" applyAlignment="1">
      <alignment horizontal="center"/>
    </xf>
    <xf numFmtId="0" fontId="2" fillId="0" borderId="0" xfId="1" applyAlignment="1">
      <alignment horizontal="center"/>
    </xf>
    <xf numFmtId="164" fontId="2" fillId="0" borderId="0" xfId="1" applyNumberFormat="1"/>
    <xf numFmtId="166" fontId="0" fillId="0" borderId="0" xfId="2" applyNumberFormat="1" applyFont="1" applyAlignment="1">
      <alignment horizontal="center"/>
    </xf>
    <xf numFmtId="165" fontId="0" fillId="0" borderId="0" xfId="2" applyFont="1" applyAlignment="1">
      <alignment horizontal="center"/>
    </xf>
    <xf numFmtId="0" fontId="20" fillId="0" borderId="0" xfId="3" applyAlignment="1">
      <alignment horizontal="left" vertical="top"/>
    </xf>
    <xf numFmtId="2" fontId="21" fillId="5" borderId="29" xfId="3" applyNumberFormat="1" applyFont="1" applyFill="1" applyBorder="1" applyAlignment="1">
      <alignment horizontal="right" vertical="top" shrinkToFit="1"/>
    </xf>
    <xf numFmtId="2" fontId="21" fillId="5" borderId="29" xfId="3" applyNumberFormat="1" applyFont="1" applyFill="1" applyBorder="1" applyAlignment="1">
      <alignment horizontal="center" vertical="top" shrinkToFit="1"/>
    </xf>
    <xf numFmtId="1" fontId="22" fillId="5" borderId="29" xfId="3" applyNumberFormat="1" applyFont="1" applyFill="1" applyBorder="1" applyAlignment="1">
      <alignment horizontal="right" vertical="top" shrinkToFit="1"/>
    </xf>
    <xf numFmtId="2" fontId="22" fillId="5" borderId="29" xfId="3" applyNumberFormat="1" applyFont="1" applyFill="1" applyBorder="1" applyAlignment="1">
      <alignment horizontal="right" vertical="top" shrinkToFit="1"/>
    </xf>
    <xf numFmtId="0" fontId="20" fillId="0" borderId="52" xfId="3" applyBorder="1" applyAlignment="1">
      <alignment horizontal="left" vertical="top"/>
    </xf>
    <xf numFmtId="0" fontId="20" fillId="0" borderId="53" xfId="3" applyBorder="1" applyAlignment="1">
      <alignment horizontal="left" vertical="top"/>
    </xf>
    <xf numFmtId="0" fontId="20" fillId="0" borderId="54" xfId="3" applyBorder="1" applyAlignment="1">
      <alignment horizontal="left" vertical="top"/>
    </xf>
    <xf numFmtId="0" fontId="20" fillId="0" borderId="55" xfId="3" applyBorder="1" applyAlignment="1">
      <alignment horizontal="left" vertical="top"/>
    </xf>
    <xf numFmtId="0" fontId="20" fillId="0" borderId="56" xfId="3" applyBorder="1" applyAlignment="1">
      <alignment horizontal="left" vertical="top"/>
    </xf>
    <xf numFmtId="0" fontId="20" fillId="0" borderId="57" xfId="3" applyBorder="1" applyAlignment="1">
      <alignment horizontal="left" vertical="top"/>
    </xf>
    <xf numFmtId="0" fontId="5" fillId="0" borderId="17" xfId="4" applyFont="1" applyBorder="1"/>
    <xf numFmtId="0" fontId="27" fillId="0" borderId="0" xfId="4" applyFont="1" applyAlignment="1">
      <alignment horizontal="center" wrapText="1"/>
    </xf>
    <xf numFmtId="0" fontId="27" fillId="0" borderId="0" xfId="4" applyFont="1" applyAlignment="1">
      <alignment horizontal="left" wrapText="1"/>
    </xf>
    <xf numFmtId="0" fontId="26" fillId="0" borderId="0" xfId="4" applyAlignment="1">
      <alignment horizontal="center"/>
    </xf>
    <xf numFmtId="0" fontId="26" fillId="0" borderId="0" xfId="4"/>
    <xf numFmtId="0" fontId="5" fillId="0" borderId="17" xfId="4" applyFont="1" applyBorder="1" applyAlignment="1">
      <alignment horizontal="center"/>
    </xf>
    <xf numFmtId="2" fontId="29" fillId="6" borderId="39" xfId="4" applyNumberFormat="1" applyFont="1" applyFill="1" applyBorder="1" applyAlignment="1">
      <alignment horizontal="center"/>
    </xf>
    <xf numFmtId="0" fontId="27" fillId="0" borderId="17" xfId="4" applyFont="1" applyBorder="1"/>
    <xf numFmtId="0" fontId="27" fillId="0" borderId="17" xfId="4" applyFont="1" applyBorder="1" applyAlignment="1">
      <alignment horizontal="left"/>
    </xf>
    <xf numFmtId="0" fontId="27" fillId="0" borderId="17" xfId="4" applyFont="1" applyBorder="1" applyAlignment="1">
      <alignment horizontal="center"/>
    </xf>
    <xf numFmtId="0" fontId="9" fillId="6" borderId="32" xfId="4" applyFont="1" applyFill="1" applyBorder="1" applyAlignment="1">
      <alignment horizontal="center" wrapText="1"/>
    </xf>
    <xf numFmtId="0" fontId="9" fillId="6" borderId="17" xfId="4" applyFont="1" applyFill="1" applyBorder="1" applyAlignment="1">
      <alignment horizontal="center" wrapText="1"/>
    </xf>
    <xf numFmtId="2" fontId="9" fillId="6" borderId="32" xfId="4" applyNumberFormat="1" applyFont="1" applyFill="1" applyBorder="1" applyAlignment="1">
      <alignment horizontal="center" wrapText="1"/>
    </xf>
    <xf numFmtId="0" fontId="28" fillId="0" borderId="17" xfId="4" applyFont="1" applyBorder="1" applyAlignment="1">
      <alignment horizontal="center"/>
    </xf>
    <xf numFmtId="0" fontId="9" fillId="0" borderId="17" xfId="4" applyFont="1" applyBorder="1" applyAlignment="1">
      <alignment horizontal="center" wrapText="1"/>
    </xf>
    <xf numFmtId="0" fontId="29" fillId="0" borderId="17" xfId="4" applyFont="1" applyBorder="1" applyAlignment="1">
      <alignment horizontal="center"/>
    </xf>
    <xf numFmtId="0" fontId="29" fillId="0" borderId="17" xfId="4" applyFont="1" applyBorder="1" applyAlignment="1">
      <alignment horizontal="center" wrapText="1"/>
    </xf>
    <xf numFmtId="0" fontId="30" fillId="0" borderId="52" xfId="4" applyFont="1" applyBorder="1" applyAlignment="1">
      <alignment horizontal="right"/>
    </xf>
    <xf numFmtId="0" fontId="30" fillId="0" borderId="53" xfId="4" applyFont="1" applyBorder="1" applyAlignment="1">
      <alignment horizontal="right"/>
    </xf>
    <xf numFmtId="0" fontId="15" fillId="0" borderId="17" xfId="4" applyFont="1" applyBorder="1"/>
    <xf numFmtId="0" fontId="15" fillId="0" borderId="17" xfId="4" applyFont="1" applyBorder="1" applyAlignment="1">
      <alignment horizontal="left"/>
    </xf>
    <xf numFmtId="0" fontId="15" fillId="0" borderId="17" xfId="4" applyFont="1" applyBorder="1" applyAlignment="1">
      <alignment horizontal="center"/>
    </xf>
    <xf numFmtId="2" fontId="28" fillId="0" borderId="17" xfId="4" applyNumberFormat="1" applyFont="1" applyBorder="1" applyAlignment="1">
      <alignment horizontal="center"/>
    </xf>
    <xf numFmtId="0" fontId="30" fillId="0" borderId="54" xfId="4" applyFont="1" applyBorder="1"/>
    <xf numFmtId="2" fontId="30" fillId="0" borderId="55" xfId="4" applyNumberFormat="1" applyFont="1" applyBorder="1" applyAlignment="1">
      <alignment horizontal="right"/>
    </xf>
    <xf numFmtId="2" fontId="26" fillId="0" borderId="0" xfId="4" applyNumberFormat="1"/>
    <xf numFmtId="0" fontId="30" fillId="0" borderId="56" xfId="4" applyFont="1" applyBorder="1" applyAlignment="1">
      <alignment horizontal="right"/>
    </xf>
    <xf numFmtId="2" fontId="30" fillId="0" borderId="57" xfId="4" applyNumberFormat="1" applyFont="1" applyBorder="1" applyAlignment="1">
      <alignment horizontal="right"/>
    </xf>
    <xf numFmtId="0" fontId="30" fillId="0" borderId="0" xfId="4" applyFont="1"/>
    <xf numFmtId="2" fontId="26" fillId="0" borderId="0" xfId="4" applyNumberFormat="1" applyAlignment="1">
      <alignment horizontal="center"/>
    </xf>
    <xf numFmtId="0" fontId="15" fillId="0" borderId="0" xfId="4" applyFont="1" applyAlignment="1">
      <alignment horizontal="left"/>
    </xf>
    <xf numFmtId="0" fontId="27" fillId="0" borderId="0" xfId="4" applyFont="1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2" fontId="29" fillId="0" borderId="0" xfId="4" applyNumberFormat="1" applyFont="1" applyAlignment="1">
      <alignment horizontal="center"/>
    </xf>
    <xf numFmtId="0" fontId="30" fillId="0" borderId="0" xfId="5" applyFont="1"/>
    <xf numFmtId="0" fontId="30" fillId="0" borderId="0" xfId="5" applyFont="1" applyAlignment="1">
      <alignment horizontal="left"/>
    </xf>
    <xf numFmtId="0" fontId="32" fillId="0" borderId="0" xfId="5" applyFont="1"/>
    <xf numFmtId="0" fontId="30" fillId="0" borderId="0" xfId="5" applyFont="1" applyAlignment="1">
      <alignment wrapText="1"/>
    </xf>
    <xf numFmtId="0" fontId="33" fillId="0" borderId="0" xfId="5" applyFont="1" applyAlignment="1">
      <alignment wrapText="1" readingOrder="1"/>
    </xf>
    <xf numFmtId="2" fontId="30" fillId="0" borderId="0" xfId="5" applyNumberFormat="1" applyFont="1"/>
    <xf numFmtId="0" fontId="34" fillId="0" borderId="0" xfId="5" applyFont="1" applyAlignment="1">
      <alignment wrapText="1" readingOrder="1"/>
    </xf>
    <xf numFmtId="0" fontId="32" fillId="0" borderId="0" xfId="5" applyFont="1" applyAlignment="1">
      <alignment wrapText="1"/>
    </xf>
    <xf numFmtId="0" fontId="32" fillId="0" borderId="0" xfId="5" applyFont="1" applyAlignment="1">
      <alignment wrapText="1" readingOrder="1"/>
    </xf>
    <xf numFmtId="0" fontId="30" fillId="0" borderId="0" xfId="5" applyFont="1" applyAlignment="1">
      <alignment wrapText="1" readingOrder="1"/>
    </xf>
    <xf numFmtId="0" fontId="35" fillId="0" borderId="0" xfId="5" applyFont="1"/>
    <xf numFmtId="0" fontId="31" fillId="0" borderId="0" xfId="5"/>
    <xf numFmtId="0" fontId="37" fillId="0" borderId="60" xfId="6" applyFont="1" applyBorder="1" applyAlignment="1">
      <alignment horizontal="left"/>
    </xf>
    <xf numFmtId="0" fontId="37" fillId="0" borderId="0" xfId="6" applyFont="1" applyAlignment="1">
      <alignment horizontal="left"/>
    </xf>
    <xf numFmtId="0" fontId="38" fillId="0" borderId="0" xfId="6" applyFont="1"/>
    <xf numFmtId="170" fontId="38" fillId="0" borderId="60" xfId="7" applyNumberFormat="1" applyFont="1" applyFill="1" applyBorder="1" applyAlignment="1">
      <alignment horizontal="center"/>
    </xf>
    <xf numFmtId="9" fontId="38" fillId="0" borderId="0" xfId="8" applyFont="1" applyFill="1" applyAlignment="1">
      <alignment horizontal="center"/>
    </xf>
    <xf numFmtId="171" fontId="38" fillId="0" borderId="0" xfId="9" applyNumberFormat="1" applyFont="1" applyFill="1" applyAlignment="1">
      <alignment horizontal="center"/>
    </xf>
    <xf numFmtId="9" fontId="38" fillId="0" borderId="60" xfId="8" applyFont="1" applyFill="1" applyBorder="1" applyAlignment="1">
      <alignment horizontal="center"/>
    </xf>
    <xf numFmtId="170" fontId="38" fillId="0" borderId="0" xfId="7" applyNumberFormat="1" applyFont="1" applyAlignment="1">
      <alignment horizontal="center"/>
    </xf>
    <xf numFmtId="170" fontId="38" fillId="0" borderId="60" xfId="7" applyNumberFormat="1" applyFont="1" applyBorder="1" applyAlignment="1">
      <alignment horizontal="center"/>
    </xf>
    <xf numFmtId="0" fontId="38" fillId="0" borderId="60" xfId="6" applyFont="1" applyBorder="1" applyAlignment="1">
      <alignment horizontal="center"/>
    </xf>
    <xf numFmtId="0" fontId="39" fillId="0" borderId="0" xfId="10" applyFont="1"/>
    <xf numFmtId="0" fontId="40" fillId="7" borderId="61" xfId="6" applyFont="1" applyFill="1" applyBorder="1" applyAlignment="1">
      <alignment horizontal="center" vertical="center" wrapText="1"/>
    </xf>
    <xf numFmtId="170" fontId="40" fillId="7" borderId="65" xfId="7" applyNumberFormat="1" applyFont="1" applyFill="1" applyBorder="1" applyAlignment="1">
      <alignment horizontal="center" vertical="center" wrapText="1"/>
    </xf>
    <xf numFmtId="170" fontId="40" fillId="7" borderId="66" xfId="7" applyNumberFormat="1" applyFont="1" applyFill="1" applyBorder="1" applyAlignment="1">
      <alignment horizontal="center" vertical="center" wrapText="1"/>
    </xf>
    <xf numFmtId="170" fontId="40" fillId="7" borderId="64" xfId="7" applyNumberFormat="1" applyFont="1" applyFill="1" applyBorder="1" applyAlignment="1">
      <alignment horizontal="center" vertical="center" wrapText="1"/>
    </xf>
    <xf numFmtId="172" fontId="40" fillId="7" borderId="66" xfId="9" applyNumberFormat="1" applyFont="1" applyFill="1" applyBorder="1" applyAlignment="1">
      <alignment horizontal="center" vertical="center" wrapText="1"/>
    </xf>
    <xf numFmtId="172" fontId="40" fillId="7" borderId="65" xfId="9" applyNumberFormat="1" applyFont="1" applyFill="1" applyBorder="1" applyAlignment="1">
      <alignment horizontal="center" vertical="center" wrapText="1"/>
    </xf>
    <xf numFmtId="0" fontId="40" fillId="7" borderId="67" xfId="6" applyFont="1" applyFill="1" applyBorder="1" applyAlignment="1">
      <alignment horizontal="center" vertical="center" wrapText="1"/>
    </xf>
    <xf numFmtId="170" fontId="40" fillId="7" borderId="69" xfId="7" applyNumberFormat="1" applyFont="1" applyFill="1" applyBorder="1" applyAlignment="1">
      <alignment horizontal="center" vertical="top" wrapText="1"/>
    </xf>
    <xf numFmtId="171" fontId="40" fillId="7" borderId="70" xfId="9" applyNumberFormat="1" applyFont="1" applyFill="1" applyBorder="1" applyAlignment="1">
      <alignment horizontal="center" vertical="top" wrapText="1"/>
    </xf>
    <xf numFmtId="171" fontId="40" fillId="7" borderId="71" xfId="9" applyNumberFormat="1" applyFont="1" applyFill="1" applyBorder="1" applyAlignment="1">
      <alignment horizontal="center" vertical="top" wrapText="1"/>
    </xf>
    <xf numFmtId="170" fontId="40" fillId="7" borderId="72" xfId="7" applyNumberFormat="1" applyFont="1" applyFill="1" applyBorder="1" applyAlignment="1">
      <alignment horizontal="center" vertical="top" wrapText="1"/>
    </xf>
    <xf numFmtId="171" fontId="40" fillId="7" borderId="73" xfId="9" applyNumberFormat="1" applyFont="1" applyFill="1" applyBorder="1" applyAlignment="1">
      <alignment horizontal="center" vertical="top" wrapText="1"/>
    </xf>
    <xf numFmtId="171" fontId="40" fillId="7" borderId="72" xfId="9" applyNumberFormat="1" applyFont="1" applyFill="1" applyBorder="1" applyAlignment="1">
      <alignment horizontal="center" vertical="top" wrapText="1"/>
    </xf>
    <xf numFmtId="170" fontId="40" fillId="7" borderId="74" xfId="7" applyNumberFormat="1" applyFont="1" applyFill="1" applyBorder="1" applyAlignment="1">
      <alignment horizontal="center" vertical="top" wrapText="1"/>
    </xf>
    <xf numFmtId="170" fontId="40" fillId="7" borderId="67" xfId="7" applyNumberFormat="1" applyFont="1" applyFill="1" applyBorder="1" applyAlignment="1">
      <alignment horizontal="center" vertical="top" wrapText="1"/>
    </xf>
    <xf numFmtId="170" fontId="40" fillId="7" borderId="75" xfId="7" applyNumberFormat="1" applyFont="1" applyFill="1" applyBorder="1" applyAlignment="1">
      <alignment horizontal="center" vertical="top" wrapText="1"/>
    </xf>
    <xf numFmtId="171" fontId="40" fillId="7" borderId="67" xfId="9" applyNumberFormat="1" applyFont="1" applyFill="1" applyBorder="1" applyAlignment="1">
      <alignment horizontal="center" vertical="top" wrapText="1"/>
    </xf>
    <xf numFmtId="171" fontId="40" fillId="7" borderId="74" xfId="9" applyNumberFormat="1" applyFont="1" applyFill="1" applyBorder="1" applyAlignment="1">
      <alignment horizontal="center" vertical="top" wrapText="1"/>
    </xf>
    <xf numFmtId="0" fontId="38" fillId="0" borderId="0" xfId="6" applyFont="1" applyAlignment="1">
      <alignment horizontal="center" vertical="top" wrapText="1"/>
    </xf>
    <xf numFmtId="0" fontId="42" fillId="2" borderId="17" xfId="10" applyFont="1" applyFill="1" applyBorder="1" applyAlignment="1">
      <alignment horizontal="center"/>
    </xf>
    <xf numFmtId="10" fontId="42" fillId="2" borderId="17" xfId="10" applyNumberFormat="1" applyFont="1" applyFill="1" applyBorder="1" applyAlignment="1">
      <alignment horizontal="center"/>
    </xf>
    <xf numFmtId="0" fontId="42" fillId="0" borderId="40" xfId="10" applyFont="1" applyBorder="1" applyAlignment="1">
      <alignment horizontal="center"/>
    </xf>
    <xf numFmtId="0" fontId="42" fillId="2" borderId="17" xfId="10" applyFont="1" applyFill="1" applyBorder="1"/>
    <xf numFmtId="170" fontId="39" fillId="0" borderId="39" xfId="7" applyNumberFormat="1" applyFont="1" applyFill="1" applyBorder="1" applyAlignment="1">
      <alignment horizontal="center"/>
    </xf>
    <xf numFmtId="0" fontId="39" fillId="0" borderId="39" xfId="10" applyFont="1" applyBorder="1" applyAlignment="1">
      <alignment horizontal="center"/>
    </xf>
    <xf numFmtId="173" fontId="39" fillId="0" borderId="39" xfId="7" applyNumberFormat="1" applyFont="1" applyFill="1" applyBorder="1" applyAlignment="1">
      <alignment horizontal="center"/>
    </xf>
    <xf numFmtId="2" fontId="40" fillId="7" borderId="77" xfId="6" applyNumberFormat="1" applyFont="1" applyFill="1" applyBorder="1" applyAlignment="1">
      <alignment horizontal="center"/>
    </xf>
    <xf numFmtId="0" fontId="39" fillId="0" borderId="52" xfId="10" applyFont="1" applyBorder="1"/>
    <xf numFmtId="0" fontId="39" fillId="0" borderId="53" xfId="10" applyFont="1" applyBorder="1"/>
    <xf numFmtId="170" fontId="39" fillId="0" borderId="0" xfId="10" applyNumberFormat="1" applyFont="1"/>
    <xf numFmtId="0" fontId="39" fillId="0" borderId="54" xfId="10" applyFont="1" applyBorder="1"/>
    <xf numFmtId="0" fontId="39" fillId="0" borderId="55" xfId="10" applyFont="1" applyBorder="1"/>
    <xf numFmtId="174" fontId="39" fillId="0" borderId="0" xfId="10" applyNumberFormat="1" applyFont="1"/>
    <xf numFmtId="0" fontId="39" fillId="0" borderId="39" xfId="10" applyFont="1" applyBorder="1"/>
    <xf numFmtId="0" fontId="39" fillId="0" borderId="76" xfId="10" applyFont="1" applyBorder="1" applyAlignment="1">
      <alignment horizontal="center"/>
    </xf>
    <xf numFmtId="0" fontId="39" fillId="0" borderId="78" xfId="10" applyFont="1" applyBorder="1" applyAlignment="1">
      <alignment horizontal="center"/>
    </xf>
    <xf numFmtId="0" fontId="39" fillId="0" borderId="56" xfId="10" applyFont="1" applyBorder="1" applyAlignment="1">
      <alignment horizontal="right"/>
    </xf>
    <xf numFmtId="0" fontId="39" fillId="0" borderId="57" xfId="10" applyFont="1" applyBorder="1"/>
    <xf numFmtId="0" fontId="39" fillId="2" borderId="17" xfId="10" applyFont="1" applyFill="1" applyBorder="1"/>
    <xf numFmtId="0" fontId="39" fillId="2" borderId="17" xfId="10" applyFont="1" applyFill="1" applyBorder="1" applyAlignment="1">
      <alignment horizontal="center"/>
    </xf>
    <xf numFmtId="0" fontId="42" fillId="0" borderId="17" xfId="10" applyFont="1" applyBorder="1"/>
    <xf numFmtId="0" fontId="42" fillId="0" borderId="17" xfId="10" applyFont="1" applyBorder="1" applyAlignment="1">
      <alignment horizontal="center"/>
    </xf>
    <xf numFmtId="171" fontId="39" fillId="0" borderId="39" xfId="9" applyNumberFormat="1" applyFont="1" applyFill="1" applyBorder="1" applyAlignment="1"/>
    <xf numFmtId="175" fontId="39" fillId="0" borderId="39" xfId="7" applyNumberFormat="1" applyFont="1" applyFill="1" applyBorder="1" applyAlignment="1">
      <alignment horizontal="center"/>
    </xf>
    <xf numFmtId="0" fontId="39" fillId="2" borderId="17" xfId="10" applyFont="1" applyFill="1" applyBorder="1" applyAlignment="1">
      <alignment horizontal="left"/>
    </xf>
    <xf numFmtId="2" fontId="40" fillId="7" borderId="79" xfId="6" applyNumberFormat="1" applyFont="1" applyFill="1" applyBorder="1" applyAlignment="1">
      <alignment horizontal="center"/>
    </xf>
    <xf numFmtId="0" fontId="39" fillId="0" borderId="0" xfId="10" applyFont="1" applyAlignment="1">
      <alignment horizontal="center"/>
    </xf>
    <xf numFmtId="0" fontId="39" fillId="7" borderId="78" xfId="10" applyFont="1" applyFill="1" applyBorder="1" applyAlignment="1">
      <alignment horizontal="center"/>
    </xf>
    <xf numFmtId="0" fontId="39" fillId="7" borderId="0" xfId="10" applyFont="1" applyFill="1" applyAlignment="1">
      <alignment horizontal="center"/>
    </xf>
    <xf numFmtId="0" fontId="43" fillId="7" borderId="40" xfId="10" applyFont="1" applyFill="1" applyBorder="1" applyAlignment="1">
      <alignment horizontal="center"/>
    </xf>
    <xf numFmtId="0" fontId="42" fillId="8" borderId="17" xfId="10" applyFont="1" applyFill="1" applyBorder="1"/>
    <xf numFmtId="0" fontId="42" fillId="8" borderId="17" xfId="10" applyFont="1" applyFill="1" applyBorder="1" applyAlignment="1">
      <alignment horizontal="center"/>
    </xf>
    <xf numFmtId="0" fontId="39" fillId="8" borderId="17" xfId="10" applyFont="1" applyFill="1" applyBorder="1" applyAlignment="1">
      <alignment horizontal="center"/>
    </xf>
    <xf numFmtId="170" fontId="39" fillId="7" borderId="39" xfId="7" applyNumberFormat="1" applyFont="1" applyFill="1" applyBorder="1" applyAlignment="1">
      <alignment horizontal="center"/>
    </xf>
    <xf numFmtId="0" fontId="39" fillId="7" borderId="39" xfId="10" applyFont="1" applyFill="1" applyBorder="1" applyAlignment="1">
      <alignment horizontal="center"/>
    </xf>
    <xf numFmtId="173" fontId="39" fillId="7" borderId="39" xfId="7" applyNumberFormat="1" applyFont="1" applyFill="1" applyBorder="1" applyAlignment="1">
      <alignment horizontal="center"/>
    </xf>
    <xf numFmtId="0" fontId="42" fillId="2" borderId="40" xfId="10" applyFont="1" applyFill="1" applyBorder="1" applyAlignment="1">
      <alignment horizontal="center"/>
    </xf>
    <xf numFmtId="0" fontId="39" fillId="0" borderId="40" xfId="10" applyFont="1" applyBorder="1"/>
    <xf numFmtId="0" fontId="39" fillId="0" borderId="80" xfId="10" applyFont="1" applyBorder="1" applyAlignment="1">
      <alignment horizontal="center"/>
    </xf>
    <xf numFmtId="0" fontId="39" fillId="0" borderId="75" xfId="10" applyFont="1" applyBorder="1" applyAlignment="1">
      <alignment horizontal="center"/>
    </xf>
    <xf numFmtId="0" fontId="42" fillId="0" borderId="81" xfId="10" applyFont="1" applyBorder="1" applyAlignment="1">
      <alignment horizontal="center"/>
    </xf>
    <xf numFmtId="0" fontId="42" fillId="2" borderId="82" xfId="10" applyFont="1" applyFill="1" applyBorder="1"/>
    <xf numFmtId="0" fontId="42" fillId="2" borderId="82" xfId="10" applyFont="1" applyFill="1" applyBorder="1" applyAlignment="1">
      <alignment horizontal="center"/>
    </xf>
    <xf numFmtId="0" fontId="39" fillId="2" borderId="82" xfId="10" applyFont="1" applyFill="1" applyBorder="1" applyAlignment="1">
      <alignment horizontal="center"/>
    </xf>
    <xf numFmtId="170" fontId="39" fillId="0" borderId="83" xfId="7" applyNumberFormat="1" applyFont="1" applyFill="1" applyBorder="1" applyAlignment="1">
      <alignment horizontal="center"/>
    </xf>
    <xf numFmtId="0" fontId="39" fillId="0" borderId="83" xfId="10" applyFont="1" applyBorder="1" applyAlignment="1">
      <alignment horizontal="center"/>
    </xf>
    <xf numFmtId="173" fontId="39" fillId="0" borderId="83" xfId="7" applyNumberFormat="1" applyFont="1" applyFill="1" applyBorder="1" applyAlignment="1">
      <alignment horizontal="center"/>
    </xf>
    <xf numFmtId="2" fontId="40" fillId="7" borderId="84" xfId="6" applyNumberFormat="1" applyFont="1" applyFill="1" applyBorder="1" applyAlignment="1">
      <alignment horizontal="center"/>
    </xf>
    <xf numFmtId="170" fontId="39" fillId="0" borderId="0" xfId="7" applyNumberFormat="1" applyFont="1" applyBorder="1"/>
    <xf numFmtId="0" fontId="39" fillId="0" borderId="76" xfId="10" applyFont="1" applyFill="1" applyBorder="1" applyAlignment="1">
      <alignment horizontal="center"/>
    </xf>
    <xf numFmtId="0" fontId="42" fillId="0" borderId="17" xfId="10" applyFont="1" applyFill="1" applyBorder="1" applyAlignment="1">
      <alignment horizontal="center"/>
    </xf>
    <xf numFmtId="10" fontId="42" fillId="0" borderId="31" xfId="10" applyNumberFormat="1" applyFont="1" applyFill="1" applyBorder="1" applyAlignment="1">
      <alignment horizontal="center"/>
    </xf>
    <xf numFmtId="0" fontId="42" fillId="0" borderId="31" xfId="10" applyFont="1" applyFill="1" applyBorder="1" applyAlignment="1">
      <alignment horizontal="center"/>
    </xf>
    <xf numFmtId="0" fontId="42" fillId="0" borderId="32" xfId="10" applyFont="1" applyFill="1" applyBorder="1"/>
    <xf numFmtId="0" fontId="42" fillId="0" borderId="32" xfId="10" applyFont="1" applyFill="1" applyBorder="1" applyAlignment="1">
      <alignment horizontal="center"/>
    </xf>
    <xf numFmtId="170" fontId="39" fillId="0" borderId="30" xfId="7" applyNumberFormat="1" applyFont="1" applyFill="1" applyBorder="1" applyAlignment="1">
      <alignment horizontal="center"/>
    </xf>
    <xf numFmtId="0" fontId="39" fillId="0" borderId="30" xfId="10" applyFont="1" applyFill="1" applyBorder="1" applyAlignment="1">
      <alignment horizontal="center"/>
    </xf>
    <xf numFmtId="173" fontId="39" fillId="0" borderId="30" xfId="7" applyNumberFormat="1" applyFont="1" applyFill="1" applyBorder="1" applyAlignment="1">
      <alignment horizontal="center"/>
    </xf>
    <xf numFmtId="0" fontId="39" fillId="0" borderId="78" xfId="10" applyFont="1" applyFill="1" applyBorder="1" applyAlignment="1">
      <alignment horizontal="center"/>
    </xf>
    <xf numFmtId="0" fontId="42" fillId="0" borderId="40" xfId="10" applyFont="1" applyFill="1" applyBorder="1" applyAlignment="1">
      <alignment horizontal="center"/>
    </xf>
    <xf numFmtId="0" fontId="42" fillId="0" borderId="17" xfId="10" applyFont="1" applyFill="1" applyBorder="1"/>
    <xf numFmtId="0" fontId="39" fillId="0" borderId="39" xfId="10" applyFont="1" applyFill="1" applyBorder="1" applyAlignment="1">
      <alignment horizontal="center"/>
    </xf>
    <xf numFmtId="0" fontId="39" fillId="0" borderId="39" xfId="10" applyFont="1" applyFill="1" applyBorder="1"/>
    <xf numFmtId="10" fontId="42" fillId="0" borderId="17" xfId="10" applyNumberFormat="1" applyFont="1" applyFill="1" applyBorder="1" applyAlignment="1">
      <alignment horizontal="center"/>
    </xf>
    <xf numFmtId="0" fontId="39" fillId="0" borderId="17" xfId="10" applyFont="1" applyFill="1" applyBorder="1"/>
    <xf numFmtId="0" fontId="39" fillId="0" borderId="40" xfId="10" applyFont="1" applyFill="1" applyBorder="1" applyAlignment="1">
      <alignment horizontal="center"/>
    </xf>
    <xf numFmtId="0" fontId="39" fillId="0" borderId="17" xfId="10" applyFont="1" applyFill="1" applyBorder="1" applyAlignment="1">
      <alignment horizontal="center"/>
    </xf>
    <xf numFmtId="0" fontId="44" fillId="0" borderId="17" xfId="4" applyFont="1" applyBorder="1"/>
    <xf numFmtId="0" fontId="44" fillId="0" borderId="17" xfId="4" applyFont="1" applyBorder="1" applyAlignment="1">
      <alignment horizontal="left"/>
    </xf>
    <xf numFmtId="49" fontId="45" fillId="2" borderId="42" xfId="1" applyNumberFormat="1" applyFont="1" applyFill="1" applyBorder="1"/>
    <xf numFmtId="176" fontId="42" fillId="0" borderId="17" xfId="10" applyNumberFormat="1" applyFont="1" applyFill="1" applyBorder="1"/>
    <xf numFmtId="0" fontId="19" fillId="0" borderId="17" xfId="0" applyFont="1" applyBorder="1"/>
    <xf numFmtId="0" fontId="19" fillId="0" borderId="17" xfId="0" applyFont="1" applyBorder="1" applyAlignment="1">
      <alignment horizontal="center" vertical="center"/>
    </xf>
    <xf numFmtId="167" fontId="42" fillId="0" borderId="17" xfId="10" applyNumberFormat="1" applyFont="1" applyFill="1" applyBorder="1"/>
    <xf numFmtId="0" fontId="19" fillId="9" borderId="17" xfId="0" applyFont="1" applyFill="1" applyBorder="1"/>
    <xf numFmtId="176" fontId="42" fillId="9" borderId="17" xfId="10" applyNumberFormat="1" applyFont="1" applyFill="1" applyBorder="1"/>
    <xf numFmtId="0" fontId="40" fillId="7" borderId="63" xfId="6" applyFont="1" applyFill="1" applyBorder="1" applyAlignment="1">
      <alignment horizontal="center" vertical="center" wrapText="1"/>
    </xf>
    <xf numFmtId="0" fontId="40" fillId="7" borderId="64" xfId="6" applyFont="1" applyFill="1" applyBorder="1" applyAlignment="1">
      <alignment horizontal="center" vertical="center" wrapText="1"/>
    </xf>
    <xf numFmtId="0" fontId="40" fillId="7" borderId="65" xfId="6" applyFont="1" applyFill="1" applyBorder="1" applyAlignment="1">
      <alignment horizontal="center" vertical="center" wrapText="1"/>
    </xf>
    <xf numFmtId="0" fontId="40" fillId="7" borderId="61" xfId="6" applyFont="1" applyFill="1" applyBorder="1" applyAlignment="1">
      <alignment horizontal="center" vertical="center" wrapText="1"/>
    </xf>
    <xf numFmtId="0" fontId="40" fillId="7" borderId="67" xfId="6" applyFont="1" applyFill="1" applyBorder="1" applyAlignment="1">
      <alignment horizontal="center" vertical="center" wrapText="1"/>
    </xf>
    <xf numFmtId="0" fontId="40" fillId="7" borderId="61" xfId="6" applyFont="1" applyFill="1" applyBorder="1" applyAlignment="1">
      <alignment horizontal="center" vertical="center"/>
    </xf>
    <xf numFmtId="0" fontId="40" fillId="7" borderId="67" xfId="6" applyFont="1" applyFill="1" applyBorder="1" applyAlignment="1">
      <alignment horizontal="center" vertical="center"/>
    </xf>
    <xf numFmtId="0" fontId="40" fillId="7" borderId="62" xfId="6" applyFont="1" applyFill="1" applyBorder="1" applyAlignment="1">
      <alignment horizontal="center" vertical="center" wrapText="1"/>
    </xf>
    <xf numFmtId="0" fontId="40" fillId="7" borderId="68" xfId="6" applyFont="1" applyFill="1" applyBorder="1" applyAlignment="1">
      <alignment horizontal="center" vertical="center" wrapText="1"/>
    </xf>
    <xf numFmtId="0" fontId="28" fillId="6" borderId="10" xfId="4" applyFont="1" applyFill="1" applyBorder="1" applyAlignment="1">
      <alignment horizontal="center"/>
    </xf>
    <xf numFmtId="0" fontId="28" fillId="6" borderId="11" xfId="4" applyFont="1" applyFill="1" applyBorder="1" applyAlignment="1">
      <alignment horizontal="center"/>
    </xf>
    <xf numFmtId="0" fontId="28" fillId="6" borderId="58" xfId="4" applyFont="1" applyFill="1" applyBorder="1" applyAlignment="1">
      <alignment horizontal="center"/>
    </xf>
    <xf numFmtId="0" fontId="28" fillId="6" borderId="59" xfId="4" applyFont="1" applyFill="1" applyBorder="1" applyAlignment="1">
      <alignment horizontal="center"/>
    </xf>
    <xf numFmtId="0" fontId="28" fillId="6" borderId="39" xfId="4" applyFont="1" applyFill="1" applyBorder="1" applyAlignment="1">
      <alignment horizontal="center"/>
    </xf>
    <xf numFmtId="49" fontId="4" fillId="2" borderId="4" xfId="1" applyNumberFormat="1" applyFont="1" applyFill="1" applyBorder="1" applyAlignment="1">
      <alignment horizontal="center"/>
    </xf>
    <xf numFmtId="0" fontId="5" fillId="0" borderId="5" xfId="1" applyFont="1" applyBorder="1"/>
    <xf numFmtId="0" fontId="5" fillId="0" borderId="6" xfId="1" applyFont="1" applyBorder="1"/>
    <xf numFmtId="49" fontId="4" fillId="2" borderId="4" xfId="1" applyNumberFormat="1" applyFont="1" applyFill="1" applyBorder="1" applyAlignment="1">
      <alignment horizontal="center" vertical="center"/>
    </xf>
    <xf numFmtId="166" fontId="4" fillId="2" borderId="5" xfId="2" applyNumberFormat="1" applyFont="1" applyFill="1" applyBorder="1" applyAlignment="1">
      <alignment horizontal="center"/>
    </xf>
    <xf numFmtId="166" fontId="5" fillId="0" borderId="7" xfId="2" applyNumberFormat="1" applyFont="1" applyBorder="1" applyAlignment="1">
      <alignment horizontal="center"/>
    </xf>
    <xf numFmtId="49" fontId="3" fillId="2" borderId="10" xfId="1" applyNumberFormat="1" applyFont="1" applyFill="1" applyBorder="1" applyAlignment="1">
      <alignment horizontal="center"/>
    </xf>
    <xf numFmtId="0" fontId="5" fillId="0" borderId="11" xfId="1" applyFont="1" applyBorder="1"/>
    <xf numFmtId="0" fontId="5" fillId="0" borderId="12" xfId="1" applyFont="1" applyBorder="1"/>
  </cellXfs>
  <cellStyles count="11">
    <cellStyle name="Обычный" xfId="0" builtinId="0"/>
    <cellStyle name="Обычный 2" xfId="1" xr:uid="{FCB4670C-911A-430C-A220-6B2E31FFF5FF}"/>
    <cellStyle name="Обычный 2 2" xfId="6" xr:uid="{E74F0B8C-D605-4880-B3A3-CA4F809D7149}"/>
    <cellStyle name="Обычный 3" xfId="3" xr:uid="{F508681D-A2DF-4F2D-AAE6-4BA5059F2BC7}"/>
    <cellStyle name="Обычный 4" xfId="4" xr:uid="{58332508-772A-45F7-BB82-4568E1000A0B}"/>
    <cellStyle name="Обычный 5" xfId="5" xr:uid="{F6F157B1-61A9-49B7-9F82-C27A43DEEA84}"/>
    <cellStyle name="Обычный 6" xfId="10" xr:uid="{617EF3B1-384C-4BA7-986E-8CE163F0DF41}"/>
    <cellStyle name="Процентный 2" xfId="8" xr:uid="{0E2951F8-8444-46D2-91FD-C4BEEAEF0409}"/>
    <cellStyle name="Финансовый 2" xfId="2" xr:uid="{93D44A74-9C46-4E73-BA29-3D4884B92BB7}"/>
    <cellStyle name="Финансовый 2 2" xfId="9" xr:uid="{1A3814D2-33DA-4386-82EA-4D6CC9AE6B6E}"/>
    <cellStyle name="Финансовый 3" xfId="7" xr:uid="{7D397BBB-33C7-47D3-8B24-8040D2ADCC15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81d83e80c3652463/&#1056;&#1072;&#1073;&#1086;&#1095;&#1080;&#1081;%20&#1089;&#1090;&#1086;&#1083;/&#1056;&#1077;&#1081;&#1090;&#1080;&#1085;&#1075;%20&#1089;%20&#1074;&#1077;&#1089;&#1072;&#1084;&#1080;/Exam_3April2021_results_version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INFO_ICEF/03.%20&#1057;&#1090;&#1091;&#1076;&#1077;&#1085;&#1090;&#1099;/3.2%20&#1041;&#1072;&#1082;&#1072;&#1083;&#1072;&#1074;&#1088;&#1080;&#1072;&#1090;/&#1056;&#1077;&#1079;&#1091;&#1083;&#1100;&#1090;&#1072;&#1090;&#1099;%20&#1101;&#1082;&#1079;&#1072;&#1084;&#1077;&#1085;&#1086;&#1074;/&#1056;&#1077;&#1081;&#1090;&#1080;&#1085;&#1075;/Year_16_17/1.%20October/1%20&#1082;&#1091;&#1088;&#1089;/&#1055;&#1088;&#1086;&#1075;-Midterm-result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81d83e80c3652463/&#1056;&#1072;&#1073;&#1086;&#1095;&#1080;&#1081;%20&#1089;&#1090;&#1086;&#1083;/&#1056;&#1077;&#1081;&#1090;&#1080;&#1085;&#1075;%20&#1089;%20&#1074;&#1077;&#1089;&#1072;&#1084;&#1080;/&#1080;&#1079;%20&#1080;&#1085;&#1092;&#1086;&#1088;&#1084;&#1082;&#1080;/PaDP%20grades%202020_202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81d83e80c3652463/&#1056;&#1072;&#1073;&#1086;&#1095;&#1080;&#1081;%20&#1089;&#1090;&#1086;&#1083;/&#1080;&#1079;%20&#1080;&#1085;&#1092;&#1086;&#1088;&#1084;&#1082;&#1080;/PaDP%20grades%202020_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Резы непосредственно"/>
      <sheetName val="Table 2"/>
      <sheetName val="расчет рейтинга"/>
    </sheetNames>
    <sheetDataSet>
      <sheetData sheetId="0" refreshError="1"/>
      <sheetData sheetId="1"/>
      <sheetData sheetId="2" refreshError="1"/>
      <sheetData sheetId="3">
        <row r="2">
          <cell r="A2" t="str">
            <v>Position in rating</v>
          </cell>
          <cell r="B2" t="str">
            <v>Position ВСОШ</v>
          </cell>
          <cell r="C2" t="str">
            <v>Персентиль</v>
          </cell>
          <cell r="D2" t="str">
            <v>Student ID</v>
          </cell>
          <cell r="E2" t="str">
            <v>Name_Rus</v>
          </cell>
          <cell r="F2" t="str">
            <v>Academic group</v>
          </cell>
          <cell r="G2" t="str">
            <v>English group</v>
          </cell>
          <cell r="H2" t="str">
            <v xml:space="preserve">Introduction to Microeconomics </v>
          </cell>
          <cell r="K2" t="str">
            <v>Calculus</v>
          </cell>
          <cell r="N2" t="str">
            <v xml:space="preserve">Statistics </v>
          </cell>
          <cell r="Q2" t="str">
            <v xml:space="preserve">Information Computer Systems
</v>
          </cell>
          <cell r="T2" t="str">
            <v>Programming and Data Processing</v>
          </cell>
          <cell r="W2" t="str">
            <v xml:space="preserve">Programming and Data Bases </v>
          </cell>
          <cell r="Z2" t="str">
            <v xml:space="preserve">English </v>
          </cell>
          <cell r="AA2" t="str">
            <v xml:space="preserve">History of Western Philosophy </v>
          </cell>
          <cell r="AB2" t="str">
            <v xml:space="preserve">World Intellectual History </v>
          </cell>
          <cell r="AC2" t="str">
            <v>Coef.</v>
          </cell>
          <cell r="AD2" t="str">
            <v>RATING</v>
          </cell>
        </row>
        <row r="3">
          <cell r="H3" t="str">
            <v>out of 100</v>
          </cell>
          <cell r="I3" t="str">
            <v>out of 10</v>
          </cell>
          <cell r="J3" t="str">
            <v>out of 5</v>
          </cell>
          <cell r="K3" t="str">
            <v>out of 100</v>
          </cell>
          <cell r="L3" t="str">
            <v>out of 10</v>
          </cell>
          <cell r="M3" t="str">
            <v>out of 5</v>
          </cell>
          <cell r="N3" t="str">
            <v>out of 100</v>
          </cell>
          <cell r="O3" t="str">
            <v>out of 10</v>
          </cell>
          <cell r="P3" t="str">
            <v>out of 5</v>
          </cell>
          <cell r="Q3" t="str">
            <v>out of 100</v>
          </cell>
          <cell r="R3" t="str">
            <v>out of 10</v>
          </cell>
          <cell r="S3" t="str">
            <v>out of 5</v>
          </cell>
          <cell r="T3" t="str">
            <v>out of 100</v>
          </cell>
          <cell r="U3" t="str">
            <v>out of 10</v>
          </cell>
          <cell r="V3" t="str">
            <v>out of 5</v>
          </cell>
          <cell r="W3" t="str">
            <v>out of 100</v>
          </cell>
          <cell r="X3" t="str">
            <v>out of 10</v>
          </cell>
          <cell r="Y3" t="str">
            <v>out of 5</v>
          </cell>
          <cell r="Z3" t="str">
            <v>out of 100</v>
          </cell>
          <cell r="AA3" t="str">
            <v>out of 100</v>
          </cell>
          <cell r="AB3" t="str">
            <v>out of 100</v>
          </cell>
        </row>
        <row r="4">
          <cell r="A4">
            <v>1</v>
          </cell>
          <cell r="B4" t="str">
            <v>нет</v>
          </cell>
          <cell r="C4">
            <v>3.3557046979865771E-3</v>
          </cell>
          <cell r="D4" t="str">
            <v>М201БМИЭФ046</v>
          </cell>
          <cell r="E4" t="str">
            <v>Бахмутский Андрей Юрьевич</v>
          </cell>
          <cell r="F4">
            <v>1</v>
          </cell>
          <cell r="G4">
            <v>2</v>
          </cell>
          <cell r="H4">
            <v>90.317179487179487</v>
          </cell>
          <cell r="I4">
            <v>10</v>
          </cell>
          <cell r="J4">
            <v>5</v>
          </cell>
          <cell r="K4">
            <v>89.334283477633477</v>
          </cell>
          <cell r="L4">
            <v>10</v>
          </cell>
          <cell r="M4">
            <v>5</v>
          </cell>
          <cell r="N4">
            <v>94.895166666666654</v>
          </cell>
          <cell r="O4">
            <v>10</v>
          </cell>
          <cell r="P4">
            <v>5</v>
          </cell>
          <cell r="W4">
            <v>89.4</v>
          </cell>
          <cell r="X4">
            <v>10</v>
          </cell>
          <cell r="Y4">
            <v>5</v>
          </cell>
          <cell r="Z4">
            <v>71</v>
          </cell>
          <cell r="AA4">
            <v>94.666666666666657</v>
          </cell>
          <cell r="AC4">
            <v>5.5</v>
          </cell>
          <cell r="AD4">
            <v>88.166053872390236</v>
          </cell>
          <cell r="AE4" t="str">
            <v>М201БМИЭФ046</v>
          </cell>
        </row>
        <row r="5">
          <cell r="A5">
            <v>2</v>
          </cell>
          <cell r="B5" t="str">
            <v>нет</v>
          </cell>
          <cell r="C5">
            <v>6.7114093959731542E-3</v>
          </cell>
          <cell r="D5" t="str">
            <v>М201БМИЭФ262</v>
          </cell>
          <cell r="E5" t="str">
            <v>Чистякова Екатерина Юрьевна</v>
          </cell>
          <cell r="F5">
            <v>2</v>
          </cell>
          <cell r="G5">
            <v>1</v>
          </cell>
          <cell r="H5">
            <v>92.427390109890112</v>
          </cell>
          <cell r="I5">
            <v>10</v>
          </cell>
          <cell r="J5">
            <v>5</v>
          </cell>
          <cell r="K5">
            <v>84.077699855699834</v>
          </cell>
          <cell r="L5">
            <v>9</v>
          </cell>
          <cell r="M5">
            <v>5</v>
          </cell>
          <cell r="N5">
            <v>94.133333333333354</v>
          </cell>
          <cell r="O5">
            <v>10</v>
          </cell>
          <cell r="P5">
            <v>5</v>
          </cell>
          <cell r="Q5">
            <v>92</v>
          </cell>
          <cell r="R5">
            <v>10</v>
          </cell>
          <cell r="S5">
            <v>5</v>
          </cell>
          <cell r="Z5">
            <v>80.666666666666657</v>
          </cell>
          <cell r="AA5">
            <v>83</v>
          </cell>
          <cell r="AC5">
            <v>5.5</v>
          </cell>
          <cell r="AD5">
            <v>87.328198175561795</v>
          </cell>
          <cell r="AE5" t="str">
            <v>М201БМИЭФ262</v>
          </cell>
        </row>
        <row r="6">
          <cell r="A6">
            <v>3</v>
          </cell>
          <cell r="B6" t="str">
            <v>нет</v>
          </cell>
          <cell r="C6">
            <v>1.0067114093959731E-2</v>
          </cell>
          <cell r="D6" t="str">
            <v>М201БМИЭФ219</v>
          </cell>
          <cell r="E6" t="str">
            <v>Сердюк Даниил Игоревич</v>
          </cell>
          <cell r="F6">
            <v>3</v>
          </cell>
          <cell r="G6">
            <v>4</v>
          </cell>
          <cell r="H6">
            <v>83.808269230769241</v>
          </cell>
          <cell r="I6">
            <v>10</v>
          </cell>
          <cell r="J6">
            <v>5</v>
          </cell>
          <cell r="K6">
            <v>97.702045837904123</v>
          </cell>
          <cell r="L6">
            <v>10</v>
          </cell>
          <cell r="M6">
            <v>5</v>
          </cell>
          <cell r="N6">
            <v>89.677777777777806</v>
          </cell>
          <cell r="O6">
            <v>9</v>
          </cell>
          <cell r="P6">
            <v>5</v>
          </cell>
          <cell r="W6">
            <v>70.5</v>
          </cell>
          <cell r="X6">
            <v>9</v>
          </cell>
          <cell r="Y6">
            <v>5</v>
          </cell>
          <cell r="Z6">
            <v>76.703703703703709</v>
          </cell>
          <cell r="AA6">
            <v>83.333333333333343</v>
          </cell>
          <cell r="AC6">
            <v>5.5</v>
          </cell>
          <cell r="AD6">
            <v>84.813659978816034</v>
          </cell>
          <cell r="AE6" t="str">
            <v>М201БМИЭФ219</v>
          </cell>
        </row>
        <row r="7">
          <cell r="A7">
            <v>4</v>
          </cell>
          <cell r="B7">
            <v>1</v>
          </cell>
          <cell r="C7">
            <v>1.3422818791946308E-2</v>
          </cell>
          <cell r="D7" t="str">
            <v>М201БМИЭФ038</v>
          </cell>
          <cell r="E7" t="str">
            <v>Атовмян Полина Игоревна</v>
          </cell>
          <cell r="F7">
            <v>3</v>
          </cell>
          <cell r="G7">
            <v>4</v>
          </cell>
          <cell r="H7">
            <v>77.282564102564095</v>
          </cell>
          <cell r="I7">
            <v>9</v>
          </cell>
          <cell r="J7">
            <v>5</v>
          </cell>
          <cell r="K7">
            <v>87.001813463557326</v>
          </cell>
          <cell r="L7">
            <v>10</v>
          </cell>
          <cell r="M7">
            <v>5</v>
          </cell>
          <cell r="N7">
            <v>91.416666666666657</v>
          </cell>
          <cell r="O7">
            <v>10</v>
          </cell>
          <cell r="P7">
            <v>5</v>
          </cell>
          <cell r="Q7">
            <v>97</v>
          </cell>
          <cell r="R7">
            <v>10</v>
          </cell>
          <cell r="S7">
            <v>5</v>
          </cell>
          <cell r="Z7">
            <v>82.888888888888886</v>
          </cell>
          <cell r="AB7">
            <v>76.2</v>
          </cell>
          <cell r="AC7">
            <v>5.5</v>
          </cell>
          <cell r="AD7">
            <v>84.234533294850351</v>
          </cell>
          <cell r="AE7" t="str">
            <v>М201БМИЭФ038</v>
          </cell>
        </row>
        <row r="8">
          <cell r="A8">
            <v>5</v>
          </cell>
          <cell r="B8">
            <v>2</v>
          </cell>
          <cell r="C8">
            <v>1.6778523489932886E-2</v>
          </cell>
          <cell r="D8" t="str">
            <v>М201БМИЭФ062</v>
          </cell>
          <cell r="E8" t="str">
            <v>Венгеров Кирилл Игоревич</v>
          </cell>
          <cell r="F8">
            <v>1</v>
          </cell>
          <cell r="G8">
            <v>1</v>
          </cell>
          <cell r="H8">
            <v>77.01711538461538</v>
          </cell>
          <cell r="I8">
            <v>9</v>
          </cell>
          <cell r="J8">
            <v>5</v>
          </cell>
          <cell r="K8">
            <v>65.547420562770569</v>
          </cell>
          <cell r="L8">
            <v>8</v>
          </cell>
          <cell r="M8">
            <v>5</v>
          </cell>
          <cell r="N8">
            <v>83.969722222222245</v>
          </cell>
          <cell r="O8">
            <v>9</v>
          </cell>
          <cell r="P8">
            <v>5</v>
          </cell>
          <cell r="W8">
            <v>93.100000000000009</v>
          </cell>
          <cell r="X8">
            <v>10</v>
          </cell>
          <cell r="Y8">
            <v>5</v>
          </cell>
          <cell r="Z8">
            <v>80.629629629629633</v>
          </cell>
          <cell r="AB8">
            <v>84</v>
          </cell>
          <cell r="AC8">
            <v>5.5</v>
          </cell>
          <cell r="AD8">
            <v>79.584343236225052</v>
          </cell>
          <cell r="AE8" t="str">
            <v>М201БМИЭФ062</v>
          </cell>
        </row>
        <row r="9">
          <cell r="A9">
            <v>6</v>
          </cell>
          <cell r="B9">
            <v>3</v>
          </cell>
          <cell r="C9">
            <v>2.0134228187919462E-2</v>
          </cell>
          <cell r="D9" t="str">
            <v>М201БМИЭФ147</v>
          </cell>
          <cell r="E9" t="str">
            <v>Кучев Виктор Николаевич</v>
          </cell>
          <cell r="F9">
            <v>3</v>
          </cell>
          <cell r="G9">
            <v>4</v>
          </cell>
          <cell r="H9">
            <v>77.185128205128208</v>
          </cell>
          <cell r="I9">
            <v>9</v>
          </cell>
          <cell r="J9">
            <v>5</v>
          </cell>
          <cell r="K9">
            <v>73.399122762266501</v>
          </cell>
          <cell r="L9">
            <v>8</v>
          </cell>
          <cell r="M9">
            <v>5</v>
          </cell>
          <cell r="N9">
            <v>84.283333333333346</v>
          </cell>
          <cell r="O9">
            <v>9</v>
          </cell>
          <cell r="P9">
            <v>5</v>
          </cell>
          <cell r="W9">
            <v>68.400000000000006</v>
          </cell>
          <cell r="X9">
            <v>8</v>
          </cell>
          <cell r="Y9">
            <v>5</v>
          </cell>
          <cell r="Z9">
            <v>77.370370370370367</v>
          </cell>
          <cell r="AB9">
            <v>88</v>
          </cell>
          <cell r="AC9">
            <v>5.5</v>
          </cell>
          <cell r="AD9">
            <v>78.988719031108815</v>
          </cell>
          <cell r="AE9" t="str">
            <v>М201БМИЭФ147</v>
          </cell>
        </row>
        <row r="10">
          <cell r="A10">
            <v>7</v>
          </cell>
          <cell r="B10">
            <v>4</v>
          </cell>
          <cell r="C10">
            <v>2.3489932885906041E-2</v>
          </cell>
          <cell r="D10" t="str">
            <v>М201БМИЭФ215</v>
          </cell>
          <cell r="E10" t="str">
            <v>Салямова София Эдуардовна</v>
          </cell>
          <cell r="F10">
            <v>1</v>
          </cell>
          <cell r="G10">
            <v>2</v>
          </cell>
          <cell r="H10">
            <v>77.277500000000003</v>
          </cell>
          <cell r="I10">
            <v>9</v>
          </cell>
          <cell r="J10">
            <v>5</v>
          </cell>
          <cell r="K10">
            <v>75.021580735930741</v>
          </cell>
          <cell r="L10">
            <v>9</v>
          </cell>
          <cell r="M10">
            <v>5</v>
          </cell>
          <cell r="N10">
            <v>85.103722222222189</v>
          </cell>
          <cell r="O10">
            <v>9</v>
          </cell>
          <cell r="P10">
            <v>5</v>
          </cell>
          <cell r="Q10">
            <v>93</v>
          </cell>
          <cell r="R10">
            <v>10</v>
          </cell>
          <cell r="S10">
            <v>5</v>
          </cell>
          <cell r="Z10">
            <v>67.888888888888886</v>
          </cell>
          <cell r="AB10">
            <v>73</v>
          </cell>
          <cell r="AC10">
            <v>5.5</v>
          </cell>
          <cell r="AD10">
            <v>77.234853063098527</v>
          </cell>
          <cell r="AE10" t="str">
            <v>М201БМИЭФ215</v>
          </cell>
        </row>
        <row r="11">
          <cell r="A11">
            <v>8</v>
          </cell>
          <cell r="B11">
            <v>5</v>
          </cell>
          <cell r="C11">
            <v>2.6845637583892617E-2</v>
          </cell>
          <cell r="D11" t="str">
            <v>М201БМИЭФ195</v>
          </cell>
          <cell r="E11" t="str">
            <v>Пасихов Никита Денисович</v>
          </cell>
          <cell r="F11">
            <v>3</v>
          </cell>
          <cell r="G11">
            <v>4</v>
          </cell>
          <cell r="H11">
            <v>79.075448717948717</v>
          </cell>
          <cell r="I11">
            <v>9</v>
          </cell>
          <cell r="J11">
            <v>5</v>
          </cell>
          <cell r="K11">
            <v>80.795320836822896</v>
          </cell>
          <cell r="L11">
            <v>9</v>
          </cell>
          <cell r="M11">
            <v>5</v>
          </cell>
          <cell r="N11">
            <v>83.816666666666649</v>
          </cell>
          <cell r="O11">
            <v>9</v>
          </cell>
          <cell r="P11">
            <v>5</v>
          </cell>
          <cell r="Q11">
            <v>98</v>
          </cell>
          <cell r="R11">
            <v>10</v>
          </cell>
          <cell r="S11">
            <v>5</v>
          </cell>
          <cell r="Z11">
            <v>71.074074074074076</v>
          </cell>
          <cell r="AB11">
            <v>61</v>
          </cell>
          <cell r="AC11">
            <v>5.5</v>
          </cell>
          <cell r="AD11">
            <v>77.229365508274967</v>
          </cell>
          <cell r="AE11" t="str">
            <v>М201БМИЭФ195</v>
          </cell>
        </row>
        <row r="12">
          <cell r="A12">
            <v>9</v>
          </cell>
          <cell r="B12">
            <v>6</v>
          </cell>
          <cell r="C12">
            <v>3.0201342281879196E-2</v>
          </cell>
          <cell r="D12" t="str">
            <v>М201БМИЭФ067</v>
          </cell>
          <cell r="E12" t="str">
            <v>Власюк Дмитрий Святославович</v>
          </cell>
          <cell r="F12">
            <v>1</v>
          </cell>
          <cell r="G12">
            <v>1</v>
          </cell>
          <cell r="H12">
            <v>63.852179487179484</v>
          </cell>
          <cell r="I12">
            <v>7</v>
          </cell>
          <cell r="J12">
            <v>4</v>
          </cell>
          <cell r="K12">
            <v>71.446427633477626</v>
          </cell>
          <cell r="L12">
            <v>8</v>
          </cell>
          <cell r="M12">
            <v>5</v>
          </cell>
          <cell r="N12">
            <v>82.907666666666643</v>
          </cell>
          <cell r="O12">
            <v>9</v>
          </cell>
          <cell r="P12">
            <v>5</v>
          </cell>
          <cell r="Q12">
            <v>82</v>
          </cell>
          <cell r="R12">
            <v>9</v>
          </cell>
          <cell r="S12">
            <v>5</v>
          </cell>
          <cell r="Z12">
            <v>74.370370370370367</v>
          </cell>
          <cell r="AA12">
            <v>89.333333333333343</v>
          </cell>
          <cell r="AC12">
            <v>5.5</v>
          </cell>
          <cell r="AD12">
            <v>76.892723180186806</v>
          </cell>
          <cell r="AE12" t="str">
            <v>М201БМИЭФ067</v>
          </cell>
        </row>
        <row r="13">
          <cell r="A13">
            <v>10</v>
          </cell>
          <cell r="B13">
            <v>7</v>
          </cell>
          <cell r="C13">
            <v>3.3557046979865772E-2</v>
          </cell>
          <cell r="D13" t="str">
            <v>М201БМИЭФ044</v>
          </cell>
          <cell r="E13" t="str">
            <v>Багдасарова Мария Артемовна</v>
          </cell>
          <cell r="F13">
            <v>3</v>
          </cell>
          <cell r="G13">
            <v>4</v>
          </cell>
          <cell r="H13">
            <v>78.536602564102566</v>
          </cell>
          <cell r="I13">
            <v>9</v>
          </cell>
          <cell r="J13">
            <v>5</v>
          </cell>
          <cell r="K13">
            <v>68.21094493494698</v>
          </cell>
          <cell r="L13">
            <v>8</v>
          </cell>
          <cell r="M13">
            <v>5</v>
          </cell>
          <cell r="N13">
            <v>77.461111111111137</v>
          </cell>
          <cell r="O13">
            <v>8</v>
          </cell>
          <cell r="P13">
            <v>5</v>
          </cell>
          <cell r="Q13">
            <v>90</v>
          </cell>
          <cell r="R13">
            <v>10</v>
          </cell>
          <cell r="S13">
            <v>5</v>
          </cell>
          <cell r="Z13">
            <v>74.592592592592595</v>
          </cell>
          <cell r="AB13">
            <v>75.5</v>
          </cell>
          <cell r="AC13">
            <v>5.5</v>
          </cell>
          <cell r="AD13">
            <v>76.236591127773323</v>
          </cell>
          <cell r="AE13" t="str">
            <v>М201БМИЭФ044</v>
          </cell>
        </row>
        <row r="14">
          <cell r="A14">
            <v>11</v>
          </cell>
          <cell r="B14">
            <v>8</v>
          </cell>
          <cell r="C14">
            <v>3.6912751677852351E-2</v>
          </cell>
          <cell r="D14" t="str">
            <v>М201БМИЭФ204</v>
          </cell>
          <cell r="E14" t="str">
            <v>Распутина Софья Александровна</v>
          </cell>
          <cell r="F14">
            <v>3</v>
          </cell>
          <cell r="G14">
            <v>4</v>
          </cell>
          <cell r="H14">
            <v>83.172499999999985</v>
          </cell>
          <cell r="I14">
            <v>10</v>
          </cell>
          <cell r="J14">
            <v>5</v>
          </cell>
          <cell r="K14">
            <v>54.685703925199832</v>
          </cell>
          <cell r="L14">
            <v>6</v>
          </cell>
          <cell r="M14">
            <v>4</v>
          </cell>
          <cell r="N14">
            <v>75.055555555555543</v>
          </cell>
          <cell r="O14">
            <v>8</v>
          </cell>
          <cell r="P14">
            <v>5</v>
          </cell>
          <cell r="Q14">
            <v>85</v>
          </cell>
          <cell r="R14">
            <v>9</v>
          </cell>
          <cell r="S14">
            <v>5</v>
          </cell>
          <cell r="Z14">
            <v>76.740740740740733</v>
          </cell>
          <cell r="AA14">
            <v>86.666666666666657</v>
          </cell>
          <cell r="AC14">
            <v>5.5</v>
          </cell>
          <cell r="AD14">
            <v>76.14930307057503</v>
          </cell>
          <cell r="AE14" t="str">
            <v>М201БМИЭФ204</v>
          </cell>
        </row>
        <row r="15">
          <cell r="A15">
            <v>12</v>
          </cell>
          <cell r="B15">
            <v>9</v>
          </cell>
          <cell r="C15">
            <v>4.0268456375838924E-2</v>
          </cell>
          <cell r="D15" t="str">
            <v>М201БМИЭФ059</v>
          </cell>
          <cell r="E15" t="str">
            <v>Бутакова Ксения Михайловна</v>
          </cell>
          <cell r="F15">
            <v>1</v>
          </cell>
          <cell r="G15">
            <v>1</v>
          </cell>
          <cell r="H15">
            <v>77.788782051282055</v>
          </cell>
          <cell r="I15">
            <v>9</v>
          </cell>
          <cell r="J15">
            <v>5</v>
          </cell>
          <cell r="K15">
            <v>60.792241269841263</v>
          </cell>
          <cell r="L15">
            <v>7</v>
          </cell>
          <cell r="M15">
            <v>4</v>
          </cell>
          <cell r="N15">
            <v>81.968277777777786</v>
          </cell>
          <cell r="O15">
            <v>9</v>
          </cell>
          <cell r="P15">
            <v>5</v>
          </cell>
          <cell r="Q15">
            <v>73</v>
          </cell>
          <cell r="R15">
            <v>8</v>
          </cell>
          <cell r="S15">
            <v>5</v>
          </cell>
          <cell r="Z15">
            <v>72.518518518518505</v>
          </cell>
          <cell r="AB15">
            <v>86</v>
          </cell>
          <cell r="AC15">
            <v>5.5</v>
          </cell>
          <cell r="AD15">
            <v>75.55778538498538</v>
          </cell>
          <cell r="AE15" t="str">
            <v>М201БМИЭФ059</v>
          </cell>
        </row>
        <row r="16">
          <cell r="A16">
            <v>13</v>
          </cell>
          <cell r="B16">
            <v>10</v>
          </cell>
          <cell r="C16">
            <v>4.3624161073825503E-2</v>
          </cell>
          <cell r="D16" t="str">
            <v>М201БМИЭФ070</v>
          </cell>
          <cell r="E16" t="str">
            <v>Воронов Валерий Алексеевич</v>
          </cell>
          <cell r="F16">
            <v>7</v>
          </cell>
          <cell r="G16">
            <v>10</v>
          </cell>
          <cell r="H16">
            <v>84.677307692307693</v>
          </cell>
          <cell r="I16">
            <v>10</v>
          </cell>
          <cell r="J16">
            <v>5</v>
          </cell>
          <cell r="K16">
            <v>67.156375541125556</v>
          </cell>
          <cell r="L16">
            <v>8</v>
          </cell>
          <cell r="M16">
            <v>5</v>
          </cell>
          <cell r="N16">
            <v>78.872222222222206</v>
          </cell>
          <cell r="O16">
            <v>8</v>
          </cell>
          <cell r="P16">
            <v>5</v>
          </cell>
          <cell r="T16">
            <v>93</v>
          </cell>
          <cell r="U16">
            <v>10</v>
          </cell>
          <cell r="V16">
            <v>5</v>
          </cell>
          <cell r="Z16">
            <v>70.518518518518505</v>
          </cell>
          <cell r="AB16">
            <v>63</v>
          </cell>
          <cell r="AC16">
            <v>5.5</v>
          </cell>
          <cell r="AD16">
            <v>74.677167995304359</v>
          </cell>
          <cell r="AE16" t="str">
            <v>М201БМИЭФ070</v>
          </cell>
        </row>
        <row r="17">
          <cell r="A17">
            <v>14</v>
          </cell>
          <cell r="B17">
            <v>11</v>
          </cell>
          <cell r="C17">
            <v>4.6979865771812082E-2</v>
          </cell>
          <cell r="D17" t="str">
            <v>М201БМИЭФ271</v>
          </cell>
          <cell r="E17" t="str">
            <v>Швидко Мария Александровна</v>
          </cell>
          <cell r="F17">
            <v>3</v>
          </cell>
          <cell r="G17">
            <v>4</v>
          </cell>
          <cell r="H17">
            <v>66.827307692307699</v>
          </cell>
          <cell r="I17">
            <v>8</v>
          </cell>
          <cell r="J17">
            <v>5</v>
          </cell>
          <cell r="K17">
            <v>76.858296953576229</v>
          </cell>
          <cell r="L17">
            <v>9</v>
          </cell>
          <cell r="M17">
            <v>5</v>
          </cell>
          <cell r="N17">
            <v>74.011111111111148</v>
          </cell>
          <cell r="O17">
            <v>8</v>
          </cell>
          <cell r="P17">
            <v>5</v>
          </cell>
          <cell r="Q17">
            <v>72</v>
          </cell>
          <cell r="R17">
            <v>8</v>
          </cell>
          <cell r="S17">
            <v>5</v>
          </cell>
          <cell r="Z17">
            <v>80.296296296296291</v>
          </cell>
          <cell r="AB17">
            <v>76</v>
          </cell>
          <cell r="AC17">
            <v>5.5</v>
          </cell>
          <cell r="AD17">
            <v>74.544184009689332</v>
          </cell>
          <cell r="AE17" t="str">
            <v>М201БМИЭФ271</v>
          </cell>
        </row>
        <row r="18">
          <cell r="A18">
            <v>15</v>
          </cell>
          <cell r="B18" t="str">
            <v>нет</v>
          </cell>
          <cell r="C18">
            <v>5.0335570469798654E-2</v>
          </cell>
          <cell r="D18" t="str">
            <v>М201БМИЭФ060</v>
          </cell>
          <cell r="E18" t="str">
            <v>Бушева Полина Олеговна</v>
          </cell>
          <cell r="F18">
            <v>3</v>
          </cell>
          <cell r="G18">
            <v>4</v>
          </cell>
          <cell r="H18">
            <v>72.763205128205129</v>
          </cell>
          <cell r="I18">
            <v>9</v>
          </cell>
          <cell r="J18">
            <v>5</v>
          </cell>
          <cell r="K18">
            <v>76.269051649228771</v>
          </cell>
          <cell r="L18">
            <v>9</v>
          </cell>
          <cell r="M18">
            <v>5</v>
          </cell>
          <cell r="N18">
            <v>89.377777777777794</v>
          </cell>
          <cell r="O18">
            <v>9</v>
          </cell>
          <cell r="P18">
            <v>5</v>
          </cell>
          <cell r="W18">
            <v>76</v>
          </cell>
          <cell r="X18">
            <v>8</v>
          </cell>
          <cell r="Y18">
            <v>5</v>
          </cell>
          <cell r="Z18">
            <v>58.888888888888886</v>
          </cell>
          <cell r="AB18">
            <v>74</v>
          </cell>
          <cell r="AC18">
            <v>5.5</v>
          </cell>
          <cell r="AD18">
            <v>74.417986080745564</v>
          </cell>
          <cell r="AE18" t="str">
            <v>М201БМИЭФ060</v>
          </cell>
        </row>
        <row r="19">
          <cell r="A19">
            <v>16</v>
          </cell>
          <cell r="B19">
            <v>12</v>
          </cell>
          <cell r="C19">
            <v>5.3691275167785234E-2</v>
          </cell>
          <cell r="D19" t="str">
            <v>М201БМИЭФ027</v>
          </cell>
          <cell r="E19" t="str">
            <v>Азаренко Артем Александрович</v>
          </cell>
          <cell r="F19">
            <v>5</v>
          </cell>
          <cell r="G19">
            <v>7</v>
          </cell>
          <cell r="H19">
            <v>69.794038461538463</v>
          </cell>
          <cell r="I19">
            <v>8</v>
          </cell>
          <cell r="J19">
            <v>5</v>
          </cell>
          <cell r="K19">
            <v>61.076932718350697</v>
          </cell>
          <cell r="L19">
            <v>7</v>
          </cell>
          <cell r="M19">
            <v>4</v>
          </cell>
          <cell r="N19">
            <v>84.915111111111088</v>
          </cell>
          <cell r="O19">
            <v>9</v>
          </cell>
          <cell r="P19">
            <v>5</v>
          </cell>
          <cell r="Q19">
            <v>90</v>
          </cell>
          <cell r="R19">
            <v>10</v>
          </cell>
          <cell r="S19">
            <v>5</v>
          </cell>
          <cell r="Z19">
            <v>71.666666666666657</v>
          </cell>
          <cell r="AB19">
            <v>74.5</v>
          </cell>
          <cell r="AC19">
            <v>5.5</v>
          </cell>
          <cell r="AD19">
            <v>73.991408901393982</v>
          </cell>
          <cell r="AE19" t="str">
            <v>М201БМИЭФ027</v>
          </cell>
        </row>
        <row r="20">
          <cell r="A20">
            <v>17</v>
          </cell>
          <cell r="B20">
            <v>13</v>
          </cell>
          <cell r="C20">
            <v>5.7046979865771813E-2</v>
          </cell>
          <cell r="D20" t="str">
            <v>М201БМИЭФ100</v>
          </cell>
          <cell r="E20" t="str">
            <v>Жук Марина Юрьевна</v>
          </cell>
          <cell r="F20">
            <v>1</v>
          </cell>
          <cell r="G20">
            <v>3</v>
          </cell>
          <cell r="H20">
            <v>79.992435897435897</v>
          </cell>
          <cell r="I20">
            <v>9</v>
          </cell>
          <cell r="J20">
            <v>5</v>
          </cell>
          <cell r="K20">
            <v>86.050213275613274</v>
          </cell>
          <cell r="L20">
            <v>10</v>
          </cell>
          <cell r="M20">
            <v>5</v>
          </cell>
          <cell r="N20">
            <v>86.051333333333332</v>
          </cell>
          <cell r="O20">
            <v>9</v>
          </cell>
          <cell r="P20">
            <v>5</v>
          </cell>
          <cell r="T20">
            <v>88</v>
          </cell>
          <cell r="U20">
            <v>9</v>
          </cell>
          <cell r="V20">
            <v>5</v>
          </cell>
          <cell r="Z20">
            <v>57.777777777777779</v>
          </cell>
          <cell r="AB20">
            <v>53</v>
          </cell>
          <cell r="AC20">
            <v>5.5</v>
          </cell>
          <cell r="AD20">
            <v>73.976683688029141</v>
          </cell>
          <cell r="AE20" t="str">
            <v>М201БМИЭФ100</v>
          </cell>
        </row>
        <row r="21">
          <cell r="A21">
            <v>18</v>
          </cell>
          <cell r="B21">
            <v>14</v>
          </cell>
          <cell r="C21">
            <v>6.0402684563758392E-2</v>
          </cell>
          <cell r="D21" t="str">
            <v>М201БМИЭФ226</v>
          </cell>
          <cell r="E21" t="str">
            <v>Стародубов Егор Алексеевич</v>
          </cell>
          <cell r="F21">
            <v>5</v>
          </cell>
          <cell r="G21">
            <v>7</v>
          </cell>
          <cell r="H21">
            <v>76.464166666666671</v>
          </cell>
          <cell r="I21">
            <v>9</v>
          </cell>
          <cell r="J21">
            <v>5</v>
          </cell>
          <cell r="K21">
            <v>51.537318684820256</v>
          </cell>
          <cell r="L21">
            <v>6</v>
          </cell>
          <cell r="M21">
            <v>4</v>
          </cell>
          <cell r="N21">
            <v>76.782833333333343</v>
          </cell>
          <cell r="O21">
            <v>8</v>
          </cell>
          <cell r="P21">
            <v>5</v>
          </cell>
          <cell r="T21">
            <v>86</v>
          </cell>
          <cell r="U21">
            <v>9</v>
          </cell>
          <cell r="V21">
            <v>5</v>
          </cell>
          <cell r="Z21">
            <v>78.703703703703709</v>
          </cell>
          <cell r="AB21">
            <v>79</v>
          </cell>
          <cell r="AC21">
            <v>5.5</v>
          </cell>
          <cell r="AD21">
            <v>73.725094979731637</v>
          </cell>
          <cell r="AE21" t="str">
            <v>М201БМИЭФ226</v>
          </cell>
        </row>
        <row r="22">
          <cell r="A22">
            <v>19</v>
          </cell>
          <cell r="B22">
            <v>15</v>
          </cell>
          <cell r="C22">
            <v>6.3758389261744972E-2</v>
          </cell>
          <cell r="D22" t="str">
            <v>М201БМИЭФ224</v>
          </cell>
          <cell r="E22" t="str">
            <v>Солнцев Кирилл Викторович</v>
          </cell>
          <cell r="F22">
            <v>6</v>
          </cell>
          <cell r="G22">
            <v>7</v>
          </cell>
          <cell r="H22">
            <v>73.269935897435886</v>
          </cell>
          <cell r="I22">
            <v>9</v>
          </cell>
          <cell r="J22">
            <v>5</v>
          </cell>
          <cell r="K22">
            <v>66.014250036416442</v>
          </cell>
          <cell r="L22">
            <v>8</v>
          </cell>
          <cell r="M22">
            <v>5</v>
          </cell>
          <cell r="N22">
            <v>84.497888888888895</v>
          </cell>
          <cell r="O22">
            <v>9</v>
          </cell>
          <cell r="P22">
            <v>5</v>
          </cell>
          <cell r="Q22">
            <v>89</v>
          </cell>
          <cell r="R22">
            <v>10</v>
          </cell>
          <cell r="S22">
            <v>5</v>
          </cell>
          <cell r="Z22">
            <v>69</v>
          </cell>
          <cell r="AB22">
            <v>66.8</v>
          </cell>
          <cell r="AC22">
            <v>5.5</v>
          </cell>
          <cell r="AD22">
            <v>73.469468149589318</v>
          </cell>
          <cell r="AE22" t="str">
            <v>М201БМИЭФ224</v>
          </cell>
        </row>
        <row r="23">
          <cell r="A23">
            <v>20</v>
          </cell>
          <cell r="B23">
            <v>16</v>
          </cell>
          <cell r="C23">
            <v>6.7114093959731544E-2</v>
          </cell>
          <cell r="D23" t="str">
            <v>М201БМИЭФ143</v>
          </cell>
          <cell r="E23" t="str">
            <v>Кузьмишин Леонид Алексеевич</v>
          </cell>
          <cell r="F23">
            <v>2</v>
          </cell>
          <cell r="G23">
            <v>3</v>
          </cell>
          <cell r="H23">
            <v>72.430128205128199</v>
          </cell>
          <cell r="I23">
            <v>9</v>
          </cell>
          <cell r="J23">
            <v>5</v>
          </cell>
          <cell r="K23">
            <v>83.609150974025965</v>
          </cell>
          <cell r="L23">
            <v>9</v>
          </cell>
          <cell r="M23">
            <v>5</v>
          </cell>
          <cell r="N23">
            <v>80.394444444444446</v>
          </cell>
          <cell r="O23">
            <v>9</v>
          </cell>
          <cell r="P23">
            <v>5</v>
          </cell>
          <cell r="Q23">
            <v>91</v>
          </cell>
          <cell r="R23">
            <v>10</v>
          </cell>
          <cell r="S23">
            <v>5</v>
          </cell>
          <cell r="Z23">
            <v>72.407407407407405</v>
          </cell>
          <cell r="AB23">
            <v>49.3</v>
          </cell>
          <cell r="AC23">
            <v>5.5</v>
          </cell>
          <cell r="AD23">
            <v>73.389296551092002</v>
          </cell>
          <cell r="AE23" t="str">
            <v>М201БМИЭФ143</v>
          </cell>
        </row>
        <row r="24">
          <cell r="A24">
            <v>21</v>
          </cell>
          <cell r="B24">
            <v>17</v>
          </cell>
          <cell r="C24">
            <v>7.0469798657718116E-2</v>
          </cell>
          <cell r="D24" t="str">
            <v>М201БМИЭФ133</v>
          </cell>
          <cell r="E24" t="str">
            <v>Костенкова Дарья Алексеевна</v>
          </cell>
          <cell r="F24">
            <v>2</v>
          </cell>
          <cell r="G24">
            <v>2</v>
          </cell>
          <cell r="H24">
            <v>66.93967948717949</v>
          </cell>
          <cell r="I24">
            <v>8</v>
          </cell>
          <cell r="J24">
            <v>5</v>
          </cell>
          <cell r="K24">
            <v>70.589635642135633</v>
          </cell>
          <cell r="L24">
            <v>8</v>
          </cell>
          <cell r="M24">
            <v>5</v>
          </cell>
          <cell r="N24">
            <v>64.311111111111103</v>
          </cell>
          <cell r="O24">
            <v>7</v>
          </cell>
          <cell r="P24">
            <v>4</v>
          </cell>
          <cell r="Q24">
            <v>84</v>
          </cell>
          <cell r="R24">
            <v>9</v>
          </cell>
          <cell r="S24">
            <v>5</v>
          </cell>
          <cell r="Z24">
            <v>66.407407407407405</v>
          </cell>
          <cell r="AB24">
            <v>89.3</v>
          </cell>
          <cell r="AC24">
            <v>5.5</v>
          </cell>
          <cell r="AD24">
            <v>72.645060663242489</v>
          </cell>
          <cell r="AE24" t="str">
            <v>М201БМИЭФ133</v>
          </cell>
        </row>
        <row r="25">
          <cell r="A25">
            <v>22</v>
          </cell>
          <cell r="B25" t="str">
            <v>нет</v>
          </cell>
          <cell r="C25">
            <v>7.3825503355704702E-2</v>
          </cell>
          <cell r="D25" t="str">
            <v>М201БМИЭФ061</v>
          </cell>
          <cell r="E25" t="str">
            <v>Вахитова Алиса Радиковна</v>
          </cell>
          <cell r="F25">
            <v>1</v>
          </cell>
          <cell r="G25">
            <v>1</v>
          </cell>
          <cell r="H25">
            <v>77.816858974358979</v>
          </cell>
          <cell r="I25">
            <v>9</v>
          </cell>
          <cell r="J25">
            <v>5</v>
          </cell>
          <cell r="K25">
            <v>66.02306305916305</v>
          </cell>
          <cell r="L25">
            <v>8</v>
          </cell>
          <cell r="M25">
            <v>5</v>
          </cell>
          <cell r="N25">
            <v>81.694444444444443</v>
          </cell>
          <cell r="O25">
            <v>9</v>
          </cell>
          <cell r="P25">
            <v>5</v>
          </cell>
          <cell r="Q25">
            <v>76</v>
          </cell>
          <cell r="R25">
            <v>8</v>
          </cell>
          <cell r="S25">
            <v>5</v>
          </cell>
          <cell r="Z25">
            <v>67.296296296296305</v>
          </cell>
          <cell r="AB25">
            <v>66</v>
          </cell>
          <cell r="AC25">
            <v>5.5</v>
          </cell>
          <cell r="AD25">
            <v>72.151029595320509</v>
          </cell>
          <cell r="AE25" t="str">
            <v>М201БМИЭФ061</v>
          </cell>
        </row>
        <row r="26">
          <cell r="A26">
            <v>23</v>
          </cell>
          <cell r="B26">
            <v>18</v>
          </cell>
          <cell r="C26">
            <v>7.7181208053691275E-2</v>
          </cell>
          <cell r="D26" t="str">
            <v>М201БМИЭФ102</v>
          </cell>
          <cell r="E26" t="str">
            <v>Завьялова Екатерина Алексеевна</v>
          </cell>
          <cell r="F26">
            <v>3</v>
          </cell>
          <cell r="G26">
            <v>4</v>
          </cell>
          <cell r="H26">
            <v>76.663333333333327</v>
          </cell>
          <cell r="I26">
            <v>9</v>
          </cell>
          <cell r="J26">
            <v>5</v>
          </cell>
          <cell r="K26">
            <v>54.060726720297566</v>
          </cell>
          <cell r="L26">
            <v>6</v>
          </cell>
          <cell r="M26">
            <v>4</v>
          </cell>
          <cell r="N26">
            <v>71.188888888888897</v>
          </cell>
          <cell r="O26">
            <v>8</v>
          </cell>
          <cell r="P26">
            <v>5</v>
          </cell>
          <cell r="Q26">
            <v>86</v>
          </cell>
          <cell r="R26">
            <v>10</v>
          </cell>
          <cell r="S26">
            <v>5</v>
          </cell>
          <cell r="Z26">
            <v>76.259259259259267</v>
          </cell>
          <cell r="AB26">
            <v>74</v>
          </cell>
          <cell r="AC26">
            <v>5.5</v>
          </cell>
          <cell r="AD26">
            <v>71.84949240032347</v>
          </cell>
          <cell r="AE26" t="str">
            <v>М201БМИЭФ102</v>
          </cell>
        </row>
        <row r="27">
          <cell r="A27">
            <v>24</v>
          </cell>
          <cell r="B27">
            <v>19</v>
          </cell>
          <cell r="C27">
            <v>8.0536912751677847E-2</v>
          </cell>
          <cell r="D27" t="str">
            <v>М201БМИЭФ053</v>
          </cell>
          <cell r="E27" t="str">
            <v>Борисов Валентин Денисович</v>
          </cell>
          <cell r="F27">
            <v>3</v>
          </cell>
          <cell r="G27">
            <v>6</v>
          </cell>
          <cell r="H27">
            <v>65.366346153846152</v>
          </cell>
          <cell r="I27">
            <v>8</v>
          </cell>
          <cell r="J27">
            <v>5</v>
          </cell>
          <cell r="K27">
            <v>71.285699895018695</v>
          </cell>
          <cell r="L27">
            <v>8</v>
          </cell>
          <cell r="M27">
            <v>5</v>
          </cell>
          <cell r="N27">
            <v>74.066666666666649</v>
          </cell>
          <cell r="O27">
            <v>8</v>
          </cell>
          <cell r="P27">
            <v>5</v>
          </cell>
          <cell r="Q27">
            <v>96</v>
          </cell>
          <cell r="R27">
            <v>10</v>
          </cell>
          <cell r="S27">
            <v>5</v>
          </cell>
          <cell r="Z27">
            <v>65.740740740740733</v>
          </cell>
          <cell r="AB27">
            <v>69.8</v>
          </cell>
          <cell r="AC27">
            <v>5.5</v>
          </cell>
          <cell r="AD27">
            <v>71.683536992049511</v>
          </cell>
          <cell r="AE27" t="str">
            <v>М201БМИЭФ053</v>
          </cell>
        </row>
        <row r="28">
          <cell r="A28">
            <v>25</v>
          </cell>
          <cell r="B28">
            <v>20</v>
          </cell>
          <cell r="C28">
            <v>8.3892617449664433E-2</v>
          </cell>
          <cell r="D28" t="str">
            <v>М201БМИЭФ276</v>
          </cell>
          <cell r="E28" t="str">
            <v>Шишкина Анастасия Михайловна</v>
          </cell>
          <cell r="F28">
            <v>3</v>
          </cell>
          <cell r="G28">
            <v>5</v>
          </cell>
          <cell r="H28">
            <v>77.776410256410259</v>
          </cell>
          <cell r="I28">
            <v>9</v>
          </cell>
          <cell r="J28">
            <v>5</v>
          </cell>
          <cell r="K28">
            <v>67.648540420750919</v>
          </cell>
          <cell r="L28">
            <v>8</v>
          </cell>
          <cell r="M28">
            <v>5</v>
          </cell>
          <cell r="N28">
            <v>74.194444444444443</v>
          </cell>
          <cell r="O28">
            <v>8</v>
          </cell>
          <cell r="P28">
            <v>5</v>
          </cell>
          <cell r="Q28">
            <v>90</v>
          </cell>
          <cell r="R28">
            <v>10</v>
          </cell>
          <cell r="S28">
            <v>5</v>
          </cell>
          <cell r="Z28">
            <v>64.407407407407405</v>
          </cell>
          <cell r="AB28">
            <v>65</v>
          </cell>
          <cell r="AC28">
            <v>5.5</v>
          </cell>
          <cell r="AD28">
            <v>71.641236823456907</v>
          </cell>
          <cell r="AE28" t="str">
            <v>М201БМИЭФ276</v>
          </cell>
        </row>
        <row r="29">
          <cell r="A29">
            <v>26</v>
          </cell>
          <cell r="B29">
            <v>21</v>
          </cell>
          <cell r="C29">
            <v>8.7248322147651006E-2</v>
          </cell>
          <cell r="D29" t="str">
            <v>М201БМИЭФ058</v>
          </cell>
          <cell r="E29" t="str">
            <v>Булгакова Кристина Игоревна</v>
          </cell>
          <cell r="F29">
            <v>3</v>
          </cell>
          <cell r="G29">
            <v>5</v>
          </cell>
          <cell r="H29">
            <v>80.541858974358973</v>
          </cell>
          <cell r="I29">
            <v>10</v>
          </cell>
          <cell r="J29">
            <v>5</v>
          </cell>
          <cell r="K29">
            <v>56.816203181090778</v>
          </cell>
          <cell r="L29">
            <v>7</v>
          </cell>
          <cell r="M29">
            <v>4</v>
          </cell>
          <cell r="N29">
            <v>68.633333333333297</v>
          </cell>
          <cell r="O29">
            <v>7</v>
          </cell>
          <cell r="P29">
            <v>4</v>
          </cell>
          <cell r="Q29">
            <v>67</v>
          </cell>
          <cell r="R29">
            <v>7</v>
          </cell>
          <cell r="S29">
            <v>4</v>
          </cell>
          <cell r="Z29">
            <v>69.333333333333343</v>
          </cell>
          <cell r="AB29">
            <v>85</v>
          </cell>
          <cell r="AC29">
            <v>5.5</v>
          </cell>
          <cell r="AD29">
            <v>71.604496149475708</v>
          </cell>
          <cell r="AE29" t="str">
            <v>М201БМИЭФ058</v>
          </cell>
        </row>
        <row r="30">
          <cell r="A30">
            <v>27</v>
          </cell>
          <cell r="B30">
            <v>22</v>
          </cell>
          <cell r="C30">
            <v>9.0604026845637578E-2</v>
          </cell>
          <cell r="D30" t="str">
            <v>М201БМИЭФ020</v>
          </cell>
          <cell r="E30" t="str">
            <v>Мурзалина Жания</v>
          </cell>
          <cell r="F30">
            <v>1</v>
          </cell>
          <cell r="G30">
            <v>1</v>
          </cell>
          <cell r="H30">
            <v>73.660192307692313</v>
          </cell>
          <cell r="I30">
            <v>9</v>
          </cell>
          <cell r="J30">
            <v>5</v>
          </cell>
          <cell r="K30">
            <v>42.32555331890331</v>
          </cell>
          <cell r="L30">
            <v>5</v>
          </cell>
          <cell r="M30">
            <v>3</v>
          </cell>
          <cell r="N30">
            <v>72.408611111111099</v>
          </cell>
          <cell r="O30">
            <v>8</v>
          </cell>
          <cell r="P30">
            <v>5</v>
          </cell>
          <cell r="Q30">
            <v>76</v>
          </cell>
          <cell r="R30">
            <v>8</v>
          </cell>
          <cell r="S30">
            <v>5</v>
          </cell>
          <cell r="Z30">
            <v>80.81481481481481</v>
          </cell>
          <cell r="AB30">
            <v>84</v>
          </cell>
          <cell r="AC30">
            <v>5.5</v>
          </cell>
          <cell r="AD30">
            <v>71.128940282276645</v>
          </cell>
          <cell r="AE30" t="str">
            <v>М201БМИЭФ020</v>
          </cell>
        </row>
        <row r="31">
          <cell r="A31">
            <v>28</v>
          </cell>
          <cell r="B31">
            <v>23</v>
          </cell>
          <cell r="C31">
            <v>9.3959731543624164E-2</v>
          </cell>
          <cell r="D31" t="str">
            <v>М201БМИЭФ128</v>
          </cell>
          <cell r="E31" t="str">
            <v>Комарова Юлия Денисовна</v>
          </cell>
          <cell r="F31">
            <v>2</v>
          </cell>
          <cell r="G31">
            <v>1</v>
          </cell>
          <cell r="H31">
            <v>70.405576923076922</v>
          </cell>
          <cell r="I31">
            <v>8</v>
          </cell>
          <cell r="J31">
            <v>5</v>
          </cell>
          <cell r="K31">
            <v>54.564829004328999</v>
          </cell>
          <cell r="L31">
            <v>6</v>
          </cell>
          <cell r="M31">
            <v>4</v>
          </cell>
          <cell r="N31">
            <v>70.199999999999989</v>
          </cell>
          <cell r="O31">
            <v>8</v>
          </cell>
          <cell r="P31">
            <v>5</v>
          </cell>
          <cell r="Q31">
            <v>85</v>
          </cell>
          <cell r="R31">
            <v>9</v>
          </cell>
          <cell r="S31">
            <v>5</v>
          </cell>
          <cell r="Z31">
            <v>76.962962962962962</v>
          </cell>
          <cell r="AB31">
            <v>76.3</v>
          </cell>
          <cell r="AC31">
            <v>5.5</v>
          </cell>
          <cell r="AD31">
            <v>71.078794343703422</v>
          </cell>
          <cell r="AE31" t="str">
            <v>М201БМИЭФ128</v>
          </cell>
        </row>
        <row r="32">
          <cell r="A32">
            <v>29</v>
          </cell>
          <cell r="B32" t="str">
            <v>нет</v>
          </cell>
          <cell r="C32">
            <v>9.7315436241610737E-2</v>
          </cell>
          <cell r="D32" t="str">
            <v>М201БМИЭФ168</v>
          </cell>
          <cell r="E32" t="str">
            <v>Мельников Игорь Александрович</v>
          </cell>
          <cell r="F32" t="str">
            <v>12 online</v>
          </cell>
          <cell r="G32" t="str">
            <v>17 online</v>
          </cell>
          <cell r="H32">
            <v>63.897756410256406</v>
          </cell>
          <cell r="I32">
            <v>7</v>
          </cell>
          <cell r="J32">
            <v>4</v>
          </cell>
          <cell r="K32">
            <v>96.740499999999997</v>
          </cell>
          <cell r="L32">
            <v>10</v>
          </cell>
          <cell r="M32">
            <v>5</v>
          </cell>
          <cell r="N32">
            <v>72.327777777777783</v>
          </cell>
          <cell r="O32">
            <v>8</v>
          </cell>
          <cell r="P32">
            <v>5</v>
          </cell>
          <cell r="T32">
            <v>68</v>
          </cell>
          <cell r="U32">
            <v>7</v>
          </cell>
          <cell r="V32">
            <v>4</v>
          </cell>
          <cell r="Z32">
            <v>67.148148148148152</v>
          </cell>
          <cell r="AB32">
            <v>56.7</v>
          </cell>
          <cell r="AC32">
            <v>5.5</v>
          </cell>
          <cell r="AD32">
            <v>71.057124061124057</v>
          </cell>
          <cell r="AE32" t="str">
            <v>М201БМИЭФ168</v>
          </cell>
        </row>
        <row r="33">
          <cell r="A33">
            <v>30</v>
          </cell>
          <cell r="B33">
            <v>24</v>
          </cell>
          <cell r="C33">
            <v>0.10067114093959731</v>
          </cell>
          <cell r="D33" t="str">
            <v>М201БМИЭФ236</v>
          </cell>
          <cell r="E33" t="str">
            <v>Тишков Александр Александрович</v>
          </cell>
          <cell r="F33">
            <v>2</v>
          </cell>
          <cell r="G33">
            <v>1</v>
          </cell>
          <cell r="H33">
            <v>66.174807692307695</v>
          </cell>
          <cell r="I33">
            <v>8</v>
          </cell>
          <cell r="J33">
            <v>5</v>
          </cell>
          <cell r="K33">
            <v>56.567419913419911</v>
          </cell>
          <cell r="L33">
            <v>7</v>
          </cell>
          <cell r="M33">
            <v>4</v>
          </cell>
          <cell r="N33">
            <v>84.74444444444444</v>
          </cell>
          <cell r="O33">
            <v>9</v>
          </cell>
          <cell r="P33">
            <v>5</v>
          </cell>
          <cell r="Q33">
            <v>81</v>
          </cell>
          <cell r="R33">
            <v>9</v>
          </cell>
          <cell r="S33">
            <v>5</v>
          </cell>
          <cell r="Z33">
            <v>70.111111111111114</v>
          </cell>
          <cell r="AB33">
            <v>72</v>
          </cell>
          <cell r="AC33">
            <v>5.5</v>
          </cell>
          <cell r="AD33">
            <v>70.926869665687846</v>
          </cell>
          <cell r="AE33" t="str">
            <v>М201БМИЭФ236</v>
          </cell>
        </row>
        <row r="34">
          <cell r="A34">
            <v>31</v>
          </cell>
          <cell r="B34">
            <v>25</v>
          </cell>
          <cell r="C34">
            <v>0.1040268456375839</v>
          </cell>
          <cell r="D34" t="str">
            <v>М201БМИЭФ193</v>
          </cell>
          <cell r="E34" t="str">
            <v>Панин Кирилл Артемович</v>
          </cell>
          <cell r="F34">
            <v>3</v>
          </cell>
          <cell r="G34">
            <v>5</v>
          </cell>
          <cell r="H34">
            <v>67.951153846153844</v>
          </cell>
          <cell r="I34">
            <v>8</v>
          </cell>
          <cell r="J34">
            <v>5</v>
          </cell>
          <cell r="K34">
            <v>62.151246200817042</v>
          </cell>
          <cell r="L34">
            <v>7</v>
          </cell>
          <cell r="M34">
            <v>4</v>
          </cell>
          <cell r="N34">
            <v>84.361111111111143</v>
          </cell>
          <cell r="O34">
            <v>9</v>
          </cell>
          <cell r="P34">
            <v>5</v>
          </cell>
          <cell r="Q34">
            <v>83</v>
          </cell>
          <cell r="R34">
            <v>9</v>
          </cell>
          <cell r="S34">
            <v>5</v>
          </cell>
          <cell r="Z34">
            <v>67.629629629629619</v>
          </cell>
          <cell r="AB34">
            <v>65.5</v>
          </cell>
          <cell r="AC34">
            <v>5.5</v>
          </cell>
          <cell r="AD34">
            <v>70.744207415947571</v>
          </cell>
          <cell r="AE34" t="str">
            <v>М201БМИЭФ193</v>
          </cell>
        </row>
        <row r="35">
          <cell r="A35">
            <v>32</v>
          </cell>
          <cell r="B35">
            <v>26</v>
          </cell>
          <cell r="C35">
            <v>0.10738255033557047</v>
          </cell>
          <cell r="D35" t="str">
            <v>М201БМИЭФ026</v>
          </cell>
          <cell r="E35" t="str">
            <v>Агеева Елизавета Игоревна</v>
          </cell>
          <cell r="F35">
            <v>6</v>
          </cell>
          <cell r="G35">
            <v>8</v>
          </cell>
          <cell r="H35">
            <v>67.740897435897438</v>
          </cell>
          <cell r="I35">
            <v>8</v>
          </cell>
          <cell r="J35">
            <v>5</v>
          </cell>
          <cell r="K35">
            <v>52.961183188350383</v>
          </cell>
          <cell r="L35">
            <v>6</v>
          </cell>
          <cell r="M35">
            <v>4</v>
          </cell>
          <cell r="N35">
            <v>84.573166666666651</v>
          </cell>
          <cell r="O35">
            <v>9</v>
          </cell>
          <cell r="P35">
            <v>5</v>
          </cell>
          <cell r="Q35">
            <v>87</v>
          </cell>
          <cell r="R35">
            <v>10</v>
          </cell>
          <cell r="S35">
            <v>5</v>
          </cell>
          <cell r="Z35">
            <v>66.481481481481481</v>
          </cell>
          <cell r="AB35">
            <v>73</v>
          </cell>
          <cell r="AC35">
            <v>5.5</v>
          </cell>
          <cell r="AD35">
            <v>70.592132504071984</v>
          </cell>
          <cell r="AE35" t="str">
            <v>М201БМИЭФ026</v>
          </cell>
        </row>
        <row r="36">
          <cell r="A36">
            <v>33</v>
          </cell>
          <cell r="B36" t="str">
            <v>нет</v>
          </cell>
          <cell r="C36">
            <v>0.11073825503355705</v>
          </cell>
          <cell r="D36" t="str">
            <v>М201БМИЭФ283</v>
          </cell>
          <cell r="E36" t="str">
            <v>Юрчук Мирослав Дмитриевич</v>
          </cell>
          <cell r="F36">
            <v>3</v>
          </cell>
          <cell r="G36">
            <v>4</v>
          </cell>
          <cell r="H36">
            <v>71.112499999999997</v>
          </cell>
          <cell r="I36">
            <v>8</v>
          </cell>
          <cell r="J36">
            <v>5</v>
          </cell>
          <cell r="K36">
            <v>76.567866815291893</v>
          </cell>
          <cell r="L36">
            <v>9</v>
          </cell>
          <cell r="M36">
            <v>5</v>
          </cell>
          <cell r="N36">
            <v>81.194444444444443</v>
          </cell>
          <cell r="O36">
            <v>9</v>
          </cell>
          <cell r="P36">
            <v>5</v>
          </cell>
          <cell r="Q36">
            <v>64</v>
          </cell>
          <cell r="R36">
            <v>7</v>
          </cell>
          <cell r="S36">
            <v>4</v>
          </cell>
          <cell r="Z36">
            <v>67.111111111111114</v>
          </cell>
          <cell r="AB36">
            <v>60</v>
          </cell>
          <cell r="AC36">
            <v>5.5</v>
          </cell>
          <cell r="AD36">
            <v>70.542894976517715</v>
          </cell>
          <cell r="AE36" t="str">
            <v>М201БМИЭФ283</v>
          </cell>
        </row>
        <row r="37">
          <cell r="A37">
            <v>34</v>
          </cell>
          <cell r="B37">
            <v>27</v>
          </cell>
          <cell r="C37">
            <v>0.11409395973154363</v>
          </cell>
          <cell r="D37" t="str">
            <v>М201БМИЭФ098</v>
          </cell>
          <cell r="E37" t="str">
            <v>Жданова Елизавета Александровна</v>
          </cell>
          <cell r="F37">
            <v>2</v>
          </cell>
          <cell r="G37">
            <v>1</v>
          </cell>
          <cell r="H37">
            <v>78.778012820512828</v>
          </cell>
          <cell r="I37">
            <v>9</v>
          </cell>
          <cell r="J37">
            <v>5</v>
          </cell>
          <cell r="K37">
            <v>72.376402597402588</v>
          </cell>
          <cell r="L37">
            <v>8</v>
          </cell>
          <cell r="M37">
            <v>5</v>
          </cell>
          <cell r="N37">
            <v>81.511111111111148</v>
          </cell>
          <cell r="O37">
            <v>9</v>
          </cell>
          <cell r="P37">
            <v>5</v>
          </cell>
          <cell r="Q37">
            <v>93</v>
          </cell>
          <cell r="R37">
            <v>10</v>
          </cell>
          <cell r="S37">
            <v>5</v>
          </cell>
          <cell r="Z37">
            <v>63.44444444444445</v>
          </cell>
          <cell r="AB37">
            <v>44</v>
          </cell>
          <cell r="AC37">
            <v>5.5</v>
          </cell>
          <cell r="AD37">
            <v>70.292721995176549</v>
          </cell>
          <cell r="AE37" t="str">
            <v>М201БМИЭФ098</v>
          </cell>
        </row>
        <row r="38">
          <cell r="A38">
            <v>35</v>
          </cell>
          <cell r="B38">
            <v>28</v>
          </cell>
          <cell r="C38">
            <v>0.1174496644295302</v>
          </cell>
          <cell r="D38" t="str">
            <v>М201БМИЭФ012</v>
          </cell>
          <cell r="E38" t="str">
            <v>Карпилович Игнат Юрьевич</v>
          </cell>
          <cell r="F38">
            <v>8</v>
          </cell>
          <cell r="G38">
            <v>11</v>
          </cell>
          <cell r="H38">
            <v>83.945128205128213</v>
          </cell>
          <cell r="I38">
            <v>10</v>
          </cell>
          <cell r="J38">
            <v>5</v>
          </cell>
          <cell r="K38">
            <v>57.617122582731284</v>
          </cell>
          <cell r="L38">
            <v>7</v>
          </cell>
          <cell r="M38">
            <v>4</v>
          </cell>
          <cell r="N38">
            <v>77.416666666666686</v>
          </cell>
          <cell r="O38">
            <v>8</v>
          </cell>
          <cell r="P38">
            <v>5</v>
          </cell>
          <cell r="Q38">
            <v>69</v>
          </cell>
          <cell r="R38">
            <v>7</v>
          </cell>
          <cell r="S38">
            <v>4</v>
          </cell>
          <cell r="Z38">
            <v>70.074074074074076</v>
          </cell>
          <cell r="AB38">
            <v>62.8</v>
          </cell>
          <cell r="AC38">
            <v>5.5</v>
          </cell>
          <cell r="AD38">
            <v>70.245998459745508</v>
          </cell>
          <cell r="AE38" t="str">
            <v>М201БМИЭФ012</v>
          </cell>
        </row>
        <row r="39">
          <cell r="A39">
            <v>36</v>
          </cell>
          <cell r="B39" t="str">
            <v>нет</v>
          </cell>
          <cell r="C39">
            <v>0.12080536912751678</v>
          </cell>
          <cell r="D39" t="str">
            <v>М201БМИЭФ180</v>
          </cell>
          <cell r="E39" t="str">
            <v>Мэссэрова Диана Ренатовна</v>
          </cell>
          <cell r="F39">
            <v>1</v>
          </cell>
          <cell r="G39">
            <v>1</v>
          </cell>
          <cell r="H39">
            <v>79.732500000000002</v>
          </cell>
          <cell r="I39">
            <v>9</v>
          </cell>
          <cell r="J39">
            <v>5</v>
          </cell>
          <cell r="K39">
            <v>61.331575324675327</v>
          </cell>
          <cell r="L39">
            <v>7</v>
          </cell>
          <cell r="M39">
            <v>4</v>
          </cell>
          <cell r="N39">
            <v>88.049277777777803</v>
          </cell>
          <cell r="O39">
            <v>9</v>
          </cell>
          <cell r="P39">
            <v>5</v>
          </cell>
          <cell r="Q39">
            <v>79</v>
          </cell>
          <cell r="R39">
            <v>9</v>
          </cell>
          <cell r="S39">
            <v>5</v>
          </cell>
          <cell r="Z39">
            <v>48.888888888888886</v>
          </cell>
          <cell r="AB39">
            <v>67</v>
          </cell>
          <cell r="AC39">
            <v>5.5</v>
          </cell>
          <cell r="AD39">
            <v>69.909498543880375</v>
          </cell>
          <cell r="AE39" t="str">
            <v>М201БМИЭФ180</v>
          </cell>
        </row>
        <row r="40">
          <cell r="A40">
            <v>37</v>
          </cell>
          <cell r="B40">
            <v>29</v>
          </cell>
          <cell r="C40">
            <v>0.12416107382550336</v>
          </cell>
          <cell r="D40" t="str">
            <v>М201БМИЭФ241</v>
          </cell>
          <cell r="E40" t="str">
            <v>Удовица Артем Олегович</v>
          </cell>
          <cell r="F40">
            <v>2</v>
          </cell>
          <cell r="G40">
            <v>2</v>
          </cell>
          <cell r="H40">
            <v>59.237820512820512</v>
          </cell>
          <cell r="I40">
            <v>7</v>
          </cell>
          <cell r="J40">
            <v>4</v>
          </cell>
          <cell r="K40">
            <v>64.416481240981241</v>
          </cell>
          <cell r="L40">
            <v>7</v>
          </cell>
          <cell r="M40">
            <v>4</v>
          </cell>
          <cell r="N40">
            <v>79.899999999999991</v>
          </cell>
          <cell r="O40">
            <v>8</v>
          </cell>
          <cell r="P40">
            <v>5</v>
          </cell>
          <cell r="Q40">
            <v>85</v>
          </cell>
          <cell r="R40">
            <v>9</v>
          </cell>
          <cell r="S40">
            <v>5</v>
          </cell>
          <cell r="Z40">
            <v>64.962962962962962</v>
          </cell>
          <cell r="AA40">
            <v>70</v>
          </cell>
          <cell r="AC40">
            <v>5.5</v>
          </cell>
          <cell r="AD40">
            <v>69.27586631213903</v>
          </cell>
          <cell r="AE40" t="str">
            <v>М201БМИЭФ241</v>
          </cell>
        </row>
        <row r="41">
          <cell r="A41">
            <v>38</v>
          </cell>
          <cell r="B41">
            <v>30</v>
          </cell>
          <cell r="C41">
            <v>0.12751677852348994</v>
          </cell>
          <cell r="D41" t="str">
            <v>М201БМИЭФ054</v>
          </cell>
          <cell r="E41" t="str">
            <v>Борисов Станислав Викторович</v>
          </cell>
          <cell r="F41">
            <v>1</v>
          </cell>
          <cell r="G41">
            <v>1</v>
          </cell>
          <cell r="H41">
            <v>73.792243589743578</v>
          </cell>
          <cell r="I41">
            <v>9</v>
          </cell>
          <cell r="J41">
            <v>5</v>
          </cell>
          <cell r="K41">
            <v>55.154035137085138</v>
          </cell>
          <cell r="L41">
            <v>7</v>
          </cell>
          <cell r="M41">
            <v>4</v>
          </cell>
          <cell r="N41">
            <v>66.5932777777778</v>
          </cell>
          <cell r="O41">
            <v>7</v>
          </cell>
          <cell r="P41">
            <v>4</v>
          </cell>
          <cell r="Q41">
            <v>65</v>
          </cell>
          <cell r="R41">
            <v>7</v>
          </cell>
          <cell r="S41">
            <v>4</v>
          </cell>
          <cell r="Z41">
            <v>74.370370370370367</v>
          </cell>
          <cell r="AB41">
            <v>78</v>
          </cell>
          <cell r="AC41">
            <v>5.5</v>
          </cell>
          <cell r="AD41">
            <v>69.165441249995808</v>
          </cell>
          <cell r="AE41" t="str">
            <v>М201БМИЭФ054</v>
          </cell>
        </row>
        <row r="42">
          <cell r="A42">
            <v>39</v>
          </cell>
          <cell r="B42" t="str">
            <v>нет</v>
          </cell>
          <cell r="C42">
            <v>0.13087248322147652</v>
          </cell>
          <cell r="D42" t="str">
            <v>М201БМИЭФ212</v>
          </cell>
          <cell r="E42" t="str">
            <v>Сагиев Вадим Вадимович</v>
          </cell>
          <cell r="F42">
            <v>2</v>
          </cell>
          <cell r="G42">
            <v>1</v>
          </cell>
          <cell r="H42">
            <v>73.024743589743593</v>
          </cell>
          <cell r="I42">
            <v>9</v>
          </cell>
          <cell r="J42">
            <v>5</v>
          </cell>
          <cell r="K42">
            <v>52.394481240981236</v>
          </cell>
          <cell r="L42">
            <v>6</v>
          </cell>
          <cell r="M42">
            <v>4</v>
          </cell>
          <cell r="N42">
            <v>72.222222222222243</v>
          </cell>
          <cell r="O42">
            <v>8</v>
          </cell>
          <cell r="P42">
            <v>5</v>
          </cell>
          <cell r="Q42">
            <v>85</v>
          </cell>
          <cell r="R42">
            <v>9</v>
          </cell>
          <cell r="S42">
            <v>5</v>
          </cell>
          <cell r="Z42">
            <v>74.18518518518519</v>
          </cell>
          <cell r="AB42">
            <v>64</v>
          </cell>
          <cell r="AC42">
            <v>5.5</v>
          </cell>
          <cell r="AD42">
            <v>68.786660406933137</v>
          </cell>
          <cell r="AE42" t="str">
            <v>М201БМИЭФ212</v>
          </cell>
        </row>
        <row r="43">
          <cell r="A43">
            <v>40</v>
          </cell>
          <cell r="B43">
            <v>31</v>
          </cell>
          <cell r="C43">
            <v>0.13422818791946309</v>
          </cell>
          <cell r="D43" t="str">
            <v>М201БМИЭФ261</v>
          </cell>
          <cell r="E43" t="str">
            <v>Чинарихин Матвей Сергеевич</v>
          </cell>
          <cell r="F43">
            <v>1</v>
          </cell>
          <cell r="G43">
            <v>2</v>
          </cell>
          <cell r="H43">
            <v>76.319551282051293</v>
          </cell>
          <cell r="I43">
            <v>9</v>
          </cell>
          <cell r="J43">
            <v>5</v>
          </cell>
          <cell r="K43">
            <v>55.638012698412695</v>
          </cell>
          <cell r="L43">
            <v>7</v>
          </cell>
          <cell r="M43">
            <v>4</v>
          </cell>
          <cell r="N43">
            <v>73.734722222222189</v>
          </cell>
          <cell r="O43">
            <v>8</v>
          </cell>
          <cell r="P43">
            <v>5</v>
          </cell>
          <cell r="T43">
            <v>84</v>
          </cell>
          <cell r="U43">
            <v>9</v>
          </cell>
          <cell r="V43">
            <v>5</v>
          </cell>
          <cell r="Z43">
            <v>69.777777777777786</v>
          </cell>
          <cell r="AB43">
            <v>60</v>
          </cell>
          <cell r="AC43">
            <v>5.5</v>
          </cell>
          <cell r="AD43">
            <v>68.63092072372072</v>
          </cell>
          <cell r="AE43" t="str">
            <v>М201БМИЭФ261</v>
          </cell>
        </row>
        <row r="44">
          <cell r="A44">
            <v>41</v>
          </cell>
          <cell r="B44">
            <v>32</v>
          </cell>
          <cell r="C44">
            <v>0.13758389261744966</v>
          </cell>
          <cell r="D44" t="str">
            <v>М201БМИЭФ120</v>
          </cell>
          <cell r="E44" t="str">
            <v>Кокина Алиса Александровна</v>
          </cell>
          <cell r="F44">
            <v>3</v>
          </cell>
          <cell r="G44">
            <v>5</v>
          </cell>
          <cell r="H44">
            <v>71.108846153846144</v>
          </cell>
          <cell r="I44">
            <v>8</v>
          </cell>
          <cell r="J44">
            <v>5</v>
          </cell>
          <cell r="K44">
            <v>60.396085322866661</v>
          </cell>
          <cell r="L44">
            <v>7</v>
          </cell>
          <cell r="M44">
            <v>4</v>
          </cell>
          <cell r="N44">
            <v>81</v>
          </cell>
          <cell r="O44">
            <v>9</v>
          </cell>
          <cell r="P44">
            <v>5</v>
          </cell>
          <cell r="Q44">
            <v>66</v>
          </cell>
          <cell r="R44">
            <v>7</v>
          </cell>
          <cell r="S44">
            <v>4</v>
          </cell>
          <cell r="Z44">
            <v>71.888888888888886</v>
          </cell>
          <cell r="AB44">
            <v>60</v>
          </cell>
          <cell r="AC44">
            <v>5.5</v>
          </cell>
          <cell r="AD44">
            <v>68.617058248291215</v>
          </cell>
          <cell r="AE44" t="str">
            <v>М201БМИЭФ120</v>
          </cell>
        </row>
        <row r="45">
          <cell r="A45">
            <v>42</v>
          </cell>
          <cell r="B45">
            <v>33</v>
          </cell>
          <cell r="C45">
            <v>0.14093959731543623</v>
          </cell>
          <cell r="D45" t="str">
            <v>М201БМИЭФ230</v>
          </cell>
          <cell r="E45" t="str">
            <v>Суханова Анастасия Игоревна</v>
          </cell>
          <cell r="F45">
            <v>2</v>
          </cell>
          <cell r="G45">
            <v>2</v>
          </cell>
          <cell r="H45">
            <v>69.379358974358979</v>
          </cell>
          <cell r="I45">
            <v>8</v>
          </cell>
          <cell r="J45">
            <v>5</v>
          </cell>
          <cell r="K45">
            <v>49.821250360750355</v>
          </cell>
          <cell r="L45">
            <v>6</v>
          </cell>
          <cell r="M45">
            <v>4</v>
          </cell>
          <cell r="N45">
            <v>71.7222222222222</v>
          </cell>
          <cell r="O45">
            <v>8</v>
          </cell>
          <cell r="P45">
            <v>5</v>
          </cell>
          <cell r="Q45">
            <v>67</v>
          </cell>
          <cell r="R45">
            <v>7</v>
          </cell>
          <cell r="S45">
            <v>4</v>
          </cell>
          <cell r="Z45">
            <v>67.333333333333343</v>
          </cell>
          <cell r="AB45">
            <v>83.7</v>
          </cell>
          <cell r="AC45">
            <v>5.5</v>
          </cell>
          <cell r="AD45">
            <v>68.264757252848156</v>
          </cell>
          <cell r="AE45" t="str">
            <v>М201БМИЭФ230</v>
          </cell>
        </row>
        <row r="46">
          <cell r="A46">
            <v>43</v>
          </cell>
          <cell r="B46">
            <v>34</v>
          </cell>
          <cell r="C46">
            <v>0.14429530201342283</v>
          </cell>
          <cell r="D46" t="str">
            <v>М201БМИЭФ257</v>
          </cell>
          <cell r="E46" t="str">
            <v>Черниговский Матвей Романович</v>
          </cell>
          <cell r="F46">
            <v>5</v>
          </cell>
          <cell r="G46">
            <v>8</v>
          </cell>
          <cell r="H46">
            <v>73.447435897435895</v>
          </cell>
          <cell r="I46">
            <v>9</v>
          </cell>
          <cell r="J46">
            <v>5</v>
          </cell>
          <cell r="K46">
            <v>50.55949823266463</v>
          </cell>
          <cell r="L46">
            <v>6</v>
          </cell>
          <cell r="M46">
            <v>4</v>
          </cell>
          <cell r="N46">
            <v>69.731722222222203</v>
          </cell>
          <cell r="O46">
            <v>7</v>
          </cell>
          <cell r="P46">
            <v>4</v>
          </cell>
          <cell r="T46">
            <v>77</v>
          </cell>
          <cell r="U46">
            <v>8</v>
          </cell>
          <cell r="V46">
            <v>5</v>
          </cell>
          <cell r="Z46">
            <v>70.777777777777786</v>
          </cell>
          <cell r="AA46">
            <v>71</v>
          </cell>
          <cell r="AC46">
            <v>5.5</v>
          </cell>
          <cell r="AD46">
            <v>68.002988023654638</v>
          </cell>
          <cell r="AE46" t="str">
            <v>М201БМИЭФ257</v>
          </cell>
        </row>
        <row r="47">
          <cell r="A47">
            <v>44</v>
          </cell>
          <cell r="B47">
            <v>35</v>
          </cell>
          <cell r="C47">
            <v>0.1476510067114094</v>
          </cell>
          <cell r="D47" t="str">
            <v>М201БМИЭФ245</v>
          </cell>
          <cell r="E47" t="str">
            <v>Устименко Полина Антоновна</v>
          </cell>
          <cell r="F47">
            <v>10</v>
          </cell>
          <cell r="G47">
            <v>13</v>
          </cell>
          <cell r="H47">
            <v>67.330769230769221</v>
          </cell>
          <cell r="I47">
            <v>8</v>
          </cell>
          <cell r="J47">
            <v>5</v>
          </cell>
          <cell r="K47">
            <v>54.009709595959592</v>
          </cell>
          <cell r="L47">
            <v>6</v>
          </cell>
          <cell r="M47">
            <v>4</v>
          </cell>
          <cell r="N47">
            <v>75.142388888888888</v>
          </cell>
          <cell r="O47">
            <v>8</v>
          </cell>
          <cell r="P47">
            <v>5</v>
          </cell>
          <cell r="Q47">
            <v>65</v>
          </cell>
          <cell r="R47">
            <v>7</v>
          </cell>
          <cell r="S47">
            <v>4</v>
          </cell>
          <cell r="Z47">
            <v>74.629629629629633</v>
          </cell>
          <cell r="AB47">
            <v>68.5</v>
          </cell>
          <cell r="AC47">
            <v>5.5</v>
          </cell>
          <cell r="AD47">
            <v>67.656817699135885</v>
          </cell>
          <cell r="AE47" t="str">
            <v>М201БМИЭФ245</v>
          </cell>
        </row>
        <row r="48">
          <cell r="A48">
            <v>45</v>
          </cell>
          <cell r="B48">
            <v>36</v>
          </cell>
          <cell r="C48">
            <v>0.15100671140939598</v>
          </cell>
          <cell r="D48" t="str">
            <v>М201БМИЭФ010</v>
          </cell>
          <cell r="E48" t="str">
            <v>Динмухамед Даяна</v>
          </cell>
          <cell r="F48" t="str">
            <v>12 online</v>
          </cell>
          <cell r="G48" t="str">
            <v>17 online</v>
          </cell>
          <cell r="H48">
            <v>49.34955128205128</v>
          </cell>
          <cell r="I48">
            <v>6</v>
          </cell>
          <cell r="J48">
            <v>4</v>
          </cell>
          <cell r="K48">
            <v>65.168626028626022</v>
          </cell>
          <cell r="L48">
            <v>8</v>
          </cell>
          <cell r="M48">
            <v>5</v>
          </cell>
          <cell r="N48">
            <v>67.176333333333346</v>
          </cell>
          <cell r="O48">
            <v>7</v>
          </cell>
          <cell r="P48">
            <v>4</v>
          </cell>
          <cell r="Q48">
            <v>75</v>
          </cell>
          <cell r="R48">
            <v>8</v>
          </cell>
          <cell r="S48">
            <v>5</v>
          </cell>
          <cell r="Z48">
            <v>78.222222222222214</v>
          </cell>
          <cell r="AA48">
            <v>74.333333333333329</v>
          </cell>
          <cell r="AC48">
            <v>5.5</v>
          </cell>
          <cell r="AD48">
            <v>67.590921127193852</v>
          </cell>
          <cell r="AE48" t="str">
            <v>М201БМИЭФ010</v>
          </cell>
        </row>
        <row r="49">
          <cell r="A49">
            <v>46</v>
          </cell>
          <cell r="B49">
            <v>37</v>
          </cell>
          <cell r="C49">
            <v>0.15436241610738255</v>
          </cell>
          <cell r="D49" t="str">
            <v>М201БМИЭФ049</v>
          </cell>
          <cell r="E49" t="str">
            <v>Богомазова Анна Сергеевна</v>
          </cell>
          <cell r="F49">
            <v>1</v>
          </cell>
          <cell r="G49">
            <v>2</v>
          </cell>
          <cell r="H49">
            <v>63.305192307692309</v>
          </cell>
          <cell r="I49">
            <v>7</v>
          </cell>
          <cell r="J49">
            <v>4</v>
          </cell>
          <cell r="K49">
            <v>53.885400793650781</v>
          </cell>
          <cell r="L49">
            <v>6</v>
          </cell>
          <cell r="M49">
            <v>4</v>
          </cell>
          <cell r="N49">
            <v>71.82383333333334</v>
          </cell>
          <cell r="O49">
            <v>8</v>
          </cell>
          <cell r="P49">
            <v>5</v>
          </cell>
          <cell r="Q49">
            <v>74</v>
          </cell>
          <cell r="R49">
            <v>8</v>
          </cell>
          <cell r="S49">
            <v>5</v>
          </cell>
          <cell r="Z49">
            <v>66.407407407407405</v>
          </cell>
          <cell r="AB49">
            <v>79</v>
          </cell>
          <cell r="AC49">
            <v>5.5</v>
          </cell>
          <cell r="AD49">
            <v>67.531242516742523</v>
          </cell>
          <cell r="AE49" t="str">
            <v>М201БМИЭФ049</v>
          </cell>
        </row>
        <row r="50">
          <cell r="A50">
            <v>47</v>
          </cell>
          <cell r="B50">
            <v>38</v>
          </cell>
          <cell r="C50">
            <v>0.15771812080536912</v>
          </cell>
          <cell r="D50" t="str">
            <v>М201БМИЭФ114</v>
          </cell>
          <cell r="E50" t="str">
            <v>Ким Дмитрий Алексеевич</v>
          </cell>
          <cell r="F50">
            <v>1</v>
          </cell>
          <cell r="G50">
            <v>3</v>
          </cell>
          <cell r="H50">
            <v>59.056428571428569</v>
          </cell>
          <cell r="I50">
            <v>7</v>
          </cell>
          <cell r="J50">
            <v>4</v>
          </cell>
          <cell r="K50">
            <v>77.84538896103895</v>
          </cell>
          <cell r="L50">
            <v>9</v>
          </cell>
          <cell r="M50">
            <v>5</v>
          </cell>
          <cell r="N50">
            <v>84.5138888888889</v>
          </cell>
          <cell r="O50">
            <v>9</v>
          </cell>
          <cell r="P50">
            <v>5</v>
          </cell>
          <cell r="T50">
            <v>91</v>
          </cell>
          <cell r="U50">
            <v>10</v>
          </cell>
          <cell r="V50">
            <v>5</v>
          </cell>
          <cell r="Z50">
            <v>55</v>
          </cell>
          <cell r="AA50">
            <v>49.333333333333336</v>
          </cell>
          <cell r="AC50">
            <v>5.5</v>
          </cell>
          <cell r="AD50">
            <v>67.499825409943597</v>
          </cell>
          <cell r="AE50" t="str">
            <v>М201БМИЭФ114</v>
          </cell>
        </row>
        <row r="51">
          <cell r="A51">
            <v>48</v>
          </cell>
          <cell r="B51">
            <v>39</v>
          </cell>
          <cell r="C51">
            <v>0.16107382550335569</v>
          </cell>
          <cell r="D51" t="str">
            <v>М201БМИЭФ247</v>
          </cell>
          <cell r="E51" t="str">
            <v>Федорова Елизавета Александровна</v>
          </cell>
          <cell r="F51">
            <v>1</v>
          </cell>
          <cell r="G51">
            <v>3</v>
          </cell>
          <cell r="H51">
            <v>71.503589743589743</v>
          </cell>
          <cell r="I51">
            <v>8</v>
          </cell>
          <cell r="J51">
            <v>5</v>
          </cell>
          <cell r="K51">
            <v>57.518686002886</v>
          </cell>
          <cell r="L51">
            <v>7</v>
          </cell>
          <cell r="M51">
            <v>4</v>
          </cell>
          <cell r="N51">
            <v>79.203444444444443</v>
          </cell>
          <cell r="O51">
            <v>8</v>
          </cell>
          <cell r="P51">
            <v>5</v>
          </cell>
          <cell r="T51">
            <v>86</v>
          </cell>
          <cell r="U51">
            <v>9</v>
          </cell>
          <cell r="V51">
            <v>5</v>
          </cell>
          <cell r="Z51">
            <v>56.629629629629626</v>
          </cell>
          <cell r="AB51">
            <v>59.2</v>
          </cell>
          <cell r="AC51">
            <v>5.5</v>
          </cell>
          <cell r="AD51">
            <v>66.737336331009047</v>
          </cell>
          <cell r="AE51" t="str">
            <v>М201БМИЭФ247</v>
          </cell>
        </row>
        <row r="52">
          <cell r="A52">
            <v>49</v>
          </cell>
          <cell r="B52">
            <v>40</v>
          </cell>
          <cell r="C52">
            <v>0.16442953020134229</v>
          </cell>
          <cell r="D52" t="str">
            <v>М201БМИЭФ127</v>
          </cell>
          <cell r="E52" t="str">
            <v>Комарова Александра Денисовна</v>
          </cell>
          <cell r="F52">
            <v>7</v>
          </cell>
          <cell r="G52">
            <v>10</v>
          </cell>
          <cell r="H52">
            <v>66.123012820512827</v>
          </cell>
          <cell r="I52">
            <v>8</v>
          </cell>
          <cell r="J52">
            <v>5</v>
          </cell>
          <cell r="K52">
            <v>49.943244949494947</v>
          </cell>
          <cell r="L52">
            <v>6</v>
          </cell>
          <cell r="M52">
            <v>4</v>
          </cell>
          <cell r="N52">
            <v>72.833333333333343</v>
          </cell>
          <cell r="O52">
            <v>8</v>
          </cell>
          <cell r="P52">
            <v>5</v>
          </cell>
          <cell r="Q52">
            <v>73</v>
          </cell>
          <cell r="R52">
            <v>8</v>
          </cell>
          <cell r="S52">
            <v>5</v>
          </cell>
          <cell r="Z52">
            <v>71.666666666666657</v>
          </cell>
          <cell r="AB52">
            <v>69</v>
          </cell>
          <cell r="AC52">
            <v>5.5</v>
          </cell>
          <cell r="AD52">
            <v>66.557501412728683</v>
          </cell>
          <cell r="AE52" t="str">
            <v>М201БМИЭФ127</v>
          </cell>
        </row>
        <row r="53">
          <cell r="A53">
            <v>50</v>
          </cell>
          <cell r="B53">
            <v>41</v>
          </cell>
          <cell r="C53">
            <v>0.16778523489932887</v>
          </cell>
          <cell r="D53" t="str">
            <v>М201БМИЭФ082</v>
          </cell>
          <cell r="E53" t="str">
            <v>Горовая Мария Андреевна</v>
          </cell>
          <cell r="F53">
            <v>1</v>
          </cell>
          <cell r="G53">
            <v>14</v>
          </cell>
          <cell r="H53">
            <v>67.538397435897437</v>
          </cell>
          <cell r="I53">
            <v>8</v>
          </cell>
          <cell r="J53">
            <v>5</v>
          </cell>
          <cell r="K53">
            <v>57.593893145743138</v>
          </cell>
          <cell r="L53">
            <v>7</v>
          </cell>
          <cell r="M53">
            <v>4</v>
          </cell>
          <cell r="N53">
            <v>61.159499999999994</v>
          </cell>
          <cell r="O53">
            <v>7</v>
          </cell>
          <cell r="P53">
            <v>4</v>
          </cell>
          <cell r="Q53">
            <v>69</v>
          </cell>
          <cell r="R53">
            <v>7</v>
          </cell>
          <cell r="S53">
            <v>4</v>
          </cell>
          <cell r="Z53">
            <v>68.555555555555557</v>
          </cell>
          <cell r="AB53">
            <v>76</v>
          </cell>
          <cell r="AC53">
            <v>5.5</v>
          </cell>
          <cell r="AD53">
            <v>66.426790206762931</v>
          </cell>
          <cell r="AE53" t="str">
            <v>М201БМИЭФ082</v>
          </cell>
        </row>
        <row r="54">
          <cell r="A54">
            <v>51</v>
          </cell>
          <cell r="B54">
            <v>42</v>
          </cell>
          <cell r="C54">
            <v>0.17114093959731544</v>
          </cell>
          <cell r="D54" t="str">
            <v>М201БМИЭФ214</v>
          </cell>
          <cell r="E54" t="str">
            <v>Саладущенкова Екатерина Евгеньевна</v>
          </cell>
          <cell r="F54">
            <v>2</v>
          </cell>
          <cell r="G54">
            <v>2</v>
          </cell>
          <cell r="H54">
            <v>60.538333333333334</v>
          </cell>
          <cell r="I54">
            <v>7</v>
          </cell>
          <cell r="J54">
            <v>4</v>
          </cell>
          <cell r="K54">
            <v>41.332494949494951</v>
          </cell>
          <cell r="L54">
            <v>5</v>
          </cell>
          <cell r="M54">
            <v>3</v>
          </cell>
          <cell r="N54">
            <v>69.488888888888894</v>
          </cell>
          <cell r="O54">
            <v>7</v>
          </cell>
          <cell r="P54">
            <v>4</v>
          </cell>
          <cell r="Q54">
            <v>80</v>
          </cell>
          <cell r="R54">
            <v>9</v>
          </cell>
          <cell r="S54">
            <v>5</v>
          </cell>
          <cell r="Z54">
            <v>68</v>
          </cell>
          <cell r="AB54">
            <v>85</v>
          </cell>
          <cell r="AC54">
            <v>5.5</v>
          </cell>
          <cell r="AD54">
            <v>66.247221303948578</v>
          </cell>
          <cell r="AE54" t="str">
            <v>М201БМИЭФ214</v>
          </cell>
        </row>
        <row r="55">
          <cell r="A55">
            <v>52</v>
          </cell>
          <cell r="B55">
            <v>43</v>
          </cell>
          <cell r="C55">
            <v>0.17449664429530201</v>
          </cell>
          <cell r="D55" t="str">
            <v>М201БМИЭФ103</v>
          </cell>
          <cell r="E55" t="str">
            <v>Запрягаева Влада Юрьевна</v>
          </cell>
          <cell r="F55">
            <v>7</v>
          </cell>
          <cell r="G55">
            <v>10</v>
          </cell>
          <cell r="H55">
            <v>58.846153846153854</v>
          </cell>
          <cell r="I55">
            <v>7</v>
          </cell>
          <cell r="J55">
            <v>4</v>
          </cell>
          <cell r="K55">
            <v>68.721228535353532</v>
          </cell>
          <cell r="L55">
            <v>8</v>
          </cell>
          <cell r="M55">
            <v>5</v>
          </cell>
          <cell r="N55">
            <v>69.538888888888863</v>
          </cell>
          <cell r="O55">
            <v>7</v>
          </cell>
          <cell r="P55">
            <v>4</v>
          </cell>
          <cell r="Q55">
            <v>75</v>
          </cell>
          <cell r="R55">
            <v>8</v>
          </cell>
          <cell r="S55">
            <v>5</v>
          </cell>
          <cell r="Z55">
            <v>62.703703703703709</v>
          </cell>
          <cell r="AB55">
            <v>67</v>
          </cell>
          <cell r="AC55">
            <v>5.5</v>
          </cell>
          <cell r="AD55">
            <v>66.238177268018163</v>
          </cell>
          <cell r="AE55" t="str">
            <v>М201БМИЭФ103</v>
          </cell>
        </row>
        <row r="56">
          <cell r="A56">
            <v>53</v>
          </cell>
          <cell r="B56">
            <v>44</v>
          </cell>
          <cell r="C56">
            <v>0.17785234899328858</v>
          </cell>
          <cell r="D56" t="str">
            <v>М201БМИЭФ144</v>
          </cell>
          <cell r="E56" t="str">
            <v>Курбатов Игорь Владимирович</v>
          </cell>
          <cell r="F56">
            <v>11</v>
          </cell>
          <cell r="G56">
            <v>13</v>
          </cell>
          <cell r="H56">
            <v>69.596346153846156</v>
          </cell>
          <cell r="I56">
            <v>8</v>
          </cell>
          <cell r="J56">
            <v>5</v>
          </cell>
          <cell r="K56">
            <v>48.326224637681158</v>
          </cell>
          <cell r="L56">
            <v>6</v>
          </cell>
          <cell r="M56">
            <v>4</v>
          </cell>
          <cell r="N56">
            <v>63.556277777777751</v>
          </cell>
          <cell r="O56">
            <v>7</v>
          </cell>
          <cell r="P56">
            <v>4</v>
          </cell>
          <cell r="Q56">
            <v>81</v>
          </cell>
          <cell r="R56">
            <v>9</v>
          </cell>
          <cell r="S56">
            <v>5</v>
          </cell>
          <cell r="Z56">
            <v>70.925925925925938</v>
          </cell>
          <cell r="AB56">
            <v>71.400000000000006</v>
          </cell>
          <cell r="AC56">
            <v>5.5</v>
          </cell>
          <cell r="AD56">
            <v>66.237231726405625</v>
          </cell>
          <cell r="AE56" t="str">
            <v>М201БМИЭФ144</v>
          </cell>
        </row>
        <row r="57">
          <cell r="A57">
            <v>54</v>
          </cell>
          <cell r="B57">
            <v>45</v>
          </cell>
          <cell r="C57">
            <v>0.18120805369127516</v>
          </cell>
          <cell r="D57" t="str">
            <v>М201БМИЭФ270</v>
          </cell>
          <cell r="E57" t="str">
            <v>Шванова Инна Геннадьевна</v>
          </cell>
          <cell r="F57">
            <v>3</v>
          </cell>
          <cell r="G57">
            <v>4</v>
          </cell>
          <cell r="H57">
            <v>65.483910256410255</v>
          </cell>
          <cell r="I57">
            <v>8</v>
          </cell>
          <cell r="J57">
            <v>5</v>
          </cell>
          <cell r="K57">
            <v>55.044623900546917</v>
          </cell>
          <cell r="L57">
            <v>7</v>
          </cell>
          <cell r="M57">
            <v>4</v>
          </cell>
          <cell r="N57">
            <v>65.22777777777776</v>
          </cell>
          <cell r="O57">
            <v>7</v>
          </cell>
          <cell r="P57">
            <v>4</v>
          </cell>
          <cell r="Q57">
            <v>66</v>
          </cell>
          <cell r="R57">
            <v>7</v>
          </cell>
          <cell r="S57">
            <v>4</v>
          </cell>
          <cell r="Z57">
            <v>73.074074074074062</v>
          </cell>
          <cell r="AB57">
            <v>71.5</v>
          </cell>
          <cell r="AC57">
            <v>5.5</v>
          </cell>
          <cell r="AD57">
            <v>66.060070183419825</v>
          </cell>
          <cell r="AE57" t="str">
            <v>М201БМИЭФ270</v>
          </cell>
        </row>
        <row r="58">
          <cell r="A58">
            <v>55</v>
          </cell>
          <cell r="B58">
            <v>46</v>
          </cell>
          <cell r="C58">
            <v>0.18456375838926176</v>
          </cell>
          <cell r="D58" t="str">
            <v>М201БМИЭФ142</v>
          </cell>
          <cell r="E58" t="str">
            <v>Кузнецов Аркадий Дмитриевич</v>
          </cell>
          <cell r="F58">
            <v>2</v>
          </cell>
          <cell r="G58">
            <v>2</v>
          </cell>
          <cell r="H58">
            <v>75.28365384615384</v>
          </cell>
          <cell r="I58">
            <v>9</v>
          </cell>
          <cell r="J58">
            <v>5</v>
          </cell>
          <cell r="K58">
            <v>57.325529942279935</v>
          </cell>
          <cell r="L58">
            <v>7</v>
          </cell>
          <cell r="M58">
            <v>4</v>
          </cell>
          <cell r="N58">
            <v>78.227777777777789</v>
          </cell>
          <cell r="O58">
            <v>8</v>
          </cell>
          <cell r="P58">
            <v>5</v>
          </cell>
          <cell r="Q58">
            <v>74</v>
          </cell>
          <cell r="R58">
            <v>8</v>
          </cell>
          <cell r="S58">
            <v>5</v>
          </cell>
          <cell r="Z58">
            <v>62.703703703703709</v>
          </cell>
          <cell r="AB58">
            <v>52.7</v>
          </cell>
          <cell r="AC58">
            <v>5.5</v>
          </cell>
          <cell r="AD58">
            <v>66.043757321802772</v>
          </cell>
          <cell r="AE58" t="str">
            <v>М201БМИЭФ142</v>
          </cell>
        </row>
        <row r="59">
          <cell r="A59">
            <v>56</v>
          </cell>
          <cell r="B59">
            <v>47</v>
          </cell>
          <cell r="C59">
            <v>0.18791946308724833</v>
          </cell>
          <cell r="D59" t="str">
            <v>М201БМИЭФ198</v>
          </cell>
          <cell r="E59" t="str">
            <v>Поляков Александр Андреевич</v>
          </cell>
          <cell r="F59">
            <v>2</v>
          </cell>
          <cell r="G59">
            <v>2</v>
          </cell>
          <cell r="H59">
            <v>67.582179487179488</v>
          </cell>
          <cell r="I59">
            <v>8</v>
          </cell>
          <cell r="J59">
            <v>5</v>
          </cell>
          <cell r="K59">
            <v>52.210464285714281</v>
          </cell>
          <cell r="L59">
            <v>6</v>
          </cell>
          <cell r="M59">
            <v>4</v>
          </cell>
          <cell r="N59">
            <v>80.899999999999991</v>
          </cell>
          <cell r="O59">
            <v>9</v>
          </cell>
          <cell r="P59">
            <v>5</v>
          </cell>
          <cell r="W59">
            <v>58</v>
          </cell>
          <cell r="X59">
            <v>7</v>
          </cell>
          <cell r="Y59">
            <v>4</v>
          </cell>
          <cell r="Z59">
            <v>66.222222222222229</v>
          </cell>
          <cell r="AB59">
            <v>67</v>
          </cell>
          <cell r="AC59">
            <v>5.5</v>
          </cell>
          <cell r="AD59">
            <v>65.98452109002109</v>
          </cell>
          <cell r="AE59" t="str">
            <v>М201БМИЭФ198</v>
          </cell>
        </row>
        <row r="60">
          <cell r="A60">
            <v>57</v>
          </cell>
          <cell r="B60">
            <v>48</v>
          </cell>
          <cell r="C60">
            <v>0.1912751677852349</v>
          </cell>
          <cell r="D60" t="str">
            <v>М201БМИЭФ140</v>
          </cell>
          <cell r="E60" t="str">
            <v>Кудрина Софья Александровна</v>
          </cell>
          <cell r="F60">
            <v>4</v>
          </cell>
          <cell r="G60">
            <v>4</v>
          </cell>
          <cell r="H60">
            <v>67.927756410256407</v>
          </cell>
          <cell r="I60">
            <v>8</v>
          </cell>
          <cell r="J60">
            <v>5</v>
          </cell>
          <cell r="K60">
            <v>66.769647000896995</v>
          </cell>
          <cell r="L60">
            <v>8</v>
          </cell>
          <cell r="M60">
            <v>5</v>
          </cell>
          <cell r="N60">
            <v>65.767277777777792</v>
          </cell>
          <cell r="O60">
            <v>7</v>
          </cell>
          <cell r="P60">
            <v>4</v>
          </cell>
          <cell r="T60">
            <v>70</v>
          </cell>
          <cell r="U60">
            <v>8</v>
          </cell>
          <cell r="V60">
            <v>5</v>
          </cell>
          <cell r="Z60">
            <v>69.851851851851848</v>
          </cell>
          <cell r="AB60">
            <v>56</v>
          </cell>
          <cell r="AC60">
            <v>5.5</v>
          </cell>
          <cell r="AD60">
            <v>65.693915098324183</v>
          </cell>
          <cell r="AE60" t="str">
            <v>М201БМИЭФ140</v>
          </cell>
        </row>
        <row r="61">
          <cell r="A61">
            <v>58</v>
          </cell>
          <cell r="B61">
            <v>49</v>
          </cell>
          <cell r="C61">
            <v>0.19463087248322147</v>
          </cell>
          <cell r="D61" t="str">
            <v>М201БМИЭФ138</v>
          </cell>
          <cell r="E61" t="str">
            <v>Кревсун Алина Константиновна</v>
          </cell>
          <cell r="F61">
            <v>1</v>
          </cell>
          <cell r="G61">
            <v>1</v>
          </cell>
          <cell r="H61">
            <v>71.905576923076922</v>
          </cell>
          <cell r="I61">
            <v>8</v>
          </cell>
          <cell r="J61">
            <v>5</v>
          </cell>
          <cell r="K61">
            <v>51.624038095238092</v>
          </cell>
          <cell r="L61">
            <v>6</v>
          </cell>
          <cell r="M61">
            <v>4</v>
          </cell>
          <cell r="N61">
            <v>63.383611111111144</v>
          </cell>
          <cell r="O61">
            <v>7</v>
          </cell>
          <cell r="P61">
            <v>4</v>
          </cell>
          <cell r="Q61">
            <v>70</v>
          </cell>
          <cell r="R61">
            <v>8</v>
          </cell>
          <cell r="S61">
            <v>5</v>
          </cell>
          <cell r="Z61">
            <v>74.518518518518505</v>
          </cell>
          <cell r="AB61">
            <v>64.2</v>
          </cell>
          <cell r="AC61">
            <v>5.5</v>
          </cell>
          <cell r="AD61">
            <v>65.569408117808123</v>
          </cell>
          <cell r="AE61" t="str">
            <v>М201БМИЭФ138</v>
          </cell>
        </row>
        <row r="62">
          <cell r="A62">
            <v>59</v>
          </cell>
          <cell r="B62">
            <v>50</v>
          </cell>
          <cell r="C62">
            <v>0.19798657718120805</v>
          </cell>
          <cell r="D62" t="str">
            <v>М201БМИЭФ287</v>
          </cell>
          <cell r="E62" t="str">
            <v>Павлов Владимир</v>
          </cell>
          <cell r="F62">
            <v>9</v>
          </cell>
          <cell r="G62">
            <v>14</v>
          </cell>
          <cell r="H62">
            <v>60.009807692307689</v>
          </cell>
          <cell r="I62">
            <v>7</v>
          </cell>
          <cell r="J62">
            <v>4</v>
          </cell>
          <cell r="K62">
            <v>52.171650577200573</v>
          </cell>
          <cell r="L62">
            <v>6</v>
          </cell>
          <cell r="M62">
            <v>4</v>
          </cell>
          <cell r="N62">
            <v>74.089166666666699</v>
          </cell>
          <cell r="O62">
            <v>8</v>
          </cell>
          <cell r="P62">
            <v>5</v>
          </cell>
          <cell r="Q62">
            <v>69</v>
          </cell>
          <cell r="R62">
            <v>7</v>
          </cell>
          <cell r="S62">
            <v>4</v>
          </cell>
          <cell r="Z62">
            <v>64.555555555555557</v>
          </cell>
          <cell r="AB62">
            <v>75</v>
          </cell>
          <cell r="AC62">
            <v>5.5</v>
          </cell>
          <cell r="AD62">
            <v>65.513850998496451</v>
          </cell>
          <cell r="AE62" t="str">
            <v>М201БМИЭФ287</v>
          </cell>
        </row>
        <row r="63">
          <cell r="A63">
            <v>60</v>
          </cell>
          <cell r="B63">
            <v>51</v>
          </cell>
          <cell r="C63">
            <v>0.20134228187919462</v>
          </cell>
          <cell r="D63" t="str">
            <v>М201БМИЭФ207</v>
          </cell>
          <cell r="E63" t="str">
            <v>Репецкая Матрена Сергеевна</v>
          </cell>
          <cell r="F63">
            <v>5</v>
          </cell>
          <cell r="G63">
            <v>8</v>
          </cell>
          <cell r="H63">
            <v>70.63326923076923</v>
          </cell>
          <cell r="I63">
            <v>8</v>
          </cell>
          <cell r="J63">
            <v>5</v>
          </cell>
          <cell r="K63">
            <v>53.029992821409223</v>
          </cell>
          <cell r="L63">
            <v>6</v>
          </cell>
          <cell r="M63">
            <v>4</v>
          </cell>
          <cell r="N63">
            <v>72.46666666666664</v>
          </cell>
          <cell r="O63">
            <v>8</v>
          </cell>
          <cell r="P63">
            <v>5</v>
          </cell>
          <cell r="Q63">
            <v>69</v>
          </cell>
          <cell r="R63">
            <v>7</v>
          </cell>
          <cell r="S63">
            <v>4</v>
          </cell>
          <cell r="Z63">
            <v>61.777777777777779</v>
          </cell>
          <cell r="AB63">
            <v>66.2</v>
          </cell>
          <cell r="AC63">
            <v>5.5</v>
          </cell>
          <cell r="AD63">
            <v>65.201401181204162</v>
          </cell>
          <cell r="AE63" t="str">
            <v>М201БМИЭФ207</v>
          </cell>
        </row>
        <row r="64">
          <cell r="A64">
            <v>61</v>
          </cell>
          <cell r="B64">
            <v>52</v>
          </cell>
          <cell r="C64">
            <v>0.20469798657718122</v>
          </cell>
          <cell r="D64" t="str">
            <v>М201БМИЭФ265</v>
          </cell>
          <cell r="E64" t="str">
            <v>Шабанов Юрий Александрович</v>
          </cell>
          <cell r="F64">
            <v>3</v>
          </cell>
          <cell r="G64">
            <v>4</v>
          </cell>
          <cell r="H64">
            <v>61.845320512820507</v>
          </cell>
          <cell r="I64">
            <v>7</v>
          </cell>
          <cell r="J64">
            <v>4</v>
          </cell>
          <cell r="K64">
            <v>62.218272084409683</v>
          </cell>
          <cell r="L64">
            <v>7</v>
          </cell>
          <cell r="M64">
            <v>4</v>
          </cell>
          <cell r="N64">
            <v>66.6944444444444</v>
          </cell>
          <cell r="O64">
            <v>7</v>
          </cell>
          <cell r="P64">
            <v>4</v>
          </cell>
          <cell r="Q64">
            <v>90</v>
          </cell>
          <cell r="R64">
            <v>10</v>
          </cell>
          <cell r="S64">
            <v>5</v>
          </cell>
          <cell r="Z64">
            <v>62.074074074074076</v>
          </cell>
          <cell r="AB64">
            <v>59.5</v>
          </cell>
          <cell r="AC64">
            <v>5.5</v>
          </cell>
          <cell r="AD64">
            <v>64.969474748317936</v>
          </cell>
          <cell r="AE64" t="str">
            <v>М201БМИЭФ265</v>
          </cell>
        </row>
        <row r="65">
          <cell r="A65">
            <v>62</v>
          </cell>
          <cell r="B65">
            <v>53</v>
          </cell>
          <cell r="C65">
            <v>0.20805369127516779</v>
          </cell>
          <cell r="D65" t="str">
            <v>М201БМИЭФ069</v>
          </cell>
          <cell r="E65" t="str">
            <v>Волохова Екатерина Сергеевна</v>
          </cell>
          <cell r="F65">
            <v>3</v>
          </cell>
          <cell r="G65">
            <v>5</v>
          </cell>
          <cell r="H65">
            <v>64.381346153846152</v>
          </cell>
          <cell r="I65">
            <v>8</v>
          </cell>
          <cell r="J65">
            <v>5</v>
          </cell>
          <cell r="K65">
            <v>64.878041931577357</v>
          </cell>
          <cell r="L65">
            <v>7</v>
          </cell>
          <cell r="M65">
            <v>4</v>
          </cell>
          <cell r="N65">
            <v>64.938888888888897</v>
          </cell>
          <cell r="O65">
            <v>7</v>
          </cell>
          <cell r="P65">
            <v>4</v>
          </cell>
          <cell r="Q65">
            <v>61</v>
          </cell>
          <cell r="R65">
            <v>7</v>
          </cell>
          <cell r="S65">
            <v>4</v>
          </cell>
          <cell r="Z65">
            <v>70.407407407407405</v>
          </cell>
          <cell r="AB65">
            <v>60</v>
          </cell>
          <cell r="AC65">
            <v>5.5</v>
          </cell>
          <cell r="AD65">
            <v>64.564669887585424</v>
          </cell>
          <cell r="AE65" t="str">
            <v>М201БМИЭФ069</v>
          </cell>
        </row>
        <row r="66">
          <cell r="A66">
            <v>63</v>
          </cell>
          <cell r="B66">
            <v>54</v>
          </cell>
          <cell r="C66">
            <v>0.21140939597315436</v>
          </cell>
          <cell r="D66" t="str">
            <v>М201БМИЭФ177</v>
          </cell>
          <cell r="E66" t="str">
            <v>Мочалов Алексей Андреевич</v>
          </cell>
          <cell r="F66">
            <v>3</v>
          </cell>
          <cell r="G66">
            <v>6</v>
          </cell>
          <cell r="H66">
            <v>58.607628205128208</v>
          </cell>
          <cell r="I66">
            <v>7</v>
          </cell>
          <cell r="J66">
            <v>4</v>
          </cell>
          <cell r="K66">
            <v>53.927013065650669</v>
          </cell>
          <cell r="L66">
            <v>6</v>
          </cell>
          <cell r="M66">
            <v>4</v>
          </cell>
          <cell r="N66">
            <v>82.127777777777794</v>
          </cell>
          <cell r="O66">
            <v>9</v>
          </cell>
          <cell r="P66">
            <v>5</v>
          </cell>
          <cell r="Q66">
            <v>93</v>
          </cell>
          <cell r="R66">
            <v>10</v>
          </cell>
          <cell r="S66">
            <v>5</v>
          </cell>
          <cell r="Z66">
            <v>59.777777777777779</v>
          </cell>
          <cell r="AA66">
            <v>53</v>
          </cell>
          <cell r="AC66">
            <v>5.5</v>
          </cell>
          <cell r="AD66">
            <v>64.35276305933354</v>
          </cell>
          <cell r="AE66" t="str">
            <v>М201БМИЭФ177</v>
          </cell>
        </row>
        <row r="67">
          <cell r="A67">
            <v>64</v>
          </cell>
          <cell r="B67">
            <v>55</v>
          </cell>
          <cell r="C67">
            <v>0.21476510067114093</v>
          </cell>
          <cell r="D67" t="str">
            <v>М201БМИЭФ052</v>
          </cell>
          <cell r="E67" t="str">
            <v>Болдырев Никита Сергеевич</v>
          </cell>
          <cell r="F67">
            <v>5</v>
          </cell>
          <cell r="G67">
            <v>7</v>
          </cell>
          <cell r="H67">
            <v>64.865384615384613</v>
          </cell>
          <cell r="I67">
            <v>8</v>
          </cell>
          <cell r="J67">
            <v>5</v>
          </cell>
          <cell r="K67">
            <v>48.577446445072624</v>
          </cell>
          <cell r="L67">
            <v>6</v>
          </cell>
          <cell r="M67">
            <v>4</v>
          </cell>
          <cell r="N67">
            <v>66.136611111111094</v>
          </cell>
          <cell r="O67">
            <v>7</v>
          </cell>
          <cell r="P67">
            <v>4</v>
          </cell>
          <cell r="T67">
            <v>53</v>
          </cell>
          <cell r="U67">
            <v>6</v>
          </cell>
          <cell r="V67">
            <v>4</v>
          </cell>
          <cell r="Z67">
            <v>68.666666666666657</v>
          </cell>
          <cell r="AB67">
            <v>74.2</v>
          </cell>
          <cell r="AC67">
            <v>5.5</v>
          </cell>
          <cell r="AD67">
            <v>63.444747061497267</v>
          </cell>
          <cell r="AE67" t="str">
            <v>М201БМИЭФ052</v>
          </cell>
        </row>
        <row r="68">
          <cell r="A68">
            <v>65</v>
          </cell>
          <cell r="B68">
            <v>56</v>
          </cell>
          <cell r="C68">
            <v>0.21812080536912751</v>
          </cell>
          <cell r="D68" t="str">
            <v>М201БМИЭФ260</v>
          </cell>
          <cell r="E68" t="str">
            <v>Чеснакова Марина Алексеевна</v>
          </cell>
          <cell r="F68">
            <v>4</v>
          </cell>
          <cell r="G68">
            <v>6</v>
          </cell>
          <cell r="H68">
            <v>54.026666666666671</v>
          </cell>
          <cell r="I68">
            <v>6</v>
          </cell>
          <cell r="J68">
            <v>4</v>
          </cell>
          <cell r="K68">
            <v>48.320219277719275</v>
          </cell>
          <cell r="L68">
            <v>6</v>
          </cell>
          <cell r="M68">
            <v>4</v>
          </cell>
          <cell r="N68">
            <v>63.004388888888855</v>
          </cell>
          <cell r="O68">
            <v>7</v>
          </cell>
          <cell r="P68">
            <v>4</v>
          </cell>
          <cell r="Q68">
            <v>73</v>
          </cell>
          <cell r="R68">
            <v>8</v>
          </cell>
          <cell r="S68">
            <v>5</v>
          </cell>
          <cell r="Z68">
            <v>70.333333333333343</v>
          </cell>
          <cell r="AA68">
            <v>76</v>
          </cell>
          <cell r="AC68">
            <v>5.5</v>
          </cell>
          <cell r="AD68">
            <v>63.30629239392875</v>
          </cell>
          <cell r="AE68" t="str">
            <v>М201БМИЭФ260</v>
          </cell>
        </row>
        <row r="69">
          <cell r="A69">
            <v>66</v>
          </cell>
          <cell r="B69">
            <v>57</v>
          </cell>
          <cell r="C69">
            <v>0.22147651006711411</v>
          </cell>
          <cell r="D69" t="str">
            <v>М201БМИЭФ074</v>
          </cell>
          <cell r="E69" t="str">
            <v>Гвоздева Валерия Игоревна</v>
          </cell>
          <cell r="F69">
            <v>4</v>
          </cell>
          <cell r="G69">
            <v>5</v>
          </cell>
          <cell r="H69">
            <v>60.173269230769229</v>
          </cell>
          <cell r="I69">
            <v>7</v>
          </cell>
          <cell r="J69">
            <v>4</v>
          </cell>
          <cell r="K69">
            <v>48.097289009789009</v>
          </cell>
          <cell r="L69">
            <v>6</v>
          </cell>
          <cell r="M69">
            <v>4</v>
          </cell>
          <cell r="N69">
            <v>63.070166666666651</v>
          </cell>
          <cell r="O69">
            <v>7</v>
          </cell>
          <cell r="P69">
            <v>4</v>
          </cell>
          <cell r="Q69">
            <v>61</v>
          </cell>
          <cell r="R69">
            <v>7</v>
          </cell>
          <cell r="S69">
            <v>4</v>
          </cell>
          <cell r="Z69">
            <v>71.148148148148152</v>
          </cell>
          <cell r="AA69">
            <v>75</v>
          </cell>
          <cell r="AC69">
            <v>5.5</v>
          </cell>
          <cell r="AD69">
            <v>63.270704191886011</v>
          </cell>
          <cell r="AE69" t="str">
            <v>М201БМИЭФ074</v>
          </cell>
        </row>
        <row r="70">
          <cell r="A70">
            <v>67</v>
          </cell>
          <cell r="B70">
            <v>58</v>
          </cell>
          <cell r="C70">
            <v>0.22483221476510068</v>
          </cell>
          <cell r="D70" t="str">
            <v>М201БМИЭФ068</v>
          </cell>
          <cell r="E70" t="str">
            <v>Володченко Полина Витальевна</v>
          </cell>
          <cell r="F70">
            <v>10</v>
          </cell>
          <cell r="G70">
            <v>13</v>
          </cell>
          <cell r="H70">
            <v>64.337243589743593</v>
          </cell>
          <cell r="I70">
            <v>8</v>
          </cell>
          <cell r="J70">
            <v>5</v>
          </cell>
          <cell r="K70">
            <v>47.471103896103898</v>
          </cell>
          <cell r="L70">
            <v>6</v>
          </cell>
          <cell r="M70">
            <v>4</v>
          </cell>
          <cell r="N70">
            <v>72.343944444444446</v>
          </cell>
          <cell r="O70">
            <v>8</v>
          </cell>
          <cell r="P70">
            <v>5</v>
          </cell>
          <cell r="Q70">
            <v>59</v>
          </cell>
          <cell r="R70">
            <v>6</v>
          </cell>
          <cell r="S70">
            <v>4</v>
          </cell>
          <cell r="Z70">
            <v>66.481481481481481</v>
          </cell>
          <cell r="AB70">
            <v>67</v>
          </cell>
          <cell r="AC70">
            <v>5.5</v>
          </cell>
          <cell r="AD70">
            <v>63.115231529413343</v>
          </cell>
          <cell r="AE70" t="str">
            <v>М201БМИЭФ068</v>
          </cell>
        </row>
        <row r="71">
          <cell r="A71">
            <v>68</v>
          </cell>
          <cell r="B71">
            <v>59</v>
          </cell>
          <cell r="C71">
            <v>0.22818791946308725</v>
          </cell>
          <cell r="D71" t="str">
            <v>М201БМИЭФ277</v>
          </cell>
          <cell r="E71" t="str">
            <v>Штуца Елизавета Ильинична</v>
          </cell>
          <cell r="F71">
            <v>7</v>
          </cell>
          <cell r="G71">
            <v>11</v>
          </cell>
          <cell r="H71">
            <v>63.141410256410254</v>
          </cell>
          <cell r="I71">
            <v>7</v>
          </cell>
          <cell r="J71">
            <v>4</v>
          </cell>
          <cell r="K71">
            <v>56.053849927849924</v>
          </cell>
          <cell r="L71">
            <v>7</v>
          </cell>
          <cell r="M71">
            <v>4</v>
          </cell>
          <cell r="N71">
            <v>65.861111111111086</v>
          </cell>
          <cell r="O71">
            <v>7</v>
          </cell>
          <cell r="P71">
            <v>4</v>
          </cell>
          <cell r="W71">
            <v>64.8</v>
          </cell>
          <cell r="X71">
            <v>7</v>
          </cell>
          <cell r="Y71">
            <v>4</v>
          </cell>
          <cell r="Z71">
            <v>61.962962962962955</v>
          </cell>
          <cell r="AB71">
            <v>66</v>
          </cell>
          <cell r="AC71">
            <v>5.5</v>
          </cell>
          <cell r="AD71">
            <v>62.803515319697134</v>
          </cell>
          <cell r="AE71" t="str">
            <v>М201БМИЭФ277</v>
          </cell>
        </row>
        <row r="72">
          <cell r="A72">
            <v>69</v>
          </cell>
          <cell r="B72">
            <v>60</v>
          </cell>
          <cell r="C72">
            <v>0.23154362416107382</v>
          </cell>
          <cell r="D72" t="str">
            <v>М201БМИЭФ072</v>
          </cell>
          <cell r="E72" t="str">
            <v>Гайнутдинова Амина Ринатовна</v>
          </cell>
          <cell r="F72">
            <v>2</v>
          </cell>
          <cell r="G72">
            <v>2</v>
          </cell>
          <cell r="H72">
            <v>60.20750000000001</v>
          </cell>
          <cell r="I72">
            <v>7</v>
          </cell>
          <cell r="J72">
            <v>4</v>
          </cell>
          <cell r="K72">
            <v>47.105356782106782</v>
          </cell>
          <cell r="L72">
            <v>6</v>
          </cell>
          <cell r="M72">
            <v>4</v>
          </cell>
          <cell r="N72">
            <v>64.438888888888854</v>
          </cell>
          <cell r="O72">
            <v>7</v>
          </cell>
          <cell r="P72">
            <v>4</v>
          </cell>
          <cell r="Q72">
            <v>66</v>
          </cell>
          <cell r="R72">
            <v>7</v>
          </cell>
          <cell r="S72">
            <v>4</v>
          </cell>
          <cell r="Z72">
            <v>69.333333333333343</v>
          </cell>
          <cell r="AB72">
            <v>69.3</v>
          </cell>
          <cell r="AC72">
            <v>5.5</v>
          </cell>
          <cell r="AD72">
            <v>62.433650728059824</v>
          </cell>
          <cell r="AE72" t="str">
            <v>М201БМИЭФ072</v>
          </cell>
        </row>
        <row r="73">
          <cell r="A73">
            <v>70</v>
          </cell>
          <cell r="B73">
            <v>61</v>
          </cell>
          <cell r="C73">
            <v>0.2348993288590604</v>
          </cell>
          <cell r="D73" t="str">
            <v>М201БМИЭФ282</v>
          </cell>
          <cell r="E73" t="str">
            <v>Экономова Мария Александровна</v>
          </cell>
          <cell r="F73">
            <v>5</v>
          </cell>
          <cell r="G73">
            <v>8</v>
          </cell>
          <cell r="H73">
            <v>58.507884615384611</v>
          </cell>
          <cell r="I73">
            <v>7</v>
          </cell>
          <cell r="J73">
            <v>4</v>
          </cell>
          <cell r="K73">
            <v>45.143265548681953</v>
          </cell>
          <cell r="L73">
            <v>6</v>
          </cell>
          <cell r="M73">
            <v>4</v>
          </cell>
          <cell r="N73">
            <v>63.666666666666657</v>
          </cell>
          <cell r="O73">
            <v>7</v>
          </cell>
          <cell r="P73">
            <v>4</v>
          </cell>
          <cell r="Q73">
            <v>67</v>
          </cell>
          <cell r="R73">
            <v>7</v>
          </cell>
          <cell r="S73">
            <v>4</v>
          </cell>
          <cell r="Z73">
            <v>68.407407407407405</v>
          </cell>
          <cell r="AB73">
            <v>73.7</v>
          </cell>
          <cell r="AC73">
            <v>5.5</v>
          </cell>
          <cell r="AD73">
            <v>62.35004077057102</v>
          </cell>
          <cell r="AE73" t="str">
            <v>М201БМИЭФ282</v>
          </cell>
        </row>
        <row r="74">
          <cell r="A74">
            <v>71</v>
          </cell>
          <cell r="B74">
            <v>62</v>
          </cell>
          <cell r="C74">
            <v>0.23825503355704697</v>
          </cell>
          <cell r="D74" t="str">
            <v>М201БМИЭФ096</v>
          </cell>
          <cell r="E74" t="str">
            <v>Егорова Елизавета Борисовна</v>
          </cell>
          <cell r="F74">
            <v>10</v>
          </cell>
          <cell r="G74">
            <v>13</v>
          </cell>
          <cell r="H74">
            <v>63.81051282051282</v>
          </cell>
          <cell r="I74">
            <v>7</v>
          </cell>
          <cell r="J74">
            <v>4</v>
          </cell>
          <cell r="K74">
            <v>54.553098845598846</v>
          </cell>
          <cell r="L74">
            <v>6</v>
          </cell>
          <cell r="M74">
            <v>4</v>
          </cell>
          <cell r="N74">
            <v>56.365888888888854</v>
          </cell>
          <cell r="O74">
            <v>6</v>
          </cell>
          <cell r="P74">
            <v>4</v>
          </cell>
          <cell r="Q74">
            <v>60</v>
          </cell>
          <cell r="R74">
            <v>7</v>
          </cell>
          <cell r="S74">
            <v>4</v>
          </cell>
          <cell r="Z74">
            <v>69.074074074074076</v>
          </cell>
          <cell r="AB74">
            <v>69</v>
          </cell>
          <cell r="AC74">
            <v>5.5</v>
          </cell>
          <cell r="AD74">
            <v>62.327922659831749</v>
          </cell>
          <cell r="AE74" t="str">
            <v>М201БМИЭФ096</v>
          </cell>
        </row>
        <row r="75">
          <cell r="A75">
            <v>72</v>
          </cell>
          <cell r="B75">
            <v>63</v>
          </cell>
          <cell r="C75">
            <v>0.24161073825503357</v>
          </cell>
          <cell r="D75" t="str">
            <v>М201БМИЭФ131</v>
          </cell>
          <cell r="E75" t="str">
            <v>Конькова Арина Александровна</v>
          </cell>
          <cell r="F75">
            <v>6</v>
          </cell>
          <cell r="G75">
            <v>7</v>
          </cell>
          <cell r="H75">
            <v>63.843141025641025</v>
          </cell>
          <cell r="I75">
            <v>7</v>
          </cell>
          <cell r="J75">
            <v>4</v>
          </cell>
          <cell r="K75">
            <v>51.505026010442407</v>
          </cell>
          <cell r="L75">
            <v>6</v>
          </cell>
          <cell r="M75">
            <v>4</v>
          </cell>
          <cell r="N75">
            <v>49.879166666666691</v>
          </cell>
          <cell r="O75">
            <v>5</v>
          </cell>
          <cell r="P75">
            <v>3</v>
          </cell>
          <cell r="Q75">
            <v>58</v>
          </cell>
          <cell r="R75">
            <v>6</v>
          </cell>
          <cell r="S75">
            <v>4</v>
          </cell>
          <cell r="Z75">
            <v>74.111111111111114</v>
          </cell>
          <cell r="AB75">
            <v>74</v>
          </cell>
          <cell r="AC75">
            <v>5.5</v>
          </cell>
          <cell r="AD75">
            <v>62.243353602520216</v>
          </cell>
          <cell r="AE75" t="str">
            <v>М201БМИЭФ131</v>
          </cell>
        </row>
        <row r="76">
          <cell r="A76">
            <v>73</v>
          </cell>
          <cell r="B76">
            <v>64</v>
          </cell>
          <cell r="C76">
            <v>0.24496644295302014</v>
          </cell>
          <cell r="D76" t="str">
            <v>М201БМИЭФ220</v>
          </cell>
          <cell r="E76" t="str">
            <v>Синельник Софья Вадимовна</v>
          </cell>
          <cell r="F76">
            <v>3</v>
          </cell>
          <cell r="G76">
            <v>4</v>
          </cell>
          <cell r="H76">
            <v>65.168846153846147</v>
          </cell>
          <cell r="I76">
            <v>8</v>
          </cell>
          <cell r="J76">
            <v>5</v>
          </cell>
          <cell r="K76">
            <v>41.186141966571121</v>
          </cell>
          <cell r="L76">
            <v>5</v>
          </cell>
          <cell r="M76">
            <v>3</v>
          </cell>
          <cell r="N76">
            <v>65.900000000000006</v>
          </cell>
          <cell r="O76">
            <v>7</v>
          </cell>
          <cell r="P76">
            <v>4</v>
          </cell>
          <cell r="Q76">
            <v>77</v>
          </cell>
          <cell r="R76">
            <v>8</v>
          </cell>
          <cell r="S76">
            <v>5</v>
          </cell>
          <cell r="Z76">
            <v>70.333333333333343</v>
          </cell>
          <cell r="AB76">
            <v>61</v>
          </cell>
          <cell r="AC76">
            <v>5.5</v>
          </cell>
          <cell r="AD76">
            <v>62.197876627954656</v>
          </cell>
          <cell r="AE76" t="str">
            <v>М201БМИЭФ220</v>
          </cell>
        </row>
        <row r="77">
          <cell r="A77">
            <v>74</v>
          </cell>
          <cell r="B77">
            <v>65</v>
          </cell>
          <cell r="C77">
            <v>0.24832214765100671</v>
          </cell>
          <cell r="D77" t="str">
            <v>М201БМИЭФ233</v>
          </cell>
          <cell r="E77" t="str">
            <v>Тарасов Кирилл Олегович</v>
          </cell>
          <cell r="F77">
            <v>11</v>
          </cell>
          <cell r="G77">
            <v>14</v>
          </cell>
          <cell r="H77">
            <v>59.245769230769227</v>
          </cell>
          <cell r="I77">
            <v>7</v>
          </cell>
          <cell r="J77">
            <v>4</v>
          </cell>
          <cell r="K77">
            <v>34.650762908589002</v>
          </cell>
          <cell r="L77">
            <v>4</v>
          </cell>
          <cell r="M77">
            <v>3</v>
          </cell>
          <cell r="N77">
            <v>64.509055555555548</v>
          </cell>
          <cell r="O77">
            <v>7</v>
          </cell>
          <cell r="P77">
            <v>4</v>
          </cell>
          <cell r="Q77">
            <v>81</v>
          </cell>
          <cell r="R77">
            <v>9</v>
          </cell>
          <cell r="S77">
            <v>5</v>
          </cell>
          <cell r="Z77">
            <v>76.518518518518505</v>
          </cell>
          <cell r="AB77">
            <v>65.7</v>
          </cell>
          <cell r="AC77">
            <v>5.5</v>
          </cell>
          <cell r="AD77">
            <v>62.022564766078602</v>
          </cell>
          <cell r="AE77" t="str">
            <v>М201БМИЭФ233</v>
          </cell>
        </row>
        <row r="78">
          <cell r="A78">
            <v>75</v>
          </cell>
          <cell r="B78">
            <v>66</v>
          </cell>
          <cell r="C78">
            <v>0.25167785234899331</v>
          </cell>
          <cell r="D78" t="str">
            <v>М201БМИЭФ112</v>
          </cell>
          <cell r="E78" t="str">
            <v>Калиновский Алексей Александрович</v>
          </cell>
          <cell r="F78">
            <v>3</v>
          </cell>
          <cell r="G78">
            <v>5</v>
          </cell>
          <cell r="H78">
            <v>72.877435897435902</v>
          </cell>
          <cell r="I78">
            <v>9</v>
          </cell>
          <cell r="J78">
            <v>5</v>
          </cell>
          <cell r="K78">
            <v>55.603437759258604</v>
          </cell>
          <cell r="L78">
            <v>7</v>
          </cell>
          <cell r="M78">
            <v>4</v>
          </cell>
          <cell r="N78">
            <v>65.316666666666691</v>
          </cell>
          <cell r="O78">
            <v>7</v>
          </cell>
          <cell r="P78">
            <v>4</v>
          </cell>
          <cell r="Q78">
            <v>50</v>
          </cell>
          <cell r="R78">
            <v>6</v>
          </cell>
          <cell r="S78">
            <v>4</v>
          </cell>
          <cell r="Z78">
            <v>63.148148148148152</v>
          </cell>
          <cell r="AA78">
            <v>58</v>
          </cell>
          <cell r="AC78">
            <v>5.5</v>
          </cell>
          <cell r="AD78">
            <v>61.80830699481988</v>
          </cell>
          <cell r="AE78" t="str">
            <v>М201БМИЭФ112</v>
          </cell>
        </row>
        <row r="79">
          <cell r="A79">
            <v>76</v>
          </cell>
          <cell r="B79">
            <v>67</v>
          </cell>
          <cell r="C79">
            <v>0.25503355704697989</v>
          </cell>
          <cell r="D79" t="str">
            <v>М201БМИЭФ013</v>
          </cell>
          <cell r="E79" t="str">
            <v>Лу Цзянь</v>
          </cell>
          <cell r="F79">
            <v>9</v>
          </cell>
          <cell r="G79">
            <v>5</v>
          </cell>
          <cell r="H79">
            <v>57.459423076923073</v>
          </cell>
          <cell r="I79">
            <v>7</v>
          </cell>
          <cell r="J79">
            <v>4</v>
          </cell>
          <cell r="K79">
            <v>65.359003030303029</v>
          </cell>
          <cell r="L79">
            <v>8</v>
          </cell>
          <cell r="M79">
            <v>5</v>
          </cell>
          <cell r="N79">
            <v>78.279833333333357</v>
          </cell>
          <cell r="O79">
            <v>8</v>
          </cell>
          <cell r="P79">
            <v>5</v>
          </cell>
          <cell r="T79">
            <v>48</v>
          </cell>
          <cell r="U79">
            <v>5</v>
          </cell>
          <cell r="V79">
            <v>3</v>
          </cell>
          <cell r="Z79">
            <v>56.111111111111114</v>
          </cell>
          <cell r="AB79">
            <v>58.5</v>
          </cell>
          <cell r="AC79">
            <v>5.5</v>
          </cell>
          <cell r="AD79">
            <v>61.765340100303732</v>
          </cell>
          <cell r="AE79" t="str">
            <v>М201БМИЭФ013</v>
          </cell>
        </row>
        <row r="80">
          <cell r="A80">
            <v>77</v>
          </cell>
          <cell r="B80">
            <v>68</v>
          </cell>
          <cell r="C80">
            <v>0.25838926174496646</v>
          </cell>
          <cell r="D80" t="str">
            <v>М201БМИЭФ011</v>
          </cell>
          <cell r="E80" t="str">
            <v>Ишутина Александра</v>
          </cell>
          <cell r="F80" t="str">
            <v>12 online</v>
          </cell>
          <cell r="G80" t="str">
            <v>17 online</v>
          </cell>
          <cell r="H80">
            <v>30.73</v>
          </cell>
          <cell r="I80">
            <v>3</v>
          </cell>
          <cell r="J80">
            <v>2</v>
          </cell>
          <cell r="K80">
            <v>71.907541242541242</v>
          </cell>
          <cell r="L80">
            <v>8</v>
          </cell>
          <cell r="M80">
            <v>5</v>
          </cell>
          <cell r="N80">
            <v>61.626888888888857</v>
          </cell>
          <cell r="O80">
            <v>7</v>
          </cell>
          <cell r="P80">
            <v>4</v>
          </cell>
          <cell r="Q80">
            <v>47</v>
          </cell>
          <cell r="R80">
            <v>5</v>
          </cell>
          <cell r="S80">
            <v>3</v>
          </cell>
          <cell r="Z80">
            <v>79.148148148148152</v>
          </cell>
          <cell r="AA80">
            <v>72.666666666666671</v>
          </cell>
          <cell r="AC80">
            <v>5.5</v>
          </cell>
          <cell r="AD80">
            <v>61.741680899317267</v>
          </cell>
          <cell r="AE80" t="str">
            <v>М201БМИЭФ011</v>
          </cell>
        </row>
        <row r="81">
          <cell r="A81">
            <v>78</v>
          </cell>
          <cell r="B81">
            <v>69</v>
          </cell>
          <cell r="C81">
            <v>0.26174496644295303</v>
          </cell>
          <cell r="D81" t="str">
            <v>М201БМИЭФ213</v>
          </cell>
          <cell r="E81" t="str">
            <v>Сайфуллин Арсен Эдуардович</v>
          </cell>
          <cell r="F81">
            <v>6</v>
          </cell>
          <cell r="G81">
            <v>7</v>
          </cell>
          <cell r="H81">
            <v>56.675641025641028</v>
          </cell>
          <cell r="I81">
            <v>7</v>
          </cell>
          <cell r="J81">
            <v>4</v>
          </cell>
          <cell r="K81">
            <v>50.931713400339575</v>
          </cell>
          <cell r="L81">
            <v>6</v>
          </cell>
          <cell r="M81">
            <v>4</v>
          </cell>
          <cell r="N81">
            <v>64.581222222222237</v>
          </cell>
          <cell r="O81">
            <v>7</v>
          </cell>
          <cell r="P81">
            <v>4</v>
          </cell>
          <cell r="Q81">
            <v>68</v>
          </cell>
          <cell r="R81">
            <v>7</v>
          </cell>
          <cell r="S81">
            <v>4</v>
          </cell>
          <cell r="Z81">
            <v>67.81481481481481</v>
          </cell>
          <cell r="AB81">
            <v>63.8</v>
          </cell>
          <cell r="AC81">
            <v>5.5</v>
          </cell>
          <cell r="AD81">
            <v>61.418798447821402</v>
          </cell>
          <cell r="AE81" t="str">
            <v>М201БМИЭФ213</v>
          </cell>
        </row>
        <row r="82">
          <cell r="A82">
            <v>79</v>
          </cell>
          <cell r="B82">
            <v>70</v>
          </cell>
          <cell r="C82">
            <v>0.2651006711409396</v>
          </cell>
          <cell r="D82" t="str">
            <v>М201БМИЭФ157</v>
          </cell>
          <cell r="E82" t="str">
            <v>Малькова Софья Алексеевна</v>
          </cell>
          <cell r="F82">
            <v>8</v>
          </cell>
          <cell r="G82">
            <v>12</v>
          </cell>
          <cell r="H82">
            <v>64.038974358974357</v>
          </cell>
          <cell r="I82">
            <v>8</v>
          </cell>
          <cell r="J82">
            <v>5</v>
          </cell>
          <cell r="K82">
            <v>41.987516592103546</v>
          </cell>
          <cell r="L82">
            <v>5</v>
          </cell>
          <cell r="M82">
            <v>3</v>
          </cell>
          <cell r="N82">
            <v>67.1111111111111</v>
          </cell>
          <cell r="O82">
            <v>7</v>
          </cell>
          <cell r="P82">
            <v>4</v>
          </cell>
          <cell r="Q82">
            <v>71</v>
          </cell>
          <cell r="R82">
            <v>8</v>
          </cell>
          <cell r="S82">
            <v>5</v>
          </cell>
          <cell r="Z82">
            <v>61.44444444444445</v>
          </cell>
          <cell r="AB82">
            <v>67.5</v>
          </cell>
          <cell r="AC82">
            <v>5.5</v>
          </cell>
          <cell r="AD82">
            <v>61.378553910296993</v>
          </cell>
          <cell r="AE82" t="str">
            <v>М201БМИЭФ157</v>
          </cell>
        </row>
        <row r="83">
          <cell r="A83">
            <v>80</v>
          </cell>
          <cell r="B83">
            <v>71</v>
          </cell>
          <cell r="C83">
            <v>0.26845637583892618</v>
          </cell>
          <cell r="D83" t="str">
            <v>М201БМИЭФ297</v>
          </cell>
          <cell r="E83" t="str">
            <v>Хакимов Санжар Зафарович</v>
          </cell>
          <cell r="F83" t="str">
            <v>12 online</v>
          </cell>
          <cell r="G83" t="str">
            <v>17 online</v>
          </cell>
          <cell r="H83">
            <v>54.385961538461544</v>
          </cell>
          <cell r="I83">
            <v>6</v>
          </cell>
          <cell r="J83">
            <v>4</v>
          </cell>
          <cell r="K83">
            <v>69.046909003159001</v>
          </cell>
          <cell r="L83">
            <v>8</v>
          </cell>
          <cell r="M83">
            <v>5</v>
          </cell>
          <cell r="N83">
            <v>82.756722222222237</v>
          </cell>
          <cell r="O83">
            <v>9</v>
          </cell>
          <cell r="P83">
            <v>5</v>
          </cell>
          <cell r="Q83">
            <v>72</v>
          </cell>
          <cell r="R83">
            <v>8</v>
          </cell>
          <cell r="S83">
            <v>5</v>
          </cell>
          <cell r="Z83">
            <v>72.666666666666657</v>
          </cell>
          <cell r="AB83">
            <v>21.5</v>
          </cell>
          <cell r="AC83">
            <v>5.5</v>
          </cell>
          <cell r="AD83">
            <v>61.1556835328199</v>
          </cell>
          <cell r="AE83" t="str">
            <v>М201БМИЭФ297</v>
          </cell>
        </row>
        <row r="84">
          <cell r="A84">
            <v>81</v>
          </cell>
          <cell r="B84">
            <v>72</v>
          </cell>
          <cell r="C84">
            <v>0.27181208053691275</v>
          </cell>
          <cell r="D84" t="str">
            <v>М201БМИЭФ278</v>
          </cell>
          <cell r="E84" t="str">
            <v>Шумилов Егор Дмитриевич</v>
          </cell>
          <cell r="F84">
            <v>6</v>
          </cell>
          <cell r="G84">
            <v>8</v>
          </cell>
          <cell r="H84">
            <v>52.233846153846152</v>
          </cell>
          <cell r="I84">
            <v>6</v>
          </cell>
          <cell r="J84">
            <v>4</v>
          </cell>
          <cell r="K84">
            <v>58.645662589163372</v>
          </cell>
          <cell r="L84">
            <v>7</v>
          </cell>
          <cell r="M84">
            <v>4</v>
          </cell>
          <cell r="N84">
            <v>65.74444444444444</v>
          </cell>
          <cell r="O84">
            <v>7</v>
          </cell>
          <cell r="P84">
            <v>4</v>
          </cell>
          <cell r="T84">
            <v>74</v>
          </cell>
          <cell r="U84">
            <v>8</v>
          </cell>
          <cell r="V84">
            <v>5</v>
          </cell>
          <cell r="Z84">
            <v>67.925925925925938</v>
          </cell>
          <cell r="AB84">
            <v>54.5</v>
          </cell>
          <cell r="AC84">
            <v>5.5</v>
          </cell>
          <cell r="AD84">
            <v>61.099978020614529</v>
          </cell>
          <cell r="AE84" t="str">
            <v>М201БМИЭФ278</v>
          </cell>
        </row>
        <row r="85">
          <cell r="A85">
            <v>82</v>
          </cell>
          <cell r="B85">
            <v>73</v>
          </cell>
          <cell r="C85">
            <v>0.27516778523489932</v>
          </cell>
          <cell r="D85" t="str">
            <v>М201БМИЭФ229</v>
          </cell>
          <cell r="E85" t="str">
            <v>Стукан Дмитрий Александрович</v>
          </cell>
          <cell r="F85">
            <v>3</v>
          </cell>
          <cell r="G85">
            <v>6</v>
          </cell>
          <cell r="H85">
            <v>66.34128205128205</v>
          </cell>
          <cell r="I85">
            <v>8</v>
          </cell>
          <cell r="J85">
            <v>5</v>
          </cell>
          <cell r="K85">
            <v>70.250374605337129</v>
          </cell>
          <cell r="L85">
            <v>8</v>
          </cell>
          <cell r="M85">
            <v>5</v>
          </cell>
          <cell r="N85">
            <v>74.194444444444457</v>
          </cell>
          <cell r="O85">
            <v>8</v>
          </cell>
          <cell r="P85">
            <v>5</v>
          </cell>
          <cell r="Q85">
            <v>74</v>
          </cell>
          <cell r="R85">
            <v>8</v>
          </cell>
          <cell r="S85">
            <v>5</v>
          </cell>
          <cell r="Z85">
            <v>54.814814814814817</v>
          </cell>
          <cell r="AB85">
            <v>33.299999999999997</v>
          </cell>
          <cell r="AC85">
            <v>5.5</v>
          </cell>
          <cell r="AD85">
            <v>61.072893802887002</v>
          </cell>
          <cell r="AE85" t="str">
            <v>М201БМИЭФ229</v>
          </cell>
        </row>
        <row r="86">
          <cell r="A86">
            <v>83</v>
          </cell>
          <cell r="B86">
            <v>74</v>
          </cell>
          <cell r="C86">
            <v>0.27852348993288589</v>
          </cell>
          <cell r="D86" t="str">
            <v>М201БМИЭФ009</v>
          </cell>
          <cell r="E86" t="str">
            <v>Даупбаева Айганым</v>
          </cell>
          <cell r="F86" t="str">
            <v>12 online</v>
          </cell>
          <cell r="G86" t="str">
            <v>17 online</v>
          </cell>
          <cell r="H86">
            <v>68.617500000000007</v>
          </cell>
          <cell r="I86">
            <v>8</v>
          </cell>
          <cell r="J86">
            <v>5</v>
          </cell>
          <cell r="K86">
            <v>47.826110818610815</v>
          </cell>
          <cell r="L86">
            <v>6</v>
          </cell>
          <cell r="M86">
            <v>4</v>
          </cell>
          <cell r="N86">
            <v>67.735388888888906</v>
          </cell>
          <cell r="O86">
            <v>7</v>
          </cell>
          <cell r="P86">
            <v>4</v>
          </cell>
          <cell r="T86">
            <v>60</v>
          </cell>
          <cell r="U86">
            <v>7</v>
          </cell>
          <cell r="V86">
            <v>4</v>
          </cell>
          <cell r="Z86">
            <v>79.296296296296291</v>
          </cell>
          <cell r="AB86">
            <v>42.2</v>
          </cell>
          <cell r="AC86">
            <v>5.5</v>
          </cell>
          <cell r="AD86">
            <v>61.031872000690186</v>
          </cell>
          <cell r="AE86" t="str">
            <v>М201БМИЭФ009</v>
          </cell>
        </row>
        <row r="87">
          <cell r="A87">
            <v>84</v>
          </cell>
          <cell r="B87">
            <v>75</v>
          </cell>
          <cell r="C87">
            <v>0.28187919463087246</v>
          </cell>
          <cell r="D87" t="str">
            <v>М201БМИЭФ206</v>
          </cell>
          <cell r="E87" t="str">
            <v>Рафаелян Георгий Робертович</v>
          </cell>
          <cell r="F87">
            <v>10</v>
          </cell>
          <cell r="G87">
            <v>13</v>
          </cell>
          <cell r="H87">
            <v>56.036217948717947</v>
          </cell>
          <cell r="I87">
            <v>7</v>
          </cell>
          <cell r="J87">
            <v>4</v>
          </cell>
          <cell r="K87">
            <v>51.759329004328997</v>
          </cell>
          <cell r="L87">
            <v>6</v>
          </cell>
          <cell r="M87">
            <v>4</v>
          </cell>
          <cell r="N87">
            <v>51.883833333333307</v>
          </cell>
          <cell r="O87">
            <v>6</v>
          </cell>
          <cell r="P87">
            <v>4</v>
          </cell>
          <cell r="T87">
            <v>76</v>
          </cell>
          <cell r="U87">
            <v>8</v>
          </cell>
          <cell r="V87">
            <v>5</v>
          </cell>
          <cell r="Z87">
            <v>68.888888888888886</v>
          </cell>
          <cell r="AA87">
            <v>68.666666666666657</v>
          </cell>
          <cell r="AC87">
            <v>5.5</v>
          </cell>
          <cell r="AD87">
            <v>60.9518065167156</v>
          </cell>
          <cell r="AE87" t="str">
            <v>М201БМИЭФ206</v>
          </cell>
        </row>
        <row r="88">
          <cell r="A88">
            <v>85</v>
          </cell>
          <cell r="B88">
            <v>76</v>
          </cell>
          <cell r="C88">
            <v>0.28523489932885904</v>
          </cell>
          <cell r="D88" t="str">
            <v>М201БМИЭФ076</v>
          </cell>
          <cell r="E88" t="str">
            <v>Гиниятуллин Эрнест Эдуардович</v>
          </cell>
          <cell r="F88">
            <v>2</v>
          </cell>
          <cell r="G88">
            <v>1</v>
          </cell>
          <cell r="H88">
            <v>54.431089743589737</v>
          </cell>
          <cell r="I88">
            <v>6</v>
          </cell>
          <cell r="J88">
            <v>4</v>
          </cell>
          <cell r="K88">
            <v>44.207131313131306</v>
          </cell>
          <cell r="L88">
            <v>5</v>
          </cell>
          <cell r="M88">
            <v>3</v>
          </cell>
          <cell r="N88">
            <v>70.055555555555543</v>
          </cell>
          <cell r="O88">
            <v>8</v>
          </cell>
          <cell r="P88">
            <v>5</v>
          </cell>
          <cell r="T88">
            <v>46</v>
          </cell>
          <cell r="U88">
            <v>5</v>
          </cell>
          <cell r="V88">
            <v>3</v>
          </cell>
          <cell r="Z88">
            <v>69.925925925925938</v>
          </cell>
          <cell r="AB88">
            <v>71.3</v>
          </cell>
          <cell r="AC88">
            <v>5.5</v>
          </cell>
          <cell r="AD88">
            <v>60.53085500694592</v>
          </cell>
          <cell r="AE88" t="str">
            <v>М201БМИЭФ076</v>
          </cell>
        </row>
        <row r="89">
          <cell r="A89">
            <v>86</v>
          </cell>
          <cell r="B89">
            <v>77</v>
          </cell>
          <cell r="C89">
            <v>0.28859060402684567</v>
          </cell>
          <cell r="D89" t="str">
            <v>М201БМИЭФ145</v>
          </cell>
          <cell r="E89" t="str">
            <v>Курмукова Дарья Илдаровна</v>
          </cell>
          <cell r="F89">
            <v>4</v>
          </cell>
          <cell r="G89">
            <v>5</v>
          </cell>
          <cell r="H89">
            <v>50.447692307692307</v>
          </cell>
          <cell r="I89">
            <v>6</v>
          </cell>
          <cell r="J89">
            <v>4</v>
          </cell>
          <cell r="K89">
            <v>49.45211173023673</v>
          </cell>
          <cell r="L89">
            <v>6</v>
          </cell>
          <cell r="M89">
            <v>4</v>
          </cell>
          <cell r="N89">
            <v>52.978666666666655</v>
          </cell>
          <cell r="O89">
            <v>6</v>
          </cell>
          <cell r="P89">
            <v>4</v>
          </cell>
          <cell r="Q89">
            <v>57</v>
          </cell>
          <cell r="R89">
            <v>6</v>
          </cell>
          <cell r="S89">
            <v>4</v>
          </cell>
          <cell r="Z89">
            <v>73</v>
          </cell>
          <cell r="AA89">
            <v>78</v>
          </cell>
          <cell r="AC89">
            <v>5.5</v>
          </cell>
          <cell r="AD89">
            <v>60.4324492190174</v>
          </cell>
          <cell r="AE89" t="str">
            <v>М201БМИЭФ145</v>
          </cell>
        </row>
        <row r="90">
          <cell r="A90">
            <v>87</v>
          </cell>
          <cell r="B90">
            <v>78</v>
          </cell>
          <cell r="C90">
            <v>0.29194630872483224</v>
          </cell>
          <cell r="D90" t="str">
            <v>М201БМИЭФ251</v>
          </cell>
          <cell r="E90" t="str">
            <v>Флегонтов Антон Алексеевич</v>
          </cell>
          <cell r="F90">
            <v>1</v>
          </cell>
          <cell r="G90">
            <v>3</v>
          </cell>
          <cell r="H90">
            <v>58.643012820512823</v>
          </cell>
          <cell r="I90">
            <v>7</v>
          </cell>
          <cell r="J90">
            <v>4</v>
          </cell>
          <cell r="K90">
            <v>60.017706421356422</v>
          </cell>
          <cell r="L90">
            <v>7</v>
          </cell>
          <cell r="M90">
            <v>4</v>
          </cell>
          <cell r="N90">
            <v>75.458555555555549</v>
          </cell>
          <cell r="O90">
            <v>8</v>
          </cell>
          <cell r="P90">
            <v>5</v>
          </cell>
          <cell r="W90">
            <v>67.900000000000006</v>
          </cell>
          <cell r="X90">
            <v>6</v>
          </cell>
          <cell r="Y90">
            <v>4</v>
          </cell>
          <cell r="Z90">
            <v>60.407407407407405</v>
          </cell>
          <cell r="AB90">
            <v>42</v>
          </cell>
          <cell r="AC90">
            <v>5.5</v>
          </cell>
          <cell r="AD90">
            <v>60.086669491787667</v>
          </cell>
          <cell r="AE90" t="str">
            <v>М201БМИЭФ251</v>
          </cell>
        </row>
        <row r="91">
          <cell r="A91">
            <v>88</v>
          </cell>
          <cell r="B91">
            <v>79</v>
          </cell>
          <cell r="C91">
            <v>0.29530201342281881</v>
          </cell>
          <cell r="D91" t="str">
            <v>М201БМИЭФ272</v>
          </cell>
          <cell r="E91" t="str">
            <v>Шерман Лея Александровна</v>
          </cell>
          <cell r="F91">
            <v>1</v>
          </cell>
          <cell r="G91">
            <v>3</v>
          </cell>
          <cell r="H91">
            <v>48.837499999999999</v>
          </cell>
          <cell r="I91">
            <v>6</v>
          </cell>
          <cell r="J91">
            <v>4</v>
          </cell>
          <cell r="K91">
            <v>51.373677344877343</v>
          </cell>
          <cell r="L91">
            <v>6</v>
          </cell>
          <cell r="M91">
            <v>4</v>
          </cell>
          <cell r="N91">
            <v>57.700944444444453</v>
          </cell>
          <cell r="O91">
            <v>6</v>
          </cell>
          <cell r="P91">
            <v>4</v>
          </cell>
          <cell r="Q91">
            <v>76</v>
          </cell>
          <cell r="R91">
            <v>8</v>
          </cell>
          <cell r="S91">
            <v>5</v>
          </cell>
          <cell r="Z91">
            <v>60.296296296296291</v>
          </cell>
          <cell r="AB91">
            <v>72</v>
          </cell>
          <cell r="AC91">
            <v>5.5</v>
          </cell>
          <cell r="AD91">
            <v>59.67425783374874</v>
          </cell>
          <cell r="AE91" t="str">
            <v>М201БМИЭФ272</v>
          </cell>
        </row>
        <row r="92">
          <cell r="A92">
            <v>89</v>
          </cell>
          <cell r="B92" t="str">
            <v>нет</v>
          </cell>
          <cell r="C92">
            <v>0.29865771812080538</v>
          </cell>
          <cell r="D92" t="str">
            <v>М201БМИЭФ185</v>
          </cell>
          <cell r="E92" t="str">
            <v>Оганов Михаил Владимирович</v>
          </cell>
          <cell r="F92">
            <v>1</v>
          </cell>
          <cell r="G92">
            <v>3</v>
          </cell>
          <cell r="H92">
            <v>70.337371794871785</v>
          </cell>
          <cell r="I92">
            <v>8</v>
          </cell>
          <cell r="J92">
            <v>5</v>
          </cell>
          <cell r="K92">
            <v>55.348531746031746</v>
          </cell>
          <cell r="L92">
            <v>7</v>
          </cell>
          <cell r="M92">
            <v>4</v>
          </cell>
          <cell r="N92">
            <v>66.417555555555552</v>
          </cell>
          <cell r="O92">
            <v>7</v>
          </cell>
          <cell r="P92">
            <v>4</v>
          </cell>
          <cell r="Q92">
            <v>62</v>
          </cell>
          <cell r="R92">
            <v>7</v>
          </cell>
          <cell r="S92">
            <v>4</v>
          </cell>
          <cell r="Z92">
            <v>46.481481481481481</v>
          </cell>
          <cell r="AB92">
            <v>58</v>
          </cell>
          <cell r="AC92">
            <v>5.5</v>
          </cell>
          <cell r="AD92">
            <v>59.560898286898279</v>
          </cell>
          <cell r="AE92" t="str">
            <v>М201БМИЭФ185</v>
          </cell>
        </row>
        <row r="93">
          <cell r="A93">
            <v>90</v>
          </cell>
          <cell r="B93">
            <v>80</v>
          </cell>
          <cell r="C93">
            <v>0.30201342281879195</v>
          </cell>
          <cell r="D93" t="str">
            <v>М201БМИЭФ210</v>
          </cell>
          <cell r="E93" t="str">
            <v>Рубан Иван Константинович</v>
          </cell>
          <cell r="F93">
            <v>4</v>
          </cell>
          <cell r="G93">
            <v>4</v>
          </cell>
          <cell r="H93">
            <v>57.491538461538461</v>
          </cell>
          <cell r="I93">
            <v>7</v>
          </cell>
          <cell r="J93">
            <v>4</v>
          </cell>
          <cell r="K93">
            <v>38.220389659139656</v>
          </cell>
          <cell r="L93">
            <v>5</v>
          </cell>
          <cell r="M93">
            <v>3</v>
          </cell>
          <cell r="N93">
            <v>62.052333333333351</v>
          </cell>
          <cell r="O93">
            <v>7</v>
          </cell>
          <cell r="P93">
            <v>4</v>
          </cell>
          <cell r="T93">
            <v>74</v>
          </cell>
          <cell r="U93">
            <v>8</v>
          </cell>
          <cell r="V93">
            <v>5</v>
          </cell>
          <cell r="Z93">
            <v>69.444444444444443</v>
          </cell>
          <cell r="AA93">
            <v>62.666666666666671</v>
          </cell>
          <cell r="AC93">
            <v>5.5</v>
          </cell>
          <cell r="AD93">
            <v>59.431885920931386</v>
          </cell>
          <cell r="AE93" t="str">
            <v>М201БМИЭФ210</v>
          </cell>
        </row>
        <row r="94">
          <cell r="A94">
            <v>91</v>
          </cell>
          <cell r="B94">
            <v>81</v>
          </cell>
          <cell r="C94">
            <v>0.30536912751677853</v>
          </cell>
          <cell r="D94" t="str">
            <v>М201БМИЭФ043</v>
          </cell>
          <cell r="E94" t="str">
            <v>Багдасарова Ангелина Рафиковна</v>
          </cell>
          <cell r="F94">
            <v>7</v>
          </cell>
          <cell r="G94">
            <v>11</v>
          </cell>
          <cell r="H94">
            <v>52.0647435897436</v>
          </cell>
          <cell r="I94">
            <v>6</v>
          </cell>
          <cell r="J94">
            <v>4</v>
          </cell>
          <cell r="K94">
            <v>37.036491341991344</v>
          </cell>
          <cell r="L94">
            <v>5</v>
          </cell>
          <cell r="M94">
            <v>3</v>
          </cell>
          <cell r="N94">
            <v>73.405555555555537</v>
          </cell>
          <cell r="O94">
            <v>8</v>
          </cell>
          <cell r="P94">
            <v>5</v>
          </cell>
          <cell r="Q94">
            <v>61</v>
          </cell>
          <cell r="R94">
            <v>7</v>
          </cell>
          <cell r="S94">
            <v>4</v>
          </cell>
          <cell r="Z94">
            <v>72.666666666666657</v>
          </cell>
          <cell r="AB94">
            <v>61</v>
          </cell>
          <cell r="AC94">
            <v>5.5</v>
          </cell>
          <cell r="AD94">
            <v>59.395174027992205</v>
          </cell>
          <cell r="AE94" t="str">
            <v>М201БМИЭФ043</v>
          </cell>
        </row>
        <row r="95">
          <cell r="A95">
            <v>92</v>
          </cell>
          <cell r="B95">
            <v>82</v>
          </cell>
          <cell r="C95">
            <v>0.3087248322147651</v>
          </cell>
          <cell r="D95" t="str">
            <v>М201БМИЭФ117</v>
          </cell>
          <cell r="E95" t="str">
            <v>Козелло Екатерина Игоревна</v>
          </cell>
          <cell r="F95">
            <v>9</v>
          </cell>
          <cell r="G95">
            <v>15</v>
          </cell>
          <cell r="H95">
            <v>50.678333333333342</v>
          </cell>
          <cell r="I95">
            <v>6</v>
          </cell>
          <cell r="J95">
            <v>4</v>
          </cell>
          <cell r="K95">
            <v>38.755423809523812</v>
          </cell>
          <cell r="L95">
            <v>5</v>
          </cell>
          <cell r="M95">
            <v>3</v>
          </cell>
          <cell r="N95">
            <v>66.779222222222245</v>
          </cell>
          <cell r="O95">
            <v>7</v>
          </cell>
          <cell r="P95">
            <v>4</v>
          </cell>
          <cell r="Q95">
            <v>60</v>
          </cell>
          <cell r="R95">
            <v>7</v>
          </cell>
          <cell r="S95">
            <v>4</v>
          </cell>
          <cell r="Z95">
            <v>68.407407407407405</v>
          </cell>
          <cell r="AB95">
            <v>72</v>
          </cell>
          <cell r="AC95">
            <v>5.5</v>
          </cell>
          <cell r="AD95">
            <v>59.385524867724875</v>
          </cell>
          <cell r="AE95" t="str">
            <v>М201БМИЭФ117</v>
          </cell>
        </row>
        <row r="96">
          <cell r="A96">
            <v>93</v>
          </cell>
          <cell r="B96">
            <v>83</v>
          </cell>
          <cell r="C96">
            <v>0.31208053691275167</v>
          </cell>
          <cell r="D96" t="str">
            <v>М201БМИЭФ298</v>
          </cell>
          <cell r="E96" t="str">
            <v>Чан Ань Киет</v>
          </cell>
          <cell r="F96">
            <v>11</v>
          </cell>
          <cell r="G96">
            <v>14</v>
          </cell>
          <cell r="H96">
            <v>46.408782051282053</v>
          </cell>
          <cell r="I96">
            <v>5</v>
          </cell>
          <cell r="J96">
            <v>3</v>
          </cell>
          <cell r="K96">
            <v>56.379160957400082</v>
          </cell>
          <cell r="L96">
            <v>7</v>
          </cell>
          <cell r="M96">
            <v>4</v>
          </cell>
          <cell r="N96">
            <v>63.441722222222204</v>
          </cell>
          <cell r="O96">
            <v>7</v>
          </cell>
          <cell r="P96">
            <v>4</v>
          </cell>
          <cell r="Q96">
            <v>66</v>
          </cell>
          <cell r="R96">
            <v>7</v>
          </cell>
          <cell r="S96">
            <v>4</v>
          </cell>
          <cell r="Z96">
            <v>67.370370370370381</v>
          </cell>
          <cell r="AB96">
            <v>58.4</v>
          </cell>
          <cell r="AC96">
            <v>5.5</v>
          </cell>
          <cell r="AD96">
            <v>59.09091556386813</v>
          </cell>
          <cell r="AE96" t="str">
            <v>М201БМИЭФ298</v>
          </cell>
        </row>
        <row r="97">
          <cell r="A97">
            <v>94</v>
          </cell>
          <cell r="B97">
            <v>84</v>
          </cell>
          <cell r="C97">
            <v>0.31543624161073824</v>
          </cell>
          <cell r="D97" t="str">
            <v>М201БМИЭФ149</v>
          </cell>
          <cell r="E97" t="str">
            <v>Лиманский Лев Романович</v>
          </cell>
          <cell r="F97">
            <v>11</v>
          </cell>
          <cell r="G97">
            <v>14</v>
          </cell>
          <cell r="H97">
            <v>47.076410256410256</v>
          </cell>
          <cell r="I97">
            <v>6</v>
          </cell>
          <cell r="J97">
            <v>4</v>
          </cell>
          <cell r="K97">
            <v>35.850328340741385</v>
          </cell>
          <cell r="L97">
            <v>5</v>
          </cell>
          <cell r="M97">
            <v>3</v>
          </cell>
          <cell r="N97">
            <v>59.568000000000005</v>
          </cell>
          <cell r="O97">
            <v>6</v>
          </cell>
          <cell r="P97">
            <v>4</v>
          </cell>
          <cell r="Q97">
            <v>82</v>
          </cell>
          <cell r="R97">
            <v>9</v>
          </cell>
          <cell r="S97">
            <v>5</v>
          </cell>
          <cell r="Z97">
            <v>73.444444444444443</v>
          </cell>
          <cell r="AB97">
            <v>68</v>
          </cell>
          <cell r="AC97">
            <v>5.5</v>
          </cell>
          <cell r="AD97">
            <v>59.07985146210838</v>
          </cell>
          <cell r="AE97" t="str">
            <v>М201БМИЭФ149</v>
          </cell>
        </row>
        <row r="98">
          <cell r="A98">
            <v>95</v>
          </cell>
          <cell r="B98">
            <v>85</v>
          </cell>
          <cell r="C98">
            <v>0.31879194630872482</v>
          </cell>
          <cell r="D98" t="str">
            <v>М201БМИЭФ066</v>
          </cell>
          <cell r="E98" t="str">
            <v>Вихарева Кристина Олеговна</v>
          </cell>
          <cell r="F98">
            <v>11</v>
          </cell>
          <cell r="G98">
            <v>13</v>
          </cell>
          <cell r="H98">
            <v>58.017628205128204</v>
          </cell>
          <cell r="I98">
            <v>7</v>
          </cell>
          <cell r="J98">
            <v>4</v>
          </cell>
          <cell r="K98">
            <v>45.952624396135263</v>
          </cell>
          <cell r="L98">
            <v>6</v>
          </cell>
          <cell r="M98">
            <v>4</v>
          </cell>
          <cell r="N98">
            <v>64.19883333333334</v>
          </cell>
          <cell r="O98">
            <v>7</v>
          </cell>
          <cell r="P98">
            <v>4</v>
          </cell>
          <cell r="Q98">
            <v>51</v>
          </cell>
          <cell r="R98">
            <v>6</v>
          </cell>
          <cell r="S98">
            <v>4</v>
          </cell>
          <cell r="Z98">
            <v>57.777777777777779</v>
          </cell>
          <cell r="AB98">
            <v>73</v>
          </cell>
          <cell r="AC98">
            <v>5.5</v>
          </cell>
          <cell r="AD98">
            <v>58.990338856795375</v>
          </cell>
          <cell r="AE98" t="str">
            <v>М201БМИЭФ066</v>
          </cell>
        </row>
        <row r="99">
          <cell r="A99">
            <v>96</v>
          </cell>
          <cell r="B99">
            <v>86</v>
          </cell>
          <cell r="C99">
            <v>0.32214765100671139</v>
          </cell>
          <cell r="D99" t="str">
            <v>М201БМИЭФ079</v>
          </cell>
          <cell r="E99" t="str">
            <v>Головин Артем Андреевич</v>
          </cell>
          <cell r="F99">
            <v>9</v>
          </cell>
          <cell r="G99">
            <v>16</v>
          </cell>
          <cell r="H99">
            <v>63.97314102564102</v>
          </cell>
          <cell r="I99">
            <v>7</v>
          </cell>
          <cell r="J99">
            <v>4</v>
          </cell>
          <cell r="K99">
            <v>38.138064069264068</v>
          </cell>
          <cell r="L99">
            <v>5</v>
          </cell>
          <cell r="M99">
            <v>3</v>
          </cell>
          <cell r="N99">
            <v>66.306444444444452</v>
          </cell>
          <cell r="O99">
            <v>7</v>
          </cell>
          <cell r="P99">
            <v>4</v>
          </cell>
          <cell r="Q99">
            <v>54</v>
          </cell>
          <cell r="R99">
            <v>6</v>
          </cell>
          <cell r="S99">
            <v>4</v>
          </cell>
          <cell r="Z99">
            <v>64.407407407407405</v>
          </cell>
          <cell r="AB99">
            <v>63</v>
          </cell>
          <cell r="AC99">
            <v>5.5</v>
          </cell>
          <cell r="AD99">
            <v>58.695464899410354</v>
          </cell>
          <cell r="AE99" t="str">
            <v>М201БМИЭФ079</v>
          </cell>
        </row>
        <row r="100">
          <cell r="A100">
            <v>97</v>
          </cell>
          <cell r="B100">
            <v>87</v>
          </cell>
          <cell r="C100">
            <v>0.32550335570469796</v>
          </cell>
          <cell r="D100" t="str">
            <v>М201БМИЭФ267</v>
          </cell>
          <cell r="E100" t="str">
            <v>Шамои Заил Рашидович</v>
          </cell>
          <cell r="F100">
            <v>6</v>
          </cell>
          <cell r="G100">
            <v>9</v>
          </cell>
          <cell r="H100">
            <v>55.481474358974353</v>
          </cell>
          <cell r="I100">
            <v>7</v>
          </cell>
          <cell r="J100">
            <v>4</v>
          </cell>
          <cell r="K100">
            <v>34.858094677054453</v>
          </cell>
          <cell r="L100">
            <v>4</v>
          </cell>
          <cell r="M100">
            <v>3</v>
          </cell>
          <cell r="N100">
            <v>56.033388888888851</v>
          </cell>
          <cell r="O100">
            <v>6</v>
          </cell>
          <cell r="P100">
            <v>4</v>
          </cell>
          <cell r="Q100">
            <v>56</v>
          </cell>
          <cell r="R100">
            <v>6</v>
          </cell>
          <cell r="S100">
            <v>4</v>
          </cell>
          <cell r="Z100">
            <v>72.111111111111114</v>
          </cell>
          <cell r="AA100">
            <v>76.333333333333343</v>
          </cell>
          <cell r="AC100">
            <v>5.5</v>
          </cell>
          <cell r="AD100">
            <v>58.694073158065841</v>
          </cell>
          <cell r="AE100" t="str">
            <v>М201БМИЭФ267</v>
          </cell>
        </row>
        <row r="101">
          <cell r="A101">
            <v>98</v>
          </cell>
          <cell r="B101">
            <v>88</v>
          </cell>
          <cell r="C101">
            <v>0.32885906040268459</v>
          </cell>
          <cell r="D101" t="str">
            <v>М201БМИЭФ111</v>
          </cell>
          <cell r="E101" t="str">
            <v>Каланджан Глеб Андреевич</v>
          </cell>
          <cell r="F101">
            <v>7</v>
          </cell>
          <cell r="G101">
            <v>12</v>
          </cell>
          <cell r="H101">
            <v>61.464423076923083</v>
          </cell>
          <cell r="I101">
            <v>7</v>
          </cell>
          <cell r="J101">
            <v>4</v>
          </cell>
          <cell r="K101">
            <v>49.457848845598846</v>
          </cell>
          <cell r="L101">
            <v>6</v>
          </cell>
          <cell r="M101">
            <v>4</v>
          </cell>
          <cell r="N101">
            <v>50.844444444444456</v>
          </cell>
          <cell r="O101">
            <v>6</v>
          </cell>
          <cell r="P101">
            <v>4</v>
          </cell>
          <cell r="Q101">
            <v>77</v>
          </cell>
          <cell r="R101">
            <v>8</v>
          </cell>
          <cell r="S101">
            <v>5</v>
          </cell>
          <cell r="Z101">
            <v>50</v>
          </cell>
          <cell r="AB101">
            <v>71</v>
          </cell>
          <cell r="AC101">
            <v>5.5</v>
          </cell>
          <cell r="AD101">
            <v>58.412130248539349</v>
          </cell>
          <cell r="AE101" t="str">
            <v>М201БМИЭФ111</v>
          </cell>
        </row>
        <row r="102">
          <cell r="A102">
            <v>99</v>
          </cell>
          <cell r="B102">
            <v>89</v>
          </cell>
          <cell r="C102">
            <v>0.33221476510067116</v>
          </cell>
          <cell r="D102" t="str">
            <v>М201БМИЭФ237</v>
          </cell>
          <cell r="E102" t="str">
            <v>Тишкова Софья Сергеевна</v>
          </cell>
          <cell r="F102">
            <v>7</v>
          </cell>
          <cell r="G102">
            <v>10</v>
          </cell>
          <cell r="H102">
            <v>53.738461538461536</v>
          </cell>
          <cell r="I102">
            <v>6</v>
          </cell>
          <cell r="J102">
            <v>4</v>
          </cell>
          <cell r="K102">
            <v>47.922733766233762</v>
          </cell>
          <cell r="L102">
            <v>6</v>
          </cell>
          <cell r="M102">
            <v>4</v>
          </cell>
          <cell r="N102">
            <v>54.294444444444451</v>
          </cell>
          <cell r="O102">
            <v>6</v>
          </cell>
          <cell r="P102">
            <v>4</v>
          </cell>
          <cell r="Q102">
            <v>42</v>
          </cell>
          <cell r="R102">
            <v>2</v>
          </cell>
          <cell r="S102">
            <v>2</v>
          </cell>
          <cell r="Z102">
            <v>76.296296296296291</v>
          </cell>
          <cell r="AA102">
            <v>66.333333333333329</v>
          </cell>
          <cell r="AC102">
            <v>5.5</v>
          </cell>
          <cell r="AD102">
            <v>58.106412614321698</v>
          </cell>
          <cell r="AE102" t="str">
            <v>М201БМИЭФ237</v>
          </cell>
        </row>
        <row r="103">
          <cell r="A103">
            <v>100</v>
          </cell>
          <cell r="B103">
            <v>90</v>
          </cell>
          <cell r="C103">
            <v>0.33557046979865773</v>
          </cell>
          <cell r="D103" t="str">
            <v>М201БМИЭФ106</v>
          </cell>
          <cell r="E103" t="str">
            <v>Золотарева Злата Сергеевна</v>
          </cell>
          <cell r="F103">
            <v>11</v>
          </cell>
          <cell r="G103">
            <v>13</v>
          </cell>
          <cell r="H103">
            <v>53.771410256410249</v>
          </cell>
          <cell r="I103">
            <v>6</v>
          </cell>
          <cell r="J103">
            <v>4</v>
          </cell>
          <cell r="K103">
            <v>52.436984695256434</v>
          </cell>
          <cell r="L103">
            <v>6</v>
          </cell>
          <cell r="M103">
            <v>4</v>
          </cell>
          <cell r="N103">
            <v>58.832611111111149</v>
          </cell>
          <cell r="O103">
            <v>6</v>
          </cell>
          <cell r="P103">
            <v>4</v>
          </cell>
          <cell r="Q103">
            <v>76</v>
          </cell>
          <cell r="R103">
            <v>8</v>
          </cell>
          <cell r="S103">
            <v>5</v>
          </cell>
          <cell r="Z103">
            <v>63.629629629629626</v>
          </cell>
          <cell r="AB103">
            <v>52.8</v>
          </cell>
          <cell r="AC103">
            <v>5.5</v>
          </cell>
          <cell r="AD103">
            <v>58.085570125892268</v>
          </cell>
          <cell r="AE103" t="str">
            <v>М201БМИЭФ106</v>
          </cell>
        </row>
        <row r="104">
          <cell r="A104">
            <v>101</v>
          </cell>
          <cell r="B104">
            <v>91</v>
          </cell>
          <cell r="C104">
            <v>0.33892617449664431</v>
          </cell>
          <cell r="D104" t="str">
            <v>М201БМИЭФ085</v>
          </cell>
          <cell r="E104" t="str">
            <v>Гуманова Мария Михайловна</v>
          </cell>
          <cell r="F104">
            <v>2</v>
          </cell>
          <cell r="G104">
            <v>3</v>
          </cell>
          <cell r="H104">
            <v>55.058782051282051</v>
          </cell>
          <cell r="I104">
            <v>7</v>
          </cell>
          <cell r="J104">
            <v>4</v>
          </cell>
          <cell r="K104">
            <v>33.114261544011541</v>
          </cell>
          <cell r="L104">
            <v>4</v>
          </cell>
          <cell r="M104">
            <v>3</v>
          </cell>
          <cell r="N104">
            <v>70.072222222222194</v>
          </cell>
          <cell r="O104">
            <v>8</v>
          </cell>
          <cell r="P104">
            <v>5</v>
          </cell>
          <cell r="Q104">
            <v>71</v>
          </cell>
          <cell r="R104">
            <v>8</v>
          </cell>
          <cell r="S104">
            <v>5</v>
          </cell>
          <cell r="Z104">
            <v>65</v>
          </cell>
          <cell r="AB104">
            <v>60</v>
          </cell>
          <cell r="AC104">
            <v>5.5</v>
          </cell>
          <cell r="AD104">
            <v>57.953684694093788</v>
          </cell>
          <cell r="AE104" t="str">
            <v>М201БМИЭФ085</v>
          </cell>
        </row>
        <row r="105">
          <cell r="A105">
            <v>102</v>
          </cell>
          <cell r="B105">
            <v>92</v>
          </cell>
          <cell r="C105">
            <v>0.34228187919463088</v>
          </cell>
          <cell r="D105" t="str">
            <v>М201БМИЭФ034</v>
          </cell>
          <cell r="E105" t="str">
            <v>Антипова Анна Михайловна</v>
          </cell>
          <cell r="F105">
            <v>7</v>
          </cell>
          <cell r="G105">
            <v>12</v>
          </cell>
          <cell r="H105">
            <v>61.318910256410248</v>
          </cell>
          <cell r="I105">
            <v>7</v>
          </cell>
          <cell r="J105">
            <v>4</v>
          </cell>
          <cell r="K105">
            <v>36.498193362193369</v>
          </cell>
          <cell r="L105">
            <v>5</v>
          </cell>
          <cell r="M105">
            <v>3</v>
          </cell>
          <cell r="N105">
            <v>57.033333333333346</v>
          </cell>
          <cell r="O105">
            <v>6</v>
          </cell>
          <cell r="P105">
            <v>4</v>
          </cell>
          <cell r="Q105">
            <v>60</v>
          </cell>
          <cell r="R105">
            <v>7</v>
          </cell>
          <cell r="S105">
            <v>4</v>
          </cell>
          <cell r="Z105">
            <v>61</v>
          </cell>
          <cell r="AB105">
            <v>71.5</v>
          </cell>
          <cell r="AC105">
            <v>5.5</v>
          </cell>
          <cell r="AD105">
            <v>57.700079445806722</v>
          </cell>
          <cell r="AE105" t="str">
            <v>М201БМИЭФ034</v>
          </cell>
        </row>
        <row r="106">
          <cell r="A106">
            <v>103</v>
          </cell>
          <cell r="B106">
            <v>93</v>
          </cell>
          <cell r="C106">
            <v>0.34563758389261745</v>
          </cell>
          <cell r="D106" t="str">
            <v>М201БМИЭФ172</v>
          </cell>
          <cell r="E106" t="str">
            <v>Минаев Владислав Романович</v>
          </cell>
          <cell r="F106">
            <v>4</v>
          </cell>
          <cell r="G106">
            <v>6</v>
          </cell>
          <cell r="H106">
            <v>50.976089743589739</v>
          </cell>
          <cell r="I106">
            <v>6</v>
          </cell>
          <cell r="J106">
            <v>4</v>
          </cell>
          <cell r="K106">
            <v>53.834321838071837</v>
          </cell>
          <cell r="L106">
            <v>6</v>
          </cell>
          <cell r="M106">
            <v>4</v>
          </cell>
          <cell r="N106">
            <v>51.849722222222205</v>
          </cell>
          <cell r="O106">
            <v>6</v>
          </cell>
          <cell r="P106">
            <v>4</v>
          </cell>
          <cell r="Q106">
            <v>76</v>
          </cell>
          <cell r="R106">
            <v>8</v>
          </cell>
          <cell r="S106">
            <v>5</v>
          </cell>
          <cell r="Z106">
            <v>65.296296296296305</v>
          </cell>
          <cell r="AB106">
            <v>57</v>
          </cell>
          <cell r="AC106">
            <v>5.5</v>
          </cell>
          <cell r="AD106">
            <v>57.628441836396384</v>
          </cell>
          <cell r="AE106" t="str">
            <v>М201БМИЭФ172</v>
          </cell>
        </row>
        <row r="107">
          <cell r="A107">
            <v>104</v>
          </cell>
          <cell r="B107">
            <v>94</v>
          </cell>
          <cell r="C107">
            <v>0.34899328859060402</v>
          </cell>
          <cell r="D107" t="str">
            <v>М201БМИЭФ019</v>
          </cell>
          <cell r="E107" t="str">
            <v>Ескендир Ажар</v>
          </cell>
          <cell r="F107" t="str">
            <v>12 online</v>
          </cell>
          <cell r="G107" t="str">
            <v>17 online</v>
          </cell>
          <cell r="H107">
            <v>44.834743589743596</v>
          </cell>
          <cell r="I107">
            <v>5</v>
          </cell>
          <cell r="J107">
            <v>3</v>
          </cell>
          <cell r="K107">
            <v>84.181472690222691</v>
          </cell>
          <cell r="L107">
            <v>9</v>
          </cell>
          <cell r="M107">
            <v>5</v>
          </cell>
          <cell r="N107">
            <v>56.02983333333335</v>
          </cell>
          <cell r="O107">
            <v>6</v>
          </cell>
          <cell r="P107">
            <v>4</v>
          </cell>
          <cell r="Q107">
            <v>42</v>
          </cell>
          <cell r="R107">
            <v>5</v>
          </cell>
          <cell r="S107">
            <v>3</v>
          </cell>
          <cell r="Z107">
            <v>68.370370370370381</v>
          </cell>
          <cell r="AB107">
            <v>40</v>
          </cell>
          <cell r="AC107">
            <v>5.5</v>
          </cell>
          <cell r="AD107">
            <v>57.166621815212736</v>
          </cell>
          <cell r="AE107" t="str">
            <v>М201БМИЭФ019</v>
          </cell>
        </row>
        <row r="108">
          <cell r="A108">
            <v>105</v>
          </cell>
          <cell r="B108">
            <v>95</v>
          </cell>
          <cell r="C108">
            <v>0.3523489932885906</v>
          </cell>
          <cell r="D108" t="str">
            <v>М201БМИЭФ071</v>
          </cell>
          <cell r="E108" t="str">
            <v>Ворошилин Иван Игоревич</v>
          </cell>
          <cell r="F108">
            <v>11</v>
          </cell>
          <cell r="G108">
            <v>16</v>
          </cell>
          <cell r="H108">
            <v>60.526987179487179</v>
          </cell>
          <cell r="I108">
            <v>7</v>
          </cell>
          <cell r="J108">
            <v>4</v>
          </cell>
          <cell r="K108">
            <v>42.875617720443799</v>
          </cell>
          <cell r="L108">
            <v>5</v>
          </cell>
          <cell r="M108">
            <v>3</v>
          </cell>
          <cell r="N108">
            <v>53.333611111111139</v>
          </cell>
          <cell r="O108">
            <v>6</v>
          </cell>
          <cell r="P108">
            <v>4</v>
          </cell>
          <cell r="Q108">
            <v>68</v>
          </cell>
          <cell r="R108">
            <v>7</v>
          </cell>
          <cell r="S108">
            <v>4</v>
          </cell>
          <cell r="Z108">
            <v>58.185185185185183</v>
          </cell>
          <cell r="AB108">
            <v>65.2</v>
          </cell>
          <cell r="AC108">
            <v>5.5</v>
          </cell>
          <cell r="AD108">
            <v>57.112982035677696</v>
          </cell>
          <cell r="AE108" t="str">
            <v>М201БМИЭФ071</v>
          </cell>
        </row>
        <row r="109">
          <cell r="A109">
            <v>106</v>
          </cell>
          <cell r="B109">
            <v>96</v>
          </cell>
          <cell r="C109">
            <v>0.35570469798657717</v>
          </cell>
          <cell r="D109" t="str">
            <v>М201БМИЭФ199</v>
          </cell>
          <cell r="E109" t="str">
            <v>Попельнюхова Екатерина Сергеевна</v>
          </cell>
          <cell r="F109">
            <v>2</v>
          </cell>
          <cell r="G109" t="str">
            <v>n/a</v>
          </cell>
          <cell r="H109">
            <v>54.478653846153847</v>
          </cell>
          <cell r="I109">
            <v>6</v>
          </cell>
          <cell r="J109">
            <v>4</v>
          </cell>
          <cell r="K109">
            <v>29.828526334776335</v>
          </cell>
          <cell r="L109">
            <v>4</v>
          </cell>
          <cell r="M109">
            <v>3</v>
          </cell>
          <cell r="N109">
            <v>68.272222222222211</v>
          </cell>
          <cell r="O109">
            <v>7</v>
          </cell>
          <cell r="P109">
            <v>4</v>
          </cell>
          <cell r="AA109">
            <v>75.333333333333329</v>
          </cell>
          <cell r="AC109">
            <v>4</v>
          </cell>
          <cell r="AD109">
            <v>56.978183934121432</v>
          </cell>
          <cell r="AE109" t="str">
            <v>М201БМИЭФ199</v>
          </cell>
        </row>
        <row r="110">
          <cell r="A110">
            <v>107</v>
          </cell>
          <cell r="B110">
            <v>97</v>
          </cell>
          <cell r="C110">
            <v>0.35906040268456374</v>
          </cell>
          <cell r="D110" t="str">
            <v>М201БМИЭФ033</v>
          </cell>
          <cell r="E110" t="str">
            <v>Андреев Дмитрий Валерьевич</v>
          </cell>
          <cell r="F110">
            <v>10</v>
          </cell>
          <cell r="G110">
            <v>14</v>
          </cell>
          <cell r="H110">
            <v>57.228653846153847</v>
          </cell>
          <cell r="I110">
            <v>7</v>
          </cell>
          <cell r="J110">
            <v>4</v>
          </cell>
          <cell r="K110">
            <v>49.252023809523806</v>
          </cell>
          <cell r="L110">
            <v>6</v>
          </cell>
          <cell r="M110">
            <v>4</v>
          </cell>
          <cell r="N110">
            <v>58.204666666666647</v>
          </cell>
          <cell r="O110">
            <v>6</v>
          </cell>
          <cell r="P110">
            <v>4</v>
          </cell>
          <cell r="Q110">
            <v>64</v>
          </cell>
          <cell r="R110">
            <v>7</v>
          </cell>
          <cell r="S110">
            <v>4</v>
          </cell>
          <cell r="Z110">
            <v>57.592592592592595</v>
          </cell>
          <cell r="AB110">
            <v>58.5</v>
          </cell>
          <cell r="AC110">
            <v>5.5</v>
          </cell>
          <cell r="AD110">
            <v>56.868715802715798</v>
          </cell>
          <cell r="AE110" t="str">
            <v>М201БМИЭФ033</v>
          </cell>
        </row>
        <row r="111">
          <cell r="A111">
            <v>108</v>
          </cell>
          <cell r="B111">
            <v>98</v>
          </cell>
          <cell r="C111">
            <v>0.36241610738255031</v>
          </cell>
          <cell r="D111" t="str">
            <v>М201БМИЭФ175</v>
          </cell>
          <cell r="E111" t="str">
            <v>Моисеева Ксения Игоревна</v>
          </cell>
          <cell r="F111">
            <v>9</v>
          </cell>
          <cell r="G111">
            <v>13</v>
          </cell>
          <cell r="H111">
            <v>52.481346153846154</v>
          </cell>
          <cell r="I111">
            <v>6</v>
          </cell>
          <cell r="J111">
            <v>4</v>
          </cell>
          <cell r="K111">
            <v>39.322843145743143</v>
          </cell>
          <cell r="L111">
            <v>5</v>
          </cell>
          <cell r="M111">
            <v>3</v>
          </cell>
          <cell r="N111">
            <v>61.124277777777756</v>
          </cell>
          <cell r="O111">
            <v>7</v>
          </cell>
          <cell r="P111">
            <v>4</v>
          </cell>
          <cell r="Q111">
            <v>55</v>
          </cell>
          <cell r="R111">
            <v>6</v>
          </cell>
          <cell r="S111">
            <v>4</v>
          </cell>
          <cell r="Z111">
            <v>72.518518518518505</v>
          </cell>
          <cell r="AB111">
            <v>59.5</v>
          </cell>
          <cell r="AC111">
            <v>5.5</v>
          </cell>
          <cell r="AD111">
            <v>56.808542835615555</v>
          </cell>
          <cell r="AE111" t="str">
            <v>М201БМИЭФ175</v>
          </cell>
        </row>
        <row r="112">
          <cell r="A112">
            <v>109</v>
          </cell>
          <cell r="B112">
            <v>99</v>
          </cell>
          <cell r="C112">
            <v>0.36577181208053694</v>
          </cell>
          <cell r="D112" t="str">
            <v>М201БМИЭФ083</v>
          </cell>
          <cell r="E112" t="str">
            <v>Грицевич Камилла Евгеньевна</v>
          </cell>
          <cell r="F112">
            <v>8</v>
          </cell>
          <cell r="G112">
            <v>11</v>
          </cell>
          <cell r="H112">
            <v>58.646410256410256</v>
          </cell>
          <cell r="I112">
            <v>7</v>
          </cell>
          <cell r="J112">
            <v>4</v>
          </cell>
          <cell r="K112">
            <v>43.501270409542144</v>
          </cell>
          <cell r="L112">
            <v>5</v>
          </cell>
          <cell r="M112">
            <v>3</v>
          </cell>
          <cell r="N112">
            <v>56.961111111111144</v>
          </cell>
          <cell r="O112">
            <v>6</v>
          </cell>
          <cell r="P112">
            <v>4</v>
          </cell>
          <cell r="Q112">
            <v>55</v>
          </cell>
          <cell r="R112">
            <v>6</v>
          </cell>
          <cell r="S112">
            <v>4</v>
          </cell>
          <cell r="Z112">
            <v>69.444444444444443</v>
          </cell>
          <cell r="AB112">
            <v>56.1</v>
          </cell>
          <cell r="AC112">
            <v>5.5</v>
          </cell>
          <cell r="AD112">
            <v>56.755133858455999</v>
          </cell>
          <cell r="AE112" t="str">
            <v>М201БМИЭФ083</v>
          </cell>
        </row>
        <row r="113">
          <cell r="A113">
            <v>110</v>
          </cell>
          <cell r="B113">
            <v>100</v>
          </cell>
          <cell r="C113">
            <v>0.36912751677852351</v>
          </cell>
          <cell r="D113" t="str">
            <v>М201БМИЭФ141</v>
          </cell>
          <cell r="E113" t="str">
            <v>Кудряшова Анна Андреевна</v>
          </cell>
          <cell r="F113">
            <v>4</v>
          </cell>
          <cell r="G113">
            <v>4</v>
          </cell>
          <cell r="H113">
            <v>44.843205128205128</v>
          </cell>
          <cell r="I113">
            <v>5</v>
          </cell>
          <cell r="J113">
            <v>3</v>
          </cell>
          <cell r="K113">
            <v>43.072185805935803</v>
          </cell>
          <cell r="L113">
            <v>5</v>
          </cell>
          <cell r="M113">
            <v>3</v>
          </cell>
          <cell r="N113">
            <v>57.487000000000009</v>
          </cell>
          <cell r="O113">
            <v>6</v>
          </cell>
          <cell r="P113">
            <v>4</v>
          </cell>
          <cell r="Q113">
            <v>55</v>
          </cell>
          <cell r="R113">
            <v>6</v>
          </cell>
          <cell r="S113">
            <v>4</v>
          </cell>
          <cell r="Z113">
            <v>68.481481481481481</v>
          </cell>
          <cell r="AA113">
            <v>70.666666666666671</v>
          </cell>
          <cell r="AC113">
            <v>5.5</v>
          </cell>
          <cell r="AD113">
            <v>56.736461651325293</v>
          </cell>
          <cell r="AE113" t="str">
            <v>М201БМИЭФ141</v>
          </cell>
        </row>
        <row r="114">
          <cell r="A114">
            <v>111</v>
          </cell>
          <cell r="B114">
            <v>101</v>
          </cell>
          <cell r="C114">
            <v>0.37248322147651008</v>
          </cell>
          <cell r="D114" t="str">
            <v>М201БМИЭФ057</v>
          </cell>
          <cell r="E114" t="str">
            <v>Буднева Полина Михайловна</v>
          </cell>
          <cell r="F114">
            <v>6</v>
          </cell>
          <cell r="G114">
            <v>9</v>
          </cell>
          <cell r="H114">
            <v>54.542820512820512</v>
          </cell>
          <cell r="I114">
            <v>6</v>
          </cell>
          <cell r="J114">
            <v>4</v>
          </cell>
          <cell r="K114">
            <v>38.397182106099301</v>
          </cell>
          <cell r="L114">
            <v>5</v>
          </cell>
          <cell r="M114">
            <v>3</v>
          </cell>
          <cell r="N114">
            <v>49.910833333333343</v>
          </cell>
          <cell r="O114">
            <v>5</v>
          </cell>
          <cell r="P114">
            <v>3</v>
          </cell>
          <cell r="Q114">
            <v>63</v>
          </cell>
          <cell r="R114">
            <v>7</v>
          </cell>
          <cell r="S114">
            <v>4</v>
          </cell>
          <cell r="Z114">
            <v>65.481481481481481</v>
          </cell>
          <cell r="AB114">
            <v>72</v>
          </cell>
          <cell r="AC114">
            <v>5.5</v>
          </cell>
          <cell r="AD114">
            <v>56.696784987951744</v>
          </cell>
          <cell r="AE114" t="str">
            <v>М201БМИЭФ057</v>
          </cell>
        </row>
        <row r="115">
          <cell r="A115">
            <v>112</v>
          </cell>
          <cell r="B115">
            <v>102</v>
          </cell>
          <cell r="C115">
            <v>0.37583892617449666</v>
          </cell>
          <cell r="D115" t="str">
            <v>М201БМИЭФ029</v>
          </cell>
          <cell r="E115" t="str">
            <v>Акопян Мариам Аперовна</v>
          </cell>
          <cell r="F115">
            <v>11</v>
          </cell>
          <cell r="G115">
            <v>13</v>
          </cell>
          <cell r="H115">
            <v>50.046025641025636</v>
          </cell>
          <cell r="I115">
            <v>6</v>
          </cell>
          <cell r="J115">
            <v>4</v>
          </cell>
          <cell r="K115">
            <v>40.371295548654246</v>
          </cell>
          <cell r="L115">
            <v>5</v>
          </cell>
          <cell r="M115">
            <v>3</v>
          </cell>
          <cell r="N115">
            <v>53.591666666666697</v>
          </cell>
          <cell r="O115">
            <v>6</v>
          </cell>
          <cell r="P115">
            <v>4</v>
          </cell>
          <cell r="Q115">
            <v>63</v>
          </cell>
          <cell r="R115">
            <v>7</v>
          </cell>
          <cell r="S115">
            <v>4</v>
          </cell>
          <cell r="Z115">
            <v>69.259259259259267</v>
          </cell>
          <cell r="AB115">
            <v>66.8</v>
          </cell>
          <cell r="AC115">
            <v>5.5</v>
          </cell>
          <cell r="AD115">
            <v>56.648772202837428</v>
          </cell>
          <cell r="AE115" t="str">
            <v>М201БМИЭФ029</v>
          </cell>
        </row>
        <row r="116">
          <cell r="A116">
            <v>113</v>
          </cell>
          <cell r="B116">
            <v>103</v>
          </cell>
          <cell r="C116">
            <v>0.37919463087248323</v>
          </cell>
          <cell r="D116" t="str">
            <v>М201БМИЭФ126</v>
          </cell>
          <cell r="E116" t="str">
            <v>Команова Алиса Викторовна</v>
          </cell>
          <cell r="F116">
            <v>10</v>
          </cell>
          <cell r="G116">
            <v>13</v>
          </cell>
          <cell r="H116">
            <v>61.185128205128201</v>
          </cell>
          <cell r="I116">
            <v>7</v>
          </cell>
          <cell r="J116">
            <v>4</v>
          </cell>
          <cell r="K116">
            <v>39.198416305916311</v>
          </cell>
          <cell r="L116">
            <v>5</v>
          </cell>
          <cell r="M116">
            <v>3</v>
          </cell>
          <cell r="N116">
            <v>57.2</v>
          </cell>
          <cell r="O116">
            <v>6</v>
          </cell>
          <cell r="P116">
            <v>4</v>
          </cell>
          <cell r="Q116">
            <v>53</v>
          </cell>
          <cell r="R116">
            <v>6</v>
          </cell>
          <cell r="S116">
            <v>4</v>
          </cell>
          <cell r="Z116">
            <v>71.592592592592595</v>
          </cell>
          <cell r="AB116">
            <v>54</v>
          </cell>
          <cell r="AC116">
            <v>5.5</v>
          </cell>
          <cell r="AD116">
            <v>56.304752200661298</v>
          </cell>
          <cell r="AE116" t="str">
            <v>М201БМИЭФ126</v>
          </cell>
        </row>
        <row r="117">
          <cell r="A117">
            <v>114</v>
          </cell>
          <cell r="B117">
            <v>104</v>
          </cell>
          <cell r="C117">
            <v>0.3825503355704698</v>
          </cell>
          <cell r="D117" t="str">
            <v>М201БМИЭФ164</v>
          </cell>
          <cell r="E117" t="str">
            <v>Матвиевский Максим Павлович</v>
          </cell>
          <cell r="F117">
            <v>7</v>
          </cell>
          <cell r="G117">
            <v>12</v>
          </cell>
          <cell r="H117">
            <v>51.112756410256409</v>
          </cell>
          <cell r="I117">
            <v>6</v>
          </cell>
          <cell r="J117">
            <v>4</v>
          </cell>
          <cell r="K117">
            <v>47.595713564213561</v>
          </cell>
          <cell r="L117">
            <v>6</v>
          </cell>
          <cell r="M117">
            <v>4</v>
          </cell>
          <cell r="N117">
            <v>65.427777777777749</v>
          </cell>
          <cell r="O117">
            <v>7</v>
          </cell>
          <cell r="P117">
            <v>4</v>
          </cell>
          <cell r="Q117">
            <v>59</v>
          </cell>
          <cell r="R117">
            <v>6</v>
          </cell>
          <cell r="S117">
            <v>4</v>
          </cell>
          <cell r="Z117">
            <v>45.037037037037038</v>
          </cell>
          <cell r="AA117">
            <v>69</v>
          </cell>
          <cell r="AC117">
            <v>5.5</v>
          </cell>
          <cell r="AD117">
            <v>55.940597234415414</v>
          </cell>
          <cell r="AE117" t="str">
            <v>М201БМИЭФ164</v>
          </cell>
        </row>
        <row r="118">
          <cell r="A118">
            <v>115</v>
          </cell>
          <cell r="B118">
            <v>105</v>
          </cell>
          <cell r="C118">
            <v>0.38590604026845637</v>
          </cell>
          <cell r="D118" t="str">
            <v>М201БМИЭФ227</v>
          </cell>
          <cell r="E118" t="str">
            <v>Стефанова Варвара Александровна</v>
          </cell>
          <cell r="F118">
            <v>10</v>
          </cell>
          <cell r="G118">
            <v>14</v>
          </cell>
          <cell r="H118">
            <v>58.959423076923073</v>
          </cell>
          <cell r="I118">
            <v>7</v>
          </cell>
          <cell r="J118">
            <v>4</v>
          </cell>
          <cell r="K118">
            <v>40.941379870129872</v>
          </cell>
          <cell r="L118">
            <v>5</v>
          </cell>
          <cell r="M118">
            <v>3</v>
          </cell>
          <cell r="N118">
            <v>51.516166666666649</v>
          </cell>
          <cell r="O118">
            <v>6</v>
          </cell>
          <cell r="P118">
            <v>4</v>
          </cell>
          <cell r="Q118">
            <v>43</v>
          </cell>
          <cell r="R118">
            <v>5</v>
          </cell>
          <cell r="S118">
            <v>3</v>
          </cell>
          <cell r="Z118">
            <v>72.074074074074076</v>
          </cell>
          <cell r="AB118">
            <v>61.5</v>
          </cell>
          <cell r="AC118">
            <v>5.5</v>
          </cell>
          <cell r="AD118">
            <v>55.725644306871573</v>
          </cell>
          <cell r="AE118" t="str">
            <v>М201БМИЭФ227</v>
          </cell>
        </row>
        <row r="119">
          <cell r="A119">
            <v>116</v>
          </cell>
          <cell r="B119">
            <v>106</v>
          </cell>
          <cell r="C119">
            <v>0.38926174496644295</v>
          </cell>
          <cell r="D119" t="str">
            <v>М201БМИЭФ055</v>
          </cell>
          <cell r="E119" t="str">
            <v>Борисова Ульяна Васильевна</v>
          </cell>
          <cell r="F119">
            <v>7</v>
          </cell>
          <cell r="G119">
            <v>10</v>
          </cell>
          <cell r="H119">
            <v>50.841538461538462</v>
          </cell>
          <cell r="I119">
            <v>6</v>
          </cell>
          <cell r="J119">
            <v>4</v>
          </cell>
          <cell r="K119">
            <v>36.863904040404044</v>
          </cell>
          <cell r="L119">
            <v>5</v>
          </cell>
          <cell r="M119">
            <v>3</v>
          </cell>
          <cell r="N119">
            <v>48.688888888888897</v>
          </cell>
          <cell r="O119">
            <v>5</v>
          </cell>
          <cell r="P119">
            <v>3</v>
          </cell>
          <cell r="Q119">
            <v>53</v>
          </cell>
          <cell r="R119">
            <v>6</v>
          </cell>
          <cell r="S119">
            <v>4</v>
          </cell>
          <cell r="Z119">
            <v>68.18518518518519</v>
          </cell>
          <cell r="AA119">
            <v>74</v>
          </cell>
          <cell r="AC119">
            <v>5.5</v>
          </cell>
          <cell r="AD119">
            <v>55.469003013821201</v>
          </cell>
          <cell r="AE119" t="str">
            <v>М201БМИЭФ055</v>
          </cell>
        </row>
        <row r="120">
          <cell r="A120">
            <v>117</v>
          </cell>
          <cell r="B120">
            <v>107</v>
          </cell>
          <cell r="C120">
            <v>0.39261744966442952</v>
          </cell>
          <cell r="D120" t="str">
            <v>М201БМИЭФ014</v>
          </cell>
          <cell r="E120" t="str">
            <v>Синявская Дарья Степановна</v>
          </cell>
          <cell r="F120">
            <v>10</v>
          </cell>
          <cell r="G120">
            <v>14</v>
          </cell>
          <cell r="H120">
            <v>47.401238461538462</v>
          </cell>
          <cell r="I120">
            <v>6</v>
          </cell>
          <cell r="J120">
            <v>4</v>
          </cell>
          <cell r="K120">
            <v>33.066715029761895</v>
          </cell>
          <cell r="L120">
            <v>4</v>
          </cell>
          <cell r="M120">
            <v>3</v>
          </cell>
          <cell r="N120">
            <v>54.806388888888897</v>
          </cell>
          <cell r="O120">
            <v>6</v>
          </cell>
          <cell r="P120">
            <v>4</v>
          </cell>
          <cell r="Q120">
            <v>76</v>
          </cell>
          <cell r="R120">
            <v>8</v>
          </cell>
          <cell r="S120">
            <v>5</v>
          </cell>
          <cell r="Z120">
            <v>57.18055555555555</v>
          </cell>
          <cell r="AB120">
            <v>74</v>
          </cell>
          <cell r="AC120">
            <v>5.5</v>
          </cell>
          <cell r="AD120">
            <v>55.355435988317247</v>
          </cell>
          <cell r="AE120" t="str">
            <v>М201БМИЭФ014</v>
          </cell>
        </row>
        <row r="121">
          <cell r="A121">
            <v>118</v>
          </cell>
          <cell r="B121">
            <v>108</v>
          </cell>
          <cell r="C121">
            <v>0.39597315436241609</v>
          </cell>
          <cell r="D121" t="str">
            <v>М201БМИЭФ165</v>
          </cell>
          <cell r="E121" t="str">
            <v>Махалова Софья Александровна</v>
          </cell>
          <cell r="F121">
            <v>7</v>
          </cell>
          <cell r="G121">
            <v>12</v>
          </cell>
          <cell r="H121">
            <v>48.48346153846154</v>
          </cell>
          <cell r="I121">
            <v>6</v>
          </cell>
          <cell r="J121">
            <v>4</v>
          </cell>
          <cell r="K121">
            <v>37.076182178932179</v>
          </cell>
          <cell r="L121">
            <v>5</v>
          </cell>
          <cell r="M121">
            <v>3</v>
          </cell>
          <cell r="N121">
            <v>57.822222222222202</v>
          </cell>
          <cell r="O121">
            <v>6</v>
          </cell>
          <cell r="P121">
            <v>4</v>
          </cell>
          <cell r="Q121">
            <v>53</v>
          </cell>
          <cell r="R121">
            <v>6</v>
          </cell>
          <cell r="S121">
            <v>4</v>
          </cell>
          <cell r="Z121">
            <v>60.111111111111107</v>
          </cell>
          <cell r="AB121">
            <v>73</v>
          </cell>
          <cell r="AC121">
            <v>5.5</v>
          </cell>
          <cell r="AD121">
            <v>55.089632191041282</v>
          </cell>
          <cell r="AE121" t="str">
            <v>М201БМИЭФ165</v>
          </cell>
        </row>
        <row r="122">
          <cell r="A122">
            <v>119</v>
          </cell>
          <cell r="B122">
            <v>109</v>
          </cell>
          <cell r="C122">
            <v>0.39932885906040266</v>
          </cell>
          <cell r="D122" t="str">
            <v>М201БМИЭФ123</v>
          </cell>
          <cell r="E122" t="str">
            <v>Коломойцева Алина Леонидовна</v>
          </cell>
          <cell r="F122">
            <v>9</v>
          </cell>
          <cell r="G122">
            <v>14</v>
          </cell>
          <cell r="H122">
            <v>51.110512820512824</v>
          </cell>
          <cell r="I122">
            <v>6</v>
          </cell>
          <cell r="J122">
            <v>4</v>
          </cell>
          <cell r="K122">
            <v>38.920024747474741</v>
          </cell>
          <cell r="L122">
            <v>5</v>
          </cell>
          <cell r="M122">
            <v>3</v>
          </cell>
          <cell r="N122">
            <v>57.318111111111143</v>
          </cell>
          <cell r="O122">
            <v>6</v>
          </cell>
          <cell r="P122">
            <v>4</v>
          </cell>
          <cell r="Q122">
            <v>52</v>
          </cell>
          <cell r="R122">
            <v>6</v>
          </cell>
          <cell r="S122">
            <v>4</v>
          </cell>
          <cell r="Z122">
            <v>62.370370370370381</v>
          </cell>
          <cell r="AB122">
            <v>67</v>
          </cell>
          <cell r="AC122">
            <v>5.5</v>
          </cell>
          <cell r="AD122">
            <v>55.039821645358025</v>
          </cell>
          <cell r="AE122" t="str">
            <v>М201БМИЭФ123</v>
          </cell>
        </row>
        <row r="123">
          <cell r="A123">
            <v>120</v>
          </cell>
          <cell r="B123" t="str">
            <v>нет</v>
          </cell>
          <cell r="C123">
            <v>0.40268456375838924</v>
          </cell>
          <cell r="D123" t="str">
            <v>М201БМИЭФ023</v>
          </cell>
          <cell r="E123" t="str">
            <v>Абрамов Илья Викторович</v>
          </cell>
          <cell r="F123">
            <v>1</v>
          </cell>
          <cell r="G123">
            <v>3</v>
          </cell>
          <cell r="H123">
            <v>62.069615384615389</v>
          </cell>
          <cell r="I123">
            <v>7</v>
          </cell>
          <cell r="J123">
            <v>4</v>
          </cell>
          <cell r="K123">
            <v>61.270509018759014</v>
          </cell>
          <cell r="L123">
            <v>7</v>
          </cell>
          <cell r="M123">
            <v>4</v>
          </cell>
          <cell r="N123">
            <v>72.710222222222242</v>
          </cell>
          <cell r="O123">
            <v>8</v>
          </cell>
          <cell r="P123">
            <v>5</v>
          </cell>
          <cell r="W123">
            <v>60</v>
          </cell>
          <cell r="X123">
            <v>6</v>
          </cell>
          <cell r="Y123">
            <v>4</v>
          </cell>
          <cell r="Z123">
            <v>46.18518518518519</v>
          </cell>
          <cell r="AB123">
            <v>30</v>
          </cell>
          <cell r="AC123">
            <v>5.5</v>
          </cell>
          <cell r="AD123">
            <v>54.951914874687603</v>
          </cell>
          <cell r="AE123" t="str">
            <v>М201БМИЭФ023</v>
          </cell>
        </row>
        <row r="124">
          <cell r="A124">
            <v>121</v>
          </cell>
          <cell r="B124">
            <v>110</v>
          </cell>
          <cell r="C124">
            <v>0.40604026845637586</v>
          </cell>
          <cell r="D124" t="str">
            <v>М201БМИЭФ196</v>
          </cell>
          <cell r="E124" t="str">
            <v>Перваков Владислав Вадимович</v>
          </cell>
          <cell r="F124">
            <v>6</v>
          </cell>
          <cell r="G124">
            <v>8</v>
          </cell>
          <cell r="H124">
            <v>54.087499999999999</v>
          </cell>
          <cell r="I124">
            <v>6</v>
          </cell>
          <cell r="J124">
            <v>4</v>
          </cell>
          <cell r="K124">
            <v>35.496613312029716</v>
          </cell>
          <cell r="L124">
            <v>5</v>
          </cell>
          <cell r="M124">
            <v>3</v>
          </cell>
          <cell r="N124">
            <v>53.805111111111103</v>
          </cell>
          <cell r="O124">
            <v>6</v>
          </cell>
          <cell r="P124">
            <v>4</v>
          </cell>
          <cell r="Q124">
            <v>60</v>
          </cell>
          <cell r="R124">
            <v>7</v>
          </cell>
          <cell r="S124">
            <v>4</v>
          </cell>
          <cell r="Z124">
            <v>67.888888888888886</v>
          </cell>
          <cell r="AB124">
            <v>60.5</v>
          </cell>
          <cell r="AC124">
            <v>5.5</v>
          </cell>
          <cell r="AD124">
            <v>54.868747874914497</v>
          </cell>
          <cell r="AE124" t="str">
            <v>М201БМИЭФ196</v>
          </cell>
        </row>
        <row r="125">
          <cell r="A125">
            <v>122</v>
          </cell>
          <cell r="B125">
            <v>111</v>
          </cell>
          <cell r="C125">
            <v>0.40939597315436244</v>
          </cell>
          <cell r="D125" t="str">
            <v>М201БМИЭФ234</v>
          </cell>
          <cell r="E125" t="str">
            <v>Тасминская Анастасия Михайловна</v>
          </cell>
          <cell r="F125">
            <v>5</v>
          </cell>
          <cell r="G125">
            <v>8</v>
          </cell>
          <cell r="H125">
            <v>51.947051282051284</v>
          </cell>
          <cell r="I125">
            <v>6</v>
          </cell>
          <cell r="J125">
            <v>4</v>
          </cell>
          <cell r="K125">
            <v>32.681881313131306</v>
          </cell>
          <cell r="L125">
            <v>4</v>
          </cell>
          <cell r="M125">
            <v>3</v>
          </cell>
          <cell r="N125">
            <v>57.05994444444444</v>
          </cell>
          <cell r="O125">
            <v>6</v>
          </cell>
          <cell r="P125">
            <v>4</v>
          </cell>
          <cell r="Q125">
            <v>50</v>
          </cell>
          <cell r="R125">
            <v>6</v>
          </cell>
          <cell r="S125">
            <v>4</v>
          </cell>
          <cell r="Z125">
            <v>67.555555555555557</v>
          </cell>
          <cell r="AB125">
            <v>67.2</v>
          </cell>
          <cell r="AC125">
            <v>5.5</v>
          </cell>
          <cell r="AD125">
            <v>54.808078653669554</v>
          </cell>
          <cell r="AE125" t="str">
            <v>М201БМИЭФ234</v>
          </cell>
        </row>
        <row r="126">
          <cell r="A126">
            <v>123</v>
          </cell>
          <cell r="B126">
            <v>112</v>
          </cell>
          <cell r="C126">
            <v>0.41275167785234901</v>
          </cell>
          <cell r="D126" t="str">
            <v>М201БМИЭФ284</v>
          </cell>
          <cell r="E126" t="str">
            <v>Явися Полина Андреевна</v>
          </cell>
          <cell r="F126">
            <v>2</v>
          </cell>
          <cell r="G126">
            <v>3</v>
          </cell>
          <cell r="H126">
            <v>61.935576923076923</v>
          </cell>
          <cell r="I126">
            <v>7</v>
          </cell>
          <cell r="J126">
            <v>4</v>
          </cell>
          <cell r="K126">
            <v>36.236947691197692</v>
          </cell>
          <cell r="L126">
            <v>5</v>
          </cell>
          <cell r="M126">
            <v>3</v>
          </cell>
          <cell r="N126">
            <v>51.083333333333307</v>
          </cell>
          <cell r="O126">
            <v>6</v>
          </cell>
          <cell r="P126">
            <v>4</v>
          </cell>
          <cell r="Q126">
            <v>58</v>
          </cell>
          <cell r="R126">
            <v>6</v>
          </cell>
          <cell r="S126">
            <v>4</v>
          </cell>
          <cell r="Z126">
            <v>64.111111111111114</v>
          </cell>
          <cell r="AB126">
            <v>59</v>
          </cell>
          <cell r="AC126">
            <v>5.5</v>
          </cell>
          <cell r="AD126">
            <v>54.793994374312554</v>
          </cell>
          <cell r="AE126" t="str">
            <v>М201БМИЭФ284</v>
          </cell>
        </row>
        <row r="127">
          <cell r="A127">
            <v>124</v>
          </cell>
          <cell r="B127">
            <v>113</v>
          </cell>
          <cell r="C127">
            <v>0.41610738255033558</v>
          </cell>
          <cell r="D127" t="str">
            <v>М201БМИЭФ275</v>
          </cell>
          <cell r="E127" t="str">
            <v>Шишкин Дамир Евгеньевич</v>
          </cell>
          <cell r="F127">
            <v>7</v>
          </cell>
          <cell r="G127">
            <v>11</v>
          </cell>
          <cell r="H127">
            <v>57.803974358974358</v>
          </cell>
          <cell r="I127">
            <v>7</v>
          </cell>
          <cell r="J127">
            <v>4</v>
          </cell>
          <cell r="K127">
            <v>42.171329725829729</v>
          </cell>
          <cell r="L127">
            <v>5</v>
          </cell>
          <cell r="M127">
            <v>3</v>
          </cell>
          <cell r="N127">
            <v>45.911111111111097</v>
          </cell>
          <cell r="O127">
            <v>5</v>
          </cell>
          <cell r="P127">
            <v>3</v>
          </cell>
          <cell r="Q127">
            <v>74</v>
          </cell>
          <cell r="R127">
            <v>8</v>
          </cell>
          <cell r="S127">
            <v>5</v>
          </cell>
          <cell r="Z127">
            <v>64.888888888888886</v>
          </cell>
          <cell r="AB127">
            <v>52.8</v>
          </cell>
          <cell r="AC127">
            <v>5.5</v>
          </cell>
          <cell r="AD127">
            <v>54.650055288146199</v>
          </cell>
          <cell r="AE127" t="str">
            <v>М201БМИЭФ275</v>
          </cell>
        </row>
        <row r="128">
          <cell r="A128">
            <v>125</v>
          </cell>
          <cell r="B128">
            <v>114</v>
          </cell>
          <cell r="C128">
            <v>0.41946308724832215</v>
          </cell>
          <cell r="D128" t="str">
            <v>М201БМИЭФ099</v>
          </cell>
          <cell r="E128" t="str">
            <v>Жижин Максим Андреевич</v>
          </cell>
          <cell r="F128">
            <v>3</v>
          </cell>
          <cell r="G128">
            <v>5</v>
          </cell>
          <cell r="H128">
            <v>44.863141025641028</v>
          </cell>
          <cell r="I128">
            <v>5</v>
          </cell>
          <cell r="J128">
            <v>3</v>
          </cell>
          <cell r="K128">
            <v>46.870349736170574</v>
          </cell>
          <cell r="L128">
            <v>6</v>
          </cell>
          <cell r="M128">
            <v>4</v>
          </cell>
          <cell r="N128">
            <v>58.516666666666652</v>
          </cell>
          <cell r="O128">
            <v>6</v>
          </cell>
          <cell r="P128">
            <v>4</v>
          </cell>
          <cell r="Q128">
            <v>52</v>
          </cell>
          <cell r="R128">
            <v>6</v>
          </cell>
          <cell r="S128">
            <v>4</v>
          </cell>
          <cell r="Z128">
            <v>64.074074074074076</v>
          </cell>
          <cell r="AB128">
            <v>60</v>
          </cell>
          <cell r="AC128">
            <v>5.5</v>
          </cell>
          <cell r="AD128">
            <v>54.604405727736783</v>
          </cell>
          <cell r="AE128" t="str">
            <v>М201БМИЭФ099</v>
          </cell>
        </row>
        <row r="129">
          <cell r="A129">
            <v>126</v>
          </cell>
          <cell r="B129">
            <v>115</v>
          </cell>
          <cell r="C129">
            <v>0.42281879194630873</v>
          </cell>
          <cell r="D129" t="str">
            <v>М201БМИЭФ169</v>
          </cell>
          <cell r="E129" t="str">
            <v>Мельничук Виолетта Владимировна</v>
          </cell>
          <cell r="F129">
            <v>8</v>
          </cell>
          <cell r="G129">
            <v>10</v>
          </cell>
          <cell r="H129">
            <v>45.954294871794865</v>
          </cell>
          <cell r="I129">
            <v>5</v>
          </cell>
          <cell r="J129">
            <v>3</v>
          </cell>
          <cell r="K129">
            <v>35.614029859029856</v>
          </cell>
          <cell r="L129">
            <v>5</v>
          </cell>
          <cell r="M129">
            <v>3</v>
          </cell>
          <cell r="N129">
            <v>49.511111111111148</v>
          </cell>
          <cell r="O129">
            <v>5</v>
          </cell>
          <cell r="P129">
            <v>3</v>
          </cell>
          <cell r="Q129">
            <v>62</v>
          </cell>
          <cell r="R129">
            <v>7</v>
          </cell>
          <cell r="S129">
            <v>4</v>
          </cell>
          <cell r="Z129">
            <v>70</v>
          </cell>
          <cell r="AB129">
            <v>66.2</v>
          </cell>
          <cell r="AC129">
            <v>5.5</v>
          </cell>
          <cell r="AD129">
            <v>54.232624698533797</v>
          </cell>
          <cell r="AE129" t="str">
            <v>М201БМИЭФ169</v>
          </cell>
        </row>
        <row r="130">
          <cell r="A130">
            <v>127</v>
          </cell>
          <cell r="B130">
            <v>116</v>
          </cell>
          <cell r="C130">
            <v>0.4261744966442953</v>
          </cell>
          <cell r="D130" t="str">
            <v>М201БМИЭФ302</v>
          </cell>
          <cell r="E130" t="str">
            <v>Авдалян Георгий Каренович</v>
          </cell>
          <cell r="F130">
            <v>5</v>
          </cell>
          <cell r="G130">
            <v>7</v>
          </cell>
          <cell r="H130">
            <v>55.755000000000003</v>
          </cell>
          <cell r="I130">
            <v>7</v>
          </cell>
          <cell r="J130">
            <v>4</v>
          </cell>
          <cell r="K130">
            <v>58.297086073670449</v>
          </cell>
          <cell r="L130">
            <v>7</v>
          </cell>
          <cell r="M130">
            <v>4</v>
          </cell>
          <cell r="N130">
            <v>56.741222222222248</v>
          </cell>
          <cell r="O130">
            <v>6</v>
          </cell>
          <cell r="P130">
            <v>4</v>
          </cell>
          <cell r="Q130">
            <v>53</v>
          </cell>
          <cell r="R130">
            <v>6</v>
          </cell>
          <cell r="S130">
            <v>4</v>
          </cell>
          <cell r="Z130">
            <v>59.555555555555557</v>
          </cell>
          <cell r="AA130">
            <v>41</v>
          </cell>
          <cell r="AC130">
            <v>5.5</v>
          </cell>
          <cell r="AD130">
            <v>54.154338882081497</v>
          </cell>
          <cell r="AE130" t="str">
            <v>М201БМИЭФ302</v>
          </cell>
        </row>
        <row r="131">
          <cell r="A131">
            <v>128</v>
          </cell>
          <cell r="B131">
            <v>117</v>
          </cell>
          <cell r="C131">
            <v>0.42953020134228187</v>
          </cell>
          <cell r="D131" t="str">
            <v>М201БМИЭФ089</v>
          </cell>
          <cell r="E131" t="str">
            <v>Долганова Софья Михайловна</v>
          </cell>
          <cell r="F131">
            <v>11</v>
          </cell>
          <cell r="G131">
            <v>13</v>
          </cell>
          <cell r="H131">
            <v>59.527307692307694</v>
          </cell>
          <cell r="I131">
            <v>7</v>
          </cell>
          <cell r="J131">
            <v>4</v>
          </cell>
          <cell r="K131">
            <v>27.824885202961291</v>
          </cell>
          <cell r="L131">
            <v>4</v>
          </cell>
          <cell r="M131">
            <v>3</v>
          </cell>
          <cell r="N131">
            <v>51.256888888888902</v>
          </cell>
          <cell r="O131">
            <v>6</v>
          </cell>
          <cell r="P131">
            <v>4</v>
          </cell>
          <cell r="Q131">
            <v>63</v>
          </cell>
          <cell r="R131">
            <v>7</v>
          </cell>
          <cell r="S131">
            <v>4</v>
          </cell>
          <cell r="Z131">
            <v>64.555555555555557</v>
          </cell>
          <cell r="AB131">
            <v>63</v>
          </cell>
          <cell r="AC131">
            <v>5.5</v>
          </cell>
          <cell r="AD131">
            <v>54.120843152675178</v>
          </cell>
          <cell r="AE131" t="str">
            <v>М201БМИЭФ089</v>
          </cell>
        </row>
        <row r="132">
          <cell r="A132">
            <v>129</v>
          </cell>
          <cell r="B132">
            <v>118</v>
          </cell>
          <cell r="C132">
            <v>0.43288590604026844</v>
          </cell>
          <cell r="D132" t="str">
            <v>М201БМИЭФ091</v>
          </cell>
          <cell r="E132" t="str">
            <v>Дубровская Яна Олеговна</v>
          </cell>
          <cell r="F132">
            <v>10</v>
          </cell>
          <cell r="G132">
            <v>13</v>
          </cell>
          <cell r="H132">
            <v>46.681089743589745</v>
          </cell>
          <cell r="I132">
            <v>5</v>
          </cell>
          <cell r="J132">
            <v>3</v>
          </cell>
          <cell r="K132">
            <v>36.307757936507933</v>
          </cell>
          <cell r="L132">
            <v>5</v>
          </cell>
          <cell r="M132">
            <v>3</v>
          </cell>
          <cell r="N132">
            <v>64.380944444444452</v>
          </cell>
          <cell r="O132">
            <v>7</v>
          </cell>
          <cell r="P132">
            <v>4</v>
          </cell>
          <cell r="Q132">
            <v>57</v>
          </cell>
          <cell r="R132">
            <v>6</v>
          </cell>
          <cell r="S132">
            <v>4</v>
          </cell>
          <cell r="Z132">
            <v>57.777777777777786</v>
          </cell>
          <cell r="AB132">
            <v>63</v>
          </cell>
          <cell r="AC132">
            <v>5.5</v>
          </cell>
          <cell r="AD132">
            <v>53.935921800421802</v>
          </cell>
          <cell r="AE132" t="str">
            <v>М201БМИЭФ091</v>
          </cell>
        </row>
        <row r="133">
          <cell r="A133">
            <v>130</v>
          </cell>
          <cell r="B133">
            <v>119</v>
          </cell>
          <cell r="C133">
            <v>0.43624161073825501</v>
          </cell>
          <cell r="D133" t="str">
            <v>М201БМИЭФ217</v>
          </cell>
          <cell r="E133" t="str">
            <v>Сахно Евфросиния Дмитриевна</v>
          </cell>
          <cell r="F133">
            <v>7</v>
          </cell>
          <cell r="G133">
            <v>11</v>
          </cell>
          <cell r="H133">
            <v>51.238589743589742</v>
          </cell>
          <cell r="I133">
            <v>6</v>
          </cell>
          <cell r="J133">
            <v>4</v>
          </cell>
          <cell r="K133">
            <v>42.182635642135644</v>
          </cell>
          <cell r="L133">
            <v>5</v>
          </cell>
          <cell r="M133">
            <v>3</v>
          </cell>
          <cell r="N133">
            <v>54.044444444444444</v>
          </cell>
          <cell r="O133">
            <v>6</v>
          </cell>
          <cell r="P133">
            <v>4</v>
          </cell>
          <cell r="Q133">
            <v>54</v>
          </cell>
          <cell r="R133">
            <v>6</v>
          </cell>
          <cell r="S133">
            <v>4</v>
          </cell>
          <cell r="Z133">
            <v>61.629629629629626</v>
          </cell>
          <cell r="AB133">
            <v>60</v>
          </cell>
          <cell r="AC133">
            <v>5.5</v>
          </cell>
          <cell r="AD133">
            <v>53.835508992690805</v>
          </cell>
          <cell r="AE133" t="str">
            <v>М201БМИЭФ217</v>
          </cell>
        </row>
        <row r="134">
          <cell r="A134">
            <v>131</v>
          </cell>
          <cell r="B134">
            <v>120</v>
          </cell>
          <cell r="C134">
            <v>0.43959731543624159</v>
          </cell>
          <cell r="D134" t="str">
            <v>М201БМИЭФ289</v>
          </cell>
          <cell r="E134" t="str">
            <v>Хажимурат Нурбек</v>
          </cell>
          <cell r="F134">
            <v>7</v>
          </cell>
          <cell r="G134">
            <v>12</v>
          </cell>
          <cell r="H134">
            <v>54.468525641025643</v>
          </cell>
          <cell r="I134">
            <v>6</v>
          </cell>
          <cell r="J134">
            <v>4</v>
          </cell>
          <cell r="K134">
            <v>46.544519480519476</v>
          </cell>
          <cell r="L134">
            <v>6</v>
          </cell>
          <cell r="M134">
            <v>4</v>
          </cell>
          <cell r="N134">
            <v>55.599999999999994</v>
          </cell>
          <cell r="O134">
            <v>6</v>
          </cell>
          <cell r="P134">
            <v>4</v>
          </cell>
          <cell r="T134">
            <v>68</v>
          </cell>
          <cell r="U134">
            <v>7</v>
          </cell>
          <cell r="V134">
            <v>4</v>
          </cell>
          <cell r="Z134">
            <v>47.888888888888886</v>
          </cell>
          <cell r="AB134">
            <v>57.3</v>
          </cell>
          <cell r="AC134">
            <v>5.5</v>
          </cell>
          <cell r="AD134">
            <v>53.782169820078906</v>
          </cell>
          <cell r="AE134" t="str">
            <v>М201БМИЭФ289</v>
          </cell>
        </row>
        <row r="135">
          <cell r="A135">
            <v>132</v>
          </cell>
          <cell r="B135">
            <v>121</v>
          </cell>
          <cell r="C135">
            <v>0.44295302013422821</v>
          </cell>
          <cell r="D135" t="str">
            <v>М201БМИЭФ228</v>
          </cell>
          <cell r="E135" t="str">
            <v>Стрельников Владимир Игоревич</v>
          </cell>
          <cell r="F135">
            <v>8</v>
          </cell>
          <cell r="G135">
            <v>10</v>
          </cell>
          <cell r="H135">
            <v>45.275961538461537</v>
          </cell>
          <cell r="I135">
            <v>5</v>
          </cell>
          <cell r="J135">
            <v>3</v>
          </cell>
          <cell r="K135">
            <v>32.602126748855007</v>
          </cell>
          <cell r="L135">
            <v>4</v>
          </cell>
          <cell r="M135">
            <v>3</v>
          </cell>
          <cell r="N135">
            <v>56.19444444444445</v>
          </cell>
          <cell r="O135">
            <v>6</v>
          </cell>
          <cell r="P135">
            <v>4</v>
          </cell>
          <cell r="W135">
            <v>68.7</v>
          </cell>
          <cell r="X135">
            <v>6</v>
          </cell>
          <cell r="Y135">
            <v>4</v>
          </cell>
          <cell r="Z135">
            <v>73.592592592592595</v>
          </cell>
          <cell r="AB135">
            <v>53.3</v>
          </cell>
          <cell r="AC135">
            <v>5.5</v>
          </cell>
          <cell r="AD135">
            <v>53.693659149882471</v>
          </cell>
          <cell r="AE135" t="str">
            <v>М201БМИЭФ228</v>
          </cell>
        </row>
        <row r="136">
          <cell r="A136">
            <v>133</v>
          </cell>
          <cell r="B136">
            <v>122</v>
          </cell>
          <cell r="C136">
            <v>0.44630872483221479</v>
          </cell>
          <cell r="D136" t="str">
            <v>М201БМИЭФ041</v>
          </cell>
          <cell r="E136" t="str">
            <v>Бабаева Дженнет Бяшимовна</v>
          </cell>
          <cell r="F136">
            <v>11</v>
          </cell>
          <cell r="G136">
            <v>14</v>
          </cell>
          <cell r="H136">
            <v>50.957179487179488</v>
          </cell>
          <cell r="I136">
            <v>6</v>
          </cell>
          <cell r="J136">
            <v>4</v>
          </cell>
          <cell r="K136">
            <v>44.635629101574743</v>
          </cell>
          <cell r="L136">
            <v>5</v>
          </cell>
          <cell r="M136">
            <v>3</v>
          </cell>
          <cell r="N136">
            <v>47.080111111111101</v>
          </cell>
          <cell r="O136">
            <v>5</v>
          </cell>
          <cell r="P136">
            <v>3</v>
          </cell>
          <cell r="Q136">
            <v>55</v>
          </cell>
          <cell r="R136">
            <v>6</v>
          </cell>
          <cell r="S136">
            <v>4</v>
          </cell>
          <cell r="Z136">
            <v>58.888888888888886</v>
          </cell>
          <cell r="AB136">
            <v>66.2</v>
          </cell>
          <cell r="AC136">
            <v>5.5</v>
          </cell>
          <cell r="AD136">
            <v>53.68396519795531</v>
          </cell>
          <cell r="AE136" t="str">
            <v>М201БМИЭФ041</v>
          </cell>
        </row>
        <row r="137">
          <cell r="A137">
            <v>134</v>
          </cell>
          <cell r="B137">
            <v>123</v>
          </cell>
          <cell r="C137">
            <v>0.44966442953020136</v>
          </cell>
          <cell r="D137" t="str">
            <v>М201БМИЭФ186</v>
          </cell>
          <cell r="E137" t="str">
            <v>Оглы Анастасия Александровна</v>
          </cell>
          <cell r="F137">
            <v>4</v>
          </cell>
          <cell r="G137">
            <v>5</v>
          </cell>
          <cell r="H137">
            <v>48.709166666666661</v>
          </cell>
          <cell r="I137">
            <v>6</v>
          </cell>
          <cell r="J137">
            <v>4</v>
          </cell>
          <cell r="K137">
            <v>29.772059543309542</v>
          </cell>
          <cell r="L137">
            <v>4</v>
          </cell>
          <cell r="M137">
            <v>3</v>
          </cell>
          <cell r="N137">
            <v>53.374277777777792</v>
          </cell>
          <cell r="O137">
            <v>6</v>
          </cell>
          <cell r="P137">
            <v>4</v>
          </cell>
          <cell r="Q137">
            <v>76</v>
          </cell>
          <cell r="R137">
            <v>8</v>
          </cell>
          <cell r="S137">
            <v>5</v>
          </cell>
          <cell r="Z137">
            <v>72.925925925925938</v>
          </cell>
          <cell r="AA137">
            <v>52</v>
          </cell>
          <cell r="AC137">
            <v>5.5</v>
          </cell>
          <cell r="AD137">
            <v>53.596623620669078</v>
          </cell>
          <cell r="AE137" t="str">
            <v>М201БМИЭФ186</v>
          </cell>
        </row>
        <row r="138">
          <cell r="A138">
            <v>135</v>
          </cell>
          <cell r="B138">
            <v>124</v>
          </cell>
          <cell r="C138">
            <v>0.45302013422818793</v>
          </cell>
          <cell r="D138" t="str">
            <v>М201БМИЭФ155</v>
          </cell>
          <cell r="E138" t="str">
            <v>Макарова Александра Борисовна</v>
          </cell>
          <cell r="F138">
            <v>8</v>
          </cell>
          <cell r="G138">
            <v>10</v>
          </cell>
          <cell r="H138">
            <v>54.008910256410253</v>
          </cell>
          <cell r="I138">
            <v>6</v>
          </cell>
          <cell r="J138">
            <v>4</v>
          </cell>
          <cell r="K138">
            <v>46.776138374910119</v>
          </cell>
          <cell r="L138">
            <v>6</v>
          </cell>
          <cell r="M138">
            <v>4</v>
          </cell>
          <cell r="N138">
            <v>63.966666666666697</v>
          </cell>
          <cell r="O138">
            <v>7</v>
          </cell>
          <cell r="P138">
            <v>4</v>
          </cell>
          <cell r="Q138">
            <v>42</v>
          </cell>
          <cell r="R138">
            <v>5</v>
          </cell>
          <cell r="S138">
            <v>3</v>
          </cell>
          <cell r="Z138">
            <v>70</v>
          </cell>
          <cell r="AA138">
            <v>39</v>
          </cell>
          <cell r="AC138">
            <v>5.5</v>
          </cell>
          <cell r="AD138">
            <v>53.591220963270374</v>
          </cell>
          <cell r="AE138" t="str">
            <v>М201БМИЭФ155</v>
          </cell>
        </row>
        <row r="139">
          <cell r="A139">
            <v>136</v>
          </cell>
          <cell r="B139">
            <v>125</v>
          </cell>
          <cell r="C139">
            <v>0.4563758389261745</v>
          </cell>
          <cell r="D139" t="str">
            <v>М201БМИЭФ148</v>
          </cell>
          <cell r="E139" t="str">
            <v>Лебедева Элина Эмильевна</v>
          </cell>
          <cell r="F139">
            <v>4</v>
          </cell>
          <cell r="G139">
            <v>5</v>
          </cell>
          <cell r="H139">
            <v>61.924615384615386</v>
          </cell>
          <cell r="I139">
            <v>7</v>
          </cell>
          <cell r="J139">
            <v>4</v>
          </cell>
          <cell r="K139">
            <v>53.30460112710113</v>
          </cell>
          <cell r="L139">
            <v>6</v>
          </cell>
          <cell r="M139">
            <v>4</v>
          </cell>
          <cell r="N139">
            <v>49.797944444444447</v>
          </cell>
          <cell r="O139">
            <v>5</v>
          </cell>
          <cell r="P139">
            <v>3</v>
          </cell>
          <cell r="Q139">
            <v>39</v>
          </cell>
          <cell r="R139">
            <v>4</v>
          </cell>
          <cell r="S139">
            <v>3</v>
          </cell>
          <cell r="Z139">
            <v>58.111111111111114</v>
          </cell>
          <cell r="AB139">
            <v>52</v>
          </cell>
          <cell r="AC139">
            <v>5.5</v>
          </cell>
          <cell r="AD139">
            <v>53.57059492132219</v>
          </cell>
          <cell r="AE139" t="str">
            <v>М201БМИЭФ148</v>
          </cell>
        </row>
        <row r="140">
          <cell r="A140">
            <v>137</v>
          </cell>
          <cell r="B140">
            <v>126</v>
          </cell>
          <cell r="C140">
            <v>0.45973154362416108</v>
          </cell>
          <cell r="D140" t="str">
            <v>М201БМИЭФ130</v>
          </cell>
          <cell r="E140" t="str">
            <v>Кононова Мария Алексеевна</v>
          </cell>
          <cell r="F140">
            <v>6</v>
          </cell>
          <cell r="G140">
            <v>7</v>
          </cell>
          <cell r="H140">
            <v>45.801217948717948</v>
          </cell>
          <cell r="I140">
            <v>5</v>
          </cell>
          <cell r="J140">
            <v>3</v>
          </cell>
          <cell r="K140">
            <v>29.501863796823578</v>
          </cell>
          <cell r="L140">
            <v>4</v>
          </cell>
          <cell r="M140">
            <v>3</v>
          </cell>
          <cell r="N140">
            <v>49.907666666666643</v>
          </cell>
          <cell r="O140">
            <v>5</v>
          </cell>
          <cell r="P140">
            <v>3</v>
          </cell>
          <cell r="Q140">
            <v>65</v>
          </cell>
          <cell r="R140">
            <v>7</v>
          </cell>
          <cell r="S140">
            <v>4</v>
          </cell>
          <cell r="Z140">
            <v>75.111111111111114</v>
          </cell>
          <cell r="AA140">
            <v>61.666666666666671</v>
          </cell>
          <cell r="AC140">
            <v>5.5</v>
          </cell>
          <cell r="AD140">
            <v>53.543368398179268</v>
          </cell>
          <cell r="AE140" t="str">
            <v>М201БМИЭФ130</v>
          </cell>
        </row>
        <row r="141">
          <cell r="A141">
            <v>138</v>
          </cell>
          <cell r="B141">
            <v>127</v>
          </cell>
          <cell r="C141">
            <v>0.46308724832214765</v>
          </cell>
          <cell r="D141" t="str">
            <v>М201БМИЭФ201</v>
          </cell>
          <cell r="E141" t="str">
            <v>Потехина Вера Андреевна</v>
          </cell>
          <cell r="F141">
            <v>4</v>
          </cell>
          <cell r="G141">
            <v>5</v>
          </cell>
          <cell r="H141">
            <v>50.434615384615384</v>
          </cell>
          <cell r="I141">
            <v>6</v>
          </cell>
          <cell r="J141">
            <v>4</v>
          </cell>
          <cell r="K141">
            <v>38.103604676104673</v>
          </cell>
          <cell r="L141">
            <v>5</v>
          </cell>
          <cell r="M141">
            <v>3</v>
          </cell>
          <cell r="N141">
            <v>53.757888888888857</v>
          </cell>
          <cell r="O141">
            <v>6</v>
          </cell>
          <cell r="P141">
            <v>4</v>
          </cell>
          <cell r="Q141">
            <v>43</v>
          </cell>
          <cell r="R141">
            <v>5</v>
          </cell>
          <cell r="S141">
            <v>3</v>
          </cell>
          <cell r="Z141">
            <v>69.481481481481481</v>
          </cell>
          <cell r="AB141">
            <v>60.8</v>
          </cell>
          <cell r="AC141">
            <v>5.5</v>
          </cell>
          <cell r="AD141">
            <v>53.468652805652802</v>
          </cell>
          <cell r="AE141" t="str">
            <v>М201БМИЭФ201</v>
          </cell>
        </row>
        <row r="142">
          <cell r="A142">
            <v>139</v>
          </cell>
          <cell r="B142">
            <v>128</v>
          </cell>
          <cell r="C142">
            <v>0.46644295302013422</v>
          </cell>
          <cell r="D142" t="str">
            <v>М201БМИЭФ192</v>
          </cell>
          <cell r="E142" t="str">
            <v>Павлоцкий Борис Ефимович</v>
          </cell>
          <cell r="F142">
            <v>11</v>
          </cell>
          <cell r="G142">
            <v>13</v>
          </cell>
          <cell r="H142">
            <v>43.304551282051285</v>
          </cell>
          <cell r="I142">
            <v>5</v>
          </cell>
          <cell r="J142">
            <v>3</v>
          </cell>
          <cell r="K142">
            <v>43.074761685174728</v>
          </cell>
          <cell r="L142">
            <v>5</v>
          </cell>
          <cell r="M142">
            <v>3</v>
          </cell>
          <cell r="N142">
            <v>60.093555555555554</v>
          </cell>
          <cell r="O142">
            <v>7</v>
          </cell>
          <cell r="P142">
            <v>4</v>
          </cell>
          <cell r="Q142">
            <v>56</v>
          </cell>
          <cell r="R142">
            <v>6</v>
          </cell>
          <cell r="S142">
            <v>4</v>
          </cell>
          <cell r="Z142">
            <v>64</v>
          </cell>
          <cell r="AB142">
            <v>54.6</v>
          </cell>
          <cell r="AC142">
            <v>5.5</v>
          </cell>
          <cell r="AD142">
            <v>53.28597609505119</v>
          </cell>
          <cell r="AE142" t="str">
            <v>М201БМИЭФ192</v>
          </cell>
        </row>
        <row r="143">
          <cell r="A143">
            <v>140</v>
          </cell>
          <cell r="B143">
            <v>129</v>
          </cell>
          <cell r="C143">
            <v>0.46979865771812079</v>
          </cell>
          <cell r="D143" t="str">
            <v>М201БМИЭФ259</v>
          </cell>
          <cell r="E143" t="str">
            <v>Чернышев Глеб Владимирович</v>
          </cell>
          <cell r="F143">
            <v>9</v>
          </cell>
          <cell r="G143">
            <v>16</v>
          </cell>
          <cell r="H143">
            <v>56.648910256410261</v>
          </cell>
          <cell r="I143">
            <v>7</v>
          </cell>
          <cell r="J143">
            <v>4</v>
          </cell>
          <cell r="K143">
            <v>35.888121356421358</v>
          </cell>
          <cell r="L143">
            <v>5</v>
          </cell>
          <cell r="M143">
            <v>3</v>
          </cell>
          <cell r="N143">
            <v>67.938888888888854</v>
          </cell>
          <cell r="O143">
            <v>7</v>
          </cell>
          <cell r="P143">
            <v>4</v>
          </cell>
          <cell r="Q143">
            <v>50</v>
          </cell>
          <cell r="R143">
            <v>6</v>
          </cell>
          <cell r="S143">
            <v>4</v>
          </cell>
          <cell r="Z143">
            <v>46.111111111111114</v>
          </cell>
          <cell r="AB143">
            <v>59</v>
          </cell>
          <cell r="AC143">
            <v>5.5</v>
          </cell>
          <cell r="AD143">
            <v>52.83400574778755</v>
          </cell>
          <cell r="AE143" t="str">
            <v>М201БМИЭФ259</v>
          </cell>
        </row>
        <row r="144">
          <cell r="A144">
            <v>141</v>
          </cell>
          <cell r="B144">
            <v>130</v>
          </cell>
          <cell r="C144">
            <v>0.47315436241610737</v>
          </cell>
          <cell r="D144" t="str">
            <v>М201БМИЭФ152</v>
          </cell>
          <cell r="E144" t="str">
            <v>Любимов Даниил Александрович</v>
          </cell>
          <cell r="F144">
            <v>5</v>
          </cell>
          <cell r="G144">
            <v>9</v>
          </cell>
          <cell r="H144">
            <v>54.344294871794872</v>
          </cell>
          <cell r="I144">
            <v>6</v>
          </cell>
          <cell r="J144">
            <v>4</v>
          </cell>
          <cell r="K144">
            <v>36.316389304263907</v>
          </cell>
          <cell r="L144">
            <v>5</v>
          </cell>
          <cell r="M144">
            <v>3</v>
          </cell>
          <cell r="N144">
            <v>45.405555555555544</v>
          </cell>
          <cell r="O144">
            <v>5</v>
          </cell>
          <cell r="P144">
            <v>3</v>
          </cell>
          <cell r="W144">
            <v>51.1</v>
          </cell>
          <cell r="X144">
            <v>6</v>
          </cell>
          <cell r="Y144">
            <v>4</v>
          </cell>
          <cell r="Z144">
            <v>63.629629629629626</v>
          </cell>
          <cell r="AB144">
            <v>65.3</v>
          </cell>
          <cell r="AC144">
            <v>5.5</v>
          </cell>
          <cell r="AD144">
            <v>52.826521702044353</v>
          </cell>
          <cell r="AE144" t="str">
            <v>М201БМИЭФ152</v>
          </cell>
        </row>
        <row r="145">
          <cell r="A145">
            <v>142</v>
          </cell>
          <cell r="B145">
            <v>131</v>
          </cell>
          <cell r="C145">
            <v>0.47651006711409394</v>
          </cell>
          <cell r="D145" t="str">
            <v>М201БМИЭФ097</v>
          </cell>
          <cell r="E145" t="str">
            <v>Ершова Мария Александровна</v>
          </cell>
          <cell r="F145">
            <v>4</v>
          </cell>
          <cell r="G145">
            <v>6</v>
          </cell>
          <cell r="H145">
            <v>52.224743589743582</v>
          </cell>
          <cell r="I145">
            <v>6</v>
          </cell>
          <cell r="J145">
            <v>4</v>
          </cell>
          <cell r="K145">
            <v>26.589202449202446</v>
          </cell>
          <cell r="L145">
            <v>4</v>
          </cell>
          <cell r="M145">
            <v>3</v>
          </cell>
          <cell r="N145">
            <v>53.626888888888857</v>
          </cell>
          <cell r="O145">
            <v>6</v>
          </cell>
          <cell r="P145">
            <v>4</v>
          </cell>
          <cell r="Q145">
            <v>51</v>
          </cell>
          <cell r="R145">
            <v>6</v>
          </cell>
          <cell r="S145">
            <v>4</v>
          </cell>
          <cell r="Z145">
            <v>62.555555555555557</v>
          </cell>
          <cell r="AB145">
            <v>69</v>
          </cell>
          <cell r="AC145">
            <v>5.5</v>
          </cell>
          <cell r="AD145">
            <v>52.635707360616443</v>
          </cell>
          <cell r="AE145" t="str">
            <v>М201БМИЭФ097</v>
          </cell>
        </row>
        <row r="146">
          <cell r="A146">
            <v>143</v>
          </cell>
          <cell r="B146">
            <v>132</v>
          </cell>
          <cell r="C146">
            <v>0.47986577181208051</v>
          </cell>
          <cell r="D146" t="str">
            <v>М201БМИЭФ095</v>
          </cell>
          <cell r="E146" t="str">
            <v>Егоров Богдан Евгеньевич</v>
          </cell>
          <cell r="F146">
            <v>8</v>
          </cell>
          <cell r="G146">
            <v>11</v>
          </cell>
          <cell r="H146">
            <v>46.332051282051282</v>
          </cell>
          <cell r="I146">
            <v>5</v>
          </cell>
          <cell r="J146">
            <v>3</v>
          </cell>
          <cell r="K146">
            <v>41.302294073076681</v>
          </cell>
          <cell r="L146">
            <v>5</v>
          </cell>
          <cell r="M146">
            <v>3</v>
          </cell>
          <cell r="N146">
            <v>40.316666666666656</v>
          </cell>
          <cell r="O146">
            <v>5</v>
          </cell>
          <cell r="P146">
            <v>3</v>
          </cell>
          <cell r="Q146">
            <v>61</v>
          </cell>
          <cell r="R146">
            <v>7</v>
          </cell>
          <cell r="S146">
            <v>4</v>
          </cell>
          <cell r="Z146">
            <v>70.074074074074076</v>
          </cell>
          <cell r="AB146">
            <v>59.7</v>
          </cell>
          <cell r="AC146">
            <v>5.5</v>
          </cell>
          <cell r="AD146">
            <v>52.404561108339756</v>
          </cell>
          <cell r="AE146" t="str">
            <v>М201БМИЭФ095</v>
          </cell>
        </row>
        <row r="147">
          <cell r="A147">
            <v>144</v>
          </cell>
          <cell r="B147">
            <v>133</v>
          </cell>
          <cell r="C147">
            <v>0.48322147651006714</v>
          </cell>
          <cell r="D147" t="str">
            <v>М201БМИЭФ007</v>
          </cell>
          <cell r="E147" t="str">
            <v>Ван Цзинхуэй</v>
          </cell>
          <cell r="F147">
            <v>11</v>
          </cell>
          <cell r="G147">
            <v>5</v>
          </cell>
          <cell r="H147">
            <v>56.40519230769231</v>
          </cell>
          <cell r="I147">
            <v>7</v>
          </cell>
          <cell r="J147">
            <v>4</v>
          </cell>
          <cell r="K147">
            <v>59.864753529079621</v>
          </cell>
          <cell r="L147">
            <v>7</v>
          </cell>
          <cell r="M147">
            <v>4</v>
          </cell>
          <cell r="N147">
            <v>59.0833333333333</v>
          </cell>
          <cell r="O147">
            <v>6</v>
          </cell>
          <cell r="P147">
            <v>4</v>
          </cell>
          <cell r="T147">
            <v>59</v>
          </cell>
          <cell r="U147">
            <v>6</v>
          </cell>
          <cell r="V147">
            <v>4</v>
          </cell>
          <cell r="Z147">
            <v>48.333333333333336</v>
          </cell>
          <cell r="AA147">
            <v>35</v>
          </cell>
          <cell r="AC147">
            <v>5.5</v>
          </cell>
          <cell r="AD147">
            <v>52.397565909716107</v>
          </cell>
          <cell r="AE147" t="str">
            <v>М201БМИЭФ007</v>
          </cell>
        </row>
        <row r="148">
          <cell r="A148">
            <v>145</v>
          </cell>
          <cell r="B148">
            <v>134</v>
          </cell>
          <cell r="C148">
            <v>0.48657718120805371</v>
          </cell>
          <cell r="D148" t="str">
            <v>М201БМИЭФ045</v>
          </cell>
          <cell r="E148" t="str">
            <v>Баричева Полина Олеговна</v>
          </cell>
          <cell r="F148">
            <v>7</v>
          </cell>
          <cell r="G148">
            <v>10</v>
          </cell>
          <cell r="H148">
            <v>52.074871794871797</v>
          </cell>
          <cell r="I148">
            <v>6</v>
          </cell>
          <cell r="J148">
            <v>4</v>
          </cell>
          <cell r="K148">
            <v>30.527863636363637</v>
          </cell>
          <cell r="L148">
            <v>4</v>
          </cell>
          <cell r="M148">
            <v>3</v>
          </cell>
          <cell r="N148">
            <v>50.744444444444447</v>
          </cell>
          <cell r="O148">
            <v>6</v>
          </cell>
          <cell r="P148">
            <v>4</v>
          </cell>
          <cell r="Q148">
            <v>52</v>
          </cell>
          <cell r="R148">
            <v>6</v>
          </cell>
          <cell r="S148">
            <v>4</v>
          </cell>
          <cell r="Z148">
            <v>68</v>
          </cell>
          <cell r="AB148">
            <v>60</v>
          </cell>
          <cell r="AC148">
            <v>5.5</v>
          </cell>
          <cell r="AD148">
            <v>52.244941795578164</v>
          </cell>
          <cell r="AE148" t="str">
            <v>М201БМИЭФ045</v>
          </cell>
        </row>
        <row r="149">
          <cell r="A149">
            <v>146</v>
          </cell>
          <cell r="B149">
            <v>135</v>
          </cell>
          <cell r="C149">
            <v>0.48993288590604028</v>
          </cell>
          <cell r="D149" t="str">
            <v>М201БМИЭФ080</v>
          </cell>
          <cell r="E149" t="str">
            <v>Голоднова Анастасия Вадимовна</v>
          </cell>
          <cell r="F149">
            <v>1</v>
          </cell>
          <cell r="G149">
            <v>1</v>
          </cell>
          <cell r="H149">
            <v>40.676346153846147</v>
          </cell>
          <cell r="I149">
            <v>5</v>
          </cell>
          <cell r="J149">
            <v>3</v>
          </cell>
          <cell r="K149">
            <v>40.95345086580086</v>
          </cell>
          <cell r="L149">
            <v>5</v>
          </cell>
          <cell r="M149">
            <v>3</v>
          </cell>
          <cell r="N149">
            <v>46.011777777777795</v>
          </cell>
          <cell r="O149">
            <v>5</v>
          </cell>
          <cell r="P149">
            <v>3</v>
          </cell>
          <cell r="W149">
            <v>57.1</v>
          </cell>
          <cell r="X149">
            <v>6</v>
          </cell>
          <cell r="Y149">
            <v>4</v>
          </cell>
          <cell r="Z149">
            <v>67.555555555555557</v>
          </cell>
          <cell r="AA149">
            <v>63.333333333333329</v>
          </cell>
          <cell r="AC149">
            <v>5.5</v>
          </cell>
          <cell r="AD149">
            <v>52.196447942966124</v>
          </cell>
          <cell r="AE149" t="str">
            <v>М201БМИЭФ080</v>
          </cell>
        </row>
        <row r="150">
          <cell r="A150">
            <v>147</v>
          </cell>
          <cell r="B150">
            <v>136</v>
          </cell>
          <cell r="C150">
            <v>0.49328859060402686</v>
          </cell>
          <cell r="D150" t="str">
            <v>М201БМИЭФ211</v>
          </cell>
          <cell r="E150" t="str">
            <v>Савиных Егор Сергеевич</v>
          </cell>
          <cell r="F150">
            <v>3</v>
          </cell>
          <cell r="G150">
            <v>5</v>
          </cell>
          <cell r="H150">
            <v>49.574423076923075</v>
          </cell>
          <cell r="I150">
            <v>6</v>
          </cell>
          <cell r="J150">
            <v>4</v>
          </cell>
          <cell r="K150">
            <v>46.412960035347631</v>
          </cell>
          <cell r="L150">
            <v>6</v>
          </cell>
          <cell r="M150">
            <v>4</v>
          </cell>
          <cell r="N150">
            <v>50.75</v>
          </cell>
          <cell r="O150">
            <v>6</v>
          </cell>
          <cell r="P150">
            <v>4</v>
          </cell>
          <cell r="Q150">
            <v>33</v>
          </cell>
          <cell r="R150">
            <v>3</v>
          </cell>
          <cell r="S150">
            <v>2</v>
          </cell>
          <cell r="Z150">
            <v>60.814814814814817</v>
          </cell>
          <cell r="AB150">
            <v>62</v>
          </cell>
          <cell r="AC150">
            <v>5.5</v>
          </cell>
          <cell r="AD150">
            <v>52.009490532197376</v>
          </cell>
          <cell r="AE150" t="str">
            <v>М201БМИЭФ211</v>
          </cell>
        </row>
        <row r="151">
          <cell r="A151">
            <v>148</v>
          </cell>
          <cell r="B151">
            <v>137</v>
          </cell>
          <cell r="C151">
            <v>0.49664429530201343</v>
          </cell>
          <cell r="D151" t="str">
            <v>М201БМИЭФ016</v>
          </cell>
          <cell r="E151" t="str">
            <v>Чан Конг Зуи Ан</v>
          </cell>
          <cell r="F151">
            <v>5</v>
          </cell>
          <cell r="G151">
            <v>8</v>
          </cell>
          <cell r="H151">
            <v>44.377948717948719</v>
          </cell>
          <cell r="I151">
            <v>5</v>
          </cell>
          <cell r="J151">
            <v>3</v>
          </cell>
          <cell r="K151">
            <v>26.569914899331302</v>
          </cell>
          <cell r="L151">
            <v>4</v>
          </cell>
          <cell r="M151">
            <v>3</v>
          </cell>
          <cell r="N151">
            <v>45.15466666666665</v>
          </cell>
          <cell r="O151">
            <v>5</v>
          </cell>
          <cell r="P151">
            <v>3</v>
          </cell>
          <cell r="Q151">
            <v>51</v>
          </cell>
          <cell r="R151">
            <v>6</v>
          </cell>
          <cell r="S151">
            <v>4</v>
          </cell>
          <cell r="Z151">
            <v>73.703703703703709</v>
          </cell>
          <cell r="AB151">
            <v>70.7</v>
          </cell>
          <cell r="AC151">
            <v>5.5</v>
          </cell>
          <cell r="AD151">
            <v>52.001133452300067</v>
          </cell>
          <cell r="AE151" t="str">
            <v>М201БМИЭФ016</v>
          </cell>
        </row>
        <row r="152">
          <cell r="A152">
            <v>149</v>
          </cell>
          <cell r="B152">
            <v>138</v>
          </cell>
          <cell r="C152">
            <v>0.5</v>
          </cell>
          <cell r="D152" t="str">
            <v>М201БМИЭФ280</v>
          </cell>
          <cell r="E152" t="str">
            <v>Щекотова Анастасия Антоновна</v>
          </cell>
          <cell r="F152">
            <v>5</v>
          </cell>
          <cell r="G152">
            <v>9</v>
          </cell>
          <cell r="H152">
            <v>41.031923076923078</v>
          </cell>
          <cell r="I152">
            <v>5</v>
          </cell>
          <cell r="J152">
            <v>3</v>
          </cell>
          <cell r="K152">
            <v>47.868869805536207</v>
          </cell>
          <cell r="L152">
            <v>6</v>
          </cell>
          <cell r="M152">
            <v>4</v>
          </cell>
          <cell r="N152">
            <v>53.811111111111103</v>
          </cell>
          <cell r="O152">
            <v>6</v>
          </cell>
          <cell r="P152">
            <v>4</v>
          </cell>
          <cell r="Q152">
            <v>60</v>
          </cell>
          <cell r="R152">
            <v>7</v>
          </cell>
          <cell r="S152">
            <v>4</v>
          </cell>
          <cell r="Z152">
            <v>51.074074074074076</v>
          </cell>
          <cell r="AB152">
            <v>62.1</v>
          </cell>
          <cell r="AC152">
            <v>5.5</v>
          </cell>
          <cell r="AD152">
            <v>51.979268739571722</v>
          </cell>
          <cell r="AE152" t="str">
            <v>М201БМИЭФ280</v>
          </cell>
        </row>
        <row r="153">
          <cell r="A153">
            <v>150</v>
          </cell>
          <cell r="B153">
            <v>139</v>
          </cell>
          <cell r="C153">
            <v>0.50335570469798663</v>
          </cell>
          <cell r="D153" t="str">
            <v>М201БМИЭФ042</v>
          </cell>
          <cell r="E153" t="str">
            <v>Бабаян Кристина Сергеевна</v>
          </cell>
          <cell r="F153">
            <v>7</v>
          </cell>
          <cell r="G153">
            <v>10</v>
          </cell>
          <cell r="H153">
            <v>44.780833333333334</v>
          </cell>
          <cell r="I153">
            <v>5</v>
          </cell>
          <cell r="J153">
            <v>3</v>
          </cell>
          <cell r="K153">
            <v>28.11</v>
          </cell>
          <cell r="L153">
            <v>4</v>
          </cell>
          <cell r="M153">
            <v>3</v>
          </cell>
          <cell r="N153">
            <v>60.805555555555543</v>
          </cell>
          <cell r="O153">
            <v>7</v>
          </cell>
          <cell r="P153">
            <v>4</v>
          </cell>
          <cell r="Q153">
            <v>65</v>
          </cell>
          <cell r="R153">
            <v>7</v>
          </cell>
          <cell r="S153">
            <v>4</v>
          </cell>
          <cell r="Z153">
            <v>46.407407407407405</v>
          </cell>
          <cell r="AB153">
            <v>73</v>
          </cell>
          <cell r="AC153">
            <v>5.5</v>
          </cell>
          <cell r="AD153">
            <v>51.927962962962958</v>
          </cell>
          <cell r="AE153" t="str">
            <v>М201БМИЭФ042</v>
          </cell>
        </row>
        <row r="154">
          <cell r="A154">
            <v>151</v>
          </cell>
          <cell r="B154">
            <v>140</v>
          </cell>
          <cell r="C154">
            <v>0.50671140939597314</v>
          </cell>
          <cell r="D154" t="str">
            <v>М201БМИЭФ129</v>
          </cell>
          <cell r="E154" t="str">
            <v>Кондрашова Елизавета Вячеславовна</v>
          </cell>
          <cell r="F154">
            <v>8</v>
          </cell>
          <cell r="G154">
            <v>11</v>
          </cell>
          <cell r="H154">
            <v>46.154294871794875</v>
          </cell>
          <cell r="I154">
            <v>5</v>
          </cell>
          <cell r="J154">
            <v>3</v>
          </cell>
          <cell r="K154">
            <v>40.052191130125912</v>
          </cell>
          <cell r="L154">
            <v>5</v>
          </cell>
          <cell r="M154">
            <v>3</v>
          </cell>
          <cell r="N154">
            <v>52.216666666666697</v>
          </cell>
          <cell r="O154">
            <v>6</v>
          </cell>
          <cell r="P154">
            <v>4</v>
          </cell>
          <cell r="Q154">
            <v>59</v>
          </cell>
          <cell r="R154">
            <v>6</v>
          </cell>
          <cell r="S154">
            <v>4</v>
          </cell>
          <cell r="Z154">
            <v>61.777777777777779</v>
          </cell>
          <cell r="AB154">
            <v>55.8</v>
          </cell>
          <cell r="AC154">
            <v>5.5</v>
          </cell>
          <cell r="AD154">
            <v>51.909260081157321</v>
          </cell>
          <cell r="AE154" t="str">
            <v>М201БМИЭФ129</v>
          </cell>
        </row>
        <row r="155">
          <cell r="A155">
            <v>152</v>
          </cell>
          <cell r="B155">
            <v>141</v>
          </cell>
          <cell r="C155">
            <v>0.51006711409395977</v>
          </cell>
          <cell r="D155" t="str">
            <v>М201БМИЭФ190</v>
          </cell>
          <cell r="E155" t="str">
            <v>Оржебовская Евгения Константиновна</v>
          </cell>
          <cell r="F155">
            <v>2</v>
          </cell>
          <cell r="G155">
            <v>3</v>
          </cell>
          <cell r="H155">
            <v>37.054935897435897</v>
          </cell>
          <cell r="I155">
            <v>4</v>
          </cell>
          <cell r="J155">
            <v>3</v>
          </cell>
          <cell r="K155">
            <v>32.18329653679654</v>
          </cell>
          <cell r="L155">
            <v>4</v>
          </cell>
          <cell r="M155">
            <v>3</v>
          </cell>
          <cell r="N155">
            <v>62.505555555555546</v>
          </cell>
          <cell r="O155">
            <v>7</v>
          </cell>
          <cell r="P155">
            <v>4</v>
          </cell>
          <cell r="T155">
            <v>53</v>
          </cell>
          <cell r="U155">
            <v>6</v>
          </cell>
          <cell r="V155">
            <v>4</v>
          </cell>
          <cell r="Z155">
            <v>67.592592592592595</v>
          </cell>
          <cell r="AB155">
            <v>59</v>
          </cell>
          <cell r="AC155">
            <v>5.5</v>
          </cell>
          <cell r="AD155">
            <v>51.788432833160101</v>
          </cell>
          <cell r="AE155" t="str">
            <v>М201БМИЭФ190</v>
          </cell>
        </row>
        <row r="156">
          <cell r="A156">
            <v>153</v>
          </cell>
          <cell r="B156">
            <v>142</v>
          </cell>
          <cell r="C156">
            <v>0.51342281879194629</v>
          </cell>
          <cell r="D156" t="str">
            <v>М201БМИЭФ300</v>
          </cell>
          <cell r="E156" t="str">
            <v>Соболева Виктория</v>
          </cell>
          <cell r="F156" t="str">
            <v>12 online</v>
          </cell>
          <cell r="G156" t="str">
            <v>17 online</v>
          </cell>
          <cell r="H156">
            <v>41.649935897435896</v>
          </cell>
          <cell r="I156">
            <v>5</v>
          </cell>
          <cell r="J156">
            <v>3</v>
          </cell>
          <cell r="K156">
            <v>70.855887787137789</v>
          </cell>
          <cell r="L156">
            <v>8</v>
          </cell>
          <cell r="M156">
            <v>5</v>
          </cell>
          <cell r="N156">
            <v>51.615500000000004</v>
          </cell>
          <cell r="O156">
            <v>6</v>
          </cell>
          <cell r="P156">
            <v>4</v>
          </cell>
          <cell r="Q156">
            <v>31</v>
          </cell>
          <cell r="R156">
            <v>1</v>
          </cell>
          <cell r="S156">
            <v>2</v>
          </cell>
          <cell r="Z156">
            <v>63.037037037037038</v>
          </cell>
          <cell r="AA156">
            <v>42</v>
          </cell>
          <cell r="AC156">
            <v>5.5</v>
          </cell>
          <cell r="AD156">
            <v>51.756065585747407</v>
          </cell>
          <cell r="AE156" t="str">
            <v>М201БМИЭФ300</v>
          </cell>
        </row>
        <row r="157">
          <cell r="A157">
            <v>154</v>
          </cell>
          <cell r="B157">
            <v>143</v>
          </cell>
          <cell r="C157">
            <v>0.51677852348993292</v>
          </cell>
          <cell r="D157" t="str">
            <v>М201БМИЭФ151</v>
          </cell>
          <cell r="E157" t="str">
            <v>Лосаберидзе Полина Мамуковна</v>
          </cell>
          <cell r="F157">
            <v>2</v>
          </cell>
          <cell r="G157">
            <v>1</v>
          </cell>
          <cell r="H157">
            <v>50.445320512820516</v>
          </cell>
          <cell r="I157">
            <v>6</v>
          </cell>
          <cell r="J157">
            <v>4</v>
          </cell>
          <cell r="K157">
            <v>36.202654761904761</v>
          </cell>
          <cell r="L157">
            <v>5</v>
          </cell>
          <cell r="M157">
            <v>3</v>
          </cell>
          <cell r="N157">
            <v>54.05</v>
          </cell>
          <cell r="O157">
            <v>6</v>
          </cell>
          <cell r="P157">
            <v>4</v>
          </cell>
          <cell r="Q157">
            <v>61</v>
          </cell>
          <cell r="R157">
            <v>7</v>
          </cell>
          <cell r="S157">
            <v>4</v>
          </cell>
          <cell r="Z157">
            <v>71.592592592592595</v>
          </cell>
          <cell r="AB157">
            <v>41.3</v>
          </cell>
          <cell r="AC157">
            <v>5.5</v>
          </cell>
          <cell r="AD157">
            <v>51.652830521330522</v>
          </cell>
          <cell r="AE157" t="str">
            <v>М201БМИЭФ151</v>
          </cell>
        </row>
        <row r="158">
          <cell r="A158">
            <v>155</v>
          </cell>
          <cell r="B158">
            <v>144</v>
          </cell>
          <cell r="C158">
            <v>0.52013422818791943</v>
          </cell>
          <cell r="D158" t="str">
            <v>М201БМИЭФ086</v>
          </cell>
          <cell r="E158" t="str">
            <v>Демьянов Александр Сергеевич</v>
          </cell>
          <cell r="F158">
            <v>2</v>
          </cell>
          <cell r="G158">
            <v>3</v>
          </cell>
          <cell r="H158">
            <v>54.895320512820511</v>
          </cell>
          <cell r="I158">
            <v>6</v>
          </cell>
          <cell r="J158">
            <v>4</v>
          </cell>
          <cell r="K158">
            <v>38.776488095238093</v>
          </cell>
          <cell r="L158">
            <v>5</v>
          </cell>
          <cell r="M158">
            <v>3</v>
          </cell>
          <cell r="N158">
            <v>65.5</v>
          </cell>
          <cell r="O158">
            <v>7</v>
          </cell>
          <cell r="P158">
            <v>4</v>
          </cell>
          <cell r="Q158">
            <v>58</v>
          </cell>
          <cell r="R158">
            <v>6</v>
          </cell>
          <cell r="S158">
            <v>4</v>
          </cell>
          <cell r="Z158">
            <v>55.777777777777779</v>
          </cell>
          <cell r="AA158">
            <v>39.666666666666664</v>
          </cell>
          <cell r="AC158">
            <v>5.5</v>
          </cell>
          <cell r="AD158">
            <v>51.566591464091466</v>
          </cell>
          <cell r="AE158" t="str">
            <v>М201БМИЭФ086</v>
          </cell>
        </row>
        <row r="159">
          <cell r="A159">
            <v>156</v>
          </cell>
          <cell r="B159">
            <v>145</v>
          </cell>
          <cell r="C159">
            <v>0.52348993288590606</v>
          </cell>
          <cell r="D159" t="str">
            <v>М201БМИЭФ264</v>
          </cell>
          <cell r="E159" t="str">
            <v>Чуланова Полина Дмитриевна</v>
          </cell>
          <cell r="F159">
            <v>9</v>
          </cell>
          <cell r="G159">
            <v>14</v>
          </cell>
          <cell r="H159">
            <v>50.182500000000005</v>
          </cell>
          <cell r="I159">
            <v>6</v>
          </cell>
          <cell r="J159">
            <v>4</v>
          </cell>
          <cell r="K159">
            <v>40.559043362193357</v>
          </cell>
          <cell r="L159">
            <v>5</v>
          </cell>
          <cell r="M159">
            <v>3</v>
          </cell>
          <cell r="N159">
            <v>44.504666666666651</v>
          </cell>
          <cell r="O159">
            <v>5</v>
          </cell>
          <cell r="P159">
            <v>3</v>
          </cell>
          <cell r="Q159">
            <v>53</v>
          </cell>
          <cell r="R159">
            <v>6</v>
          </cell>
          <cell r="S159">
            <v>4</v>
          </cell>
          <cell r="Z159">
            <v>56.592592592592595</v>
          </cell>
          <cell r="AB159">
            <v>64</v>
          </cell>
          <cell r="AC159">
            <v>5.5</v>
          </cell>
          <cell r="AD159">
            <v>51.334327749355019</v>
          </cell>
          <cell r="AE159" t="str">
            <v>М201БМИЭФ264</v>
          </cell>
        </row>
        <row r="160">
          <cell r="A160">
            <v>157</v>
          </cell>
          <cell r="B160">
            <v>146</v>
          </cell>
          <cell r="C160">
            <v>0.52684563758389258</v>
          </cell>
          <cell r="D160" t="str">
            <v>М201БМИЭФ160</v>
          </cell>
          <cell r="E160" t="str">
            <v>Манчук Дмитрий Сергеевич</v>
          </cell>
          <cell r="F160">
            <v>4</v>
          </cell>
          <cell r="G160">
            <v>6</v>
          </cell>
          <cell r="H160">
            <v>54.14429487179487</v>
          </cell>
          <cell r="I160">
            <v>6</v>
          </cell>
          <cell r="J160">
            <v>4</v>
          </cell>
          <cell r="K160">
            <v>45.241445780195775</v>
          </cell>
          <cell r="L160">
            <v>6</v>
          </cell>
          <cell r="M160">
            <v>4</v>
          </cell>
          <cell r="N160">
            <v>55.520777777777795</v>
          </cell>
          <cell r="O160">
            <v>6</v>
          </cell>
          <cell r="P160">
            <v>4</v>
          </cell>
          <cell r="Q160">
            <v>53</v>
          </cell>
          <cell r="R160">
            <v>6</v>
          </cell>
          <cell r="S160">
            <v>4</v>
          </cell>
          <cell r="Z160">
            <v>46.851851851851848</v>
          </cell>
          <cell r="AB160">
            <v>54</v>
          </cell>
          <cell r="AC160">
            <v>5.5</v>
          </cell>
          <cell r="AD160">
            <v>51.319703687567319</v>
          </cell>
          <cell r="AE160" t="str">
            <v>М201БМИЭФ160</v>
          </cell>
        </row>
        <row r="161">
          <cell r="A161">
            <v>158</v>
          </cell>
          <cell r="B161">
            <v>147</v>
          </cell>
          <cell r="C161">
            <v>0.53020134228187921</v>
          </cell>
          <cell r="D161" t="str">
            <v>М201БМИЭФ166</v>
          </cell>
          <cell r="E161" t="str">
            <v>Махмудова Анастасия Искандаровна</v>
          </cell>
          <cell r="F161">
            <v>9</v>
          </cell>
          <cell r="G161">
            <v>15</v>
          </cell>
          <cell r="H161">
            <v>57.374551282051286</v>
          </cell>
          <cell r="I161">
            <v>7</v>
          </cell>
          <cell r="J161">
            <v>4</v>
          </cell>
          <cell r="K161">
            <v>54.611523376623374</v>
          </cell>
          <cell r="L161">
            <v>6</v>
          </cell>
          <cell r="M161">
            <v>4</v>
          </cell>
          <cell r="N161">
            <v>73.584222222222195</v>
          </cell>
          <cell r="O161">
            <v>8</v>
          </cell>
          <cell r="P161">
            <v>5</v>
          </cell>
          <cell r="Q161">
            <v>51</v>
          </cell>
          <cell r="R161">
            <v>6</v>
          </cell>
          <cell r="S161">
            <v>4</v>
          </cell>
          <cell r="Z161">
            <v>56.851851851851848</v>
          </cell>
          <cell r="AB161">
            <v>14</v>
          </cell>
          <cell r="AC161">
            <v>5.5</v>
          </cell>
          <cell r="AD161">
            <v>51.258572496863401</v>
          </cell>
          <cell r="AE161" t="str">
            <v>М201БМИЭФ166</v>
          </cell>
        </row>
        <row r="162">
          <cell r="A162">
            <v>159</v>
          </cell>
          <cell r="B162">
            <v>148</v>
          </cell>
          <cell r="C162">
            <v>0.53355704697986572</v>
          </cell>
          <cell r="D162" t="str">
            <v>М201БМИЭФ205</v>
          </cell>
          <cell r="E162" t="str">
            <v>Ратушная Александра Романовна</v>
          </cell>
          <cell r="F162">
            <v>11</v>
          </cell>
          <cell r="G162">
            <v>15</v>
          </cell>
          <cell r="H162">
            <v>46.15455128205128</v>
          </cell>
          <cell r="I162">
            <v>5</v>
          </cell>
          <cell r="J162">
            <v>3</v>
          </cell>
          <cell r="K162">
            <v>41.727046753970662</v>
          </cell>
          <cell r="L162">
            <v>5</v>
          </cell>
          <cell r="M162">
            <v>3</v>
          </cell>
          <cell r="N162">
            <v>38.219888888888903</v>
          </cell>
          <cell r="O162">
            <v>4</v>
          </cell>
          <cell r="P162">
            <v>3</v>
          </cell>
          <cell r="Q162">
            <v>65</v>
          </cell>
          <cell r="R162">
            <v>7</v>
          </cell>
          <cell r="S162">
            <v>4</v>
          </cell>
          <cell r="Z162">
            <v>58.370370370370381</v>
          </cell>
          <cell r="AB162">
            <v>64.7</v>
          </cell>
          <cell r="AC162">
            <v>5.5</v>
          </cell>
          <cell r="AD162">
            <v>51.213064962778397</v>
          </cell>
          <cell r="AE162" t="str">
            <v>М201БМИЭФ205</v>
          </cell>
        </row>
        <row r="163">
          <cell r="A163">
            <v>160</v>
          </cell>
          <cell r="B163">
            <v>149</v>
          </cell>
          <cell r="C163">
            <v>0.53691275167785235</v>
          </cell>
          <cell r="D163" t="str">
            <v>М201БМИЭФ281</v>
          </cell>
          <cell r="E163" t="str">
            <v>Эдельбиев Абдул-Малик Абдул-Керимович</v>
          </cell>
          <cell r="F163">
            <v>6</v>
          </cell>
          <cell r="G163">
            <v>9</v>
          </cell>
          <cell r="H163">
            <v>41.926346153846154</v>
          </cell>
          <cell r="I163">
            <v>5</v>
          </cell>
          <cell r="J163">
            <v>3</v>
          </cell>
          <cell r="K163">
            <v>39.223179690096089</v>
          </cell>
          <cell r="L163">
            <v>5</v>
          </cell>
          <cell r="M163">
            <v>3</v>
          </cell>
          <cell r="N163">
            <v>50.532166666666647</v>
          </cell>
          <cell r="O163">
            <v>6</v>
          </cell>
          <cell r="P163">
            <v>4</v>
          </cell>
          <cell r="Q163">
            <v>49</v>
          </cell>
          <cell r="R163">
            <v>5</v>
          </cell>
          <cell r="S163">
            <v>3</v>
          </cell>
          <cell r="Z163">
            <v>64.740740740740733</v>
          </cell>
          <cell r="AB163">
            <v>59.5</v>
          </cell>
          <cell r="AC163">
            <v>5.5</v>
          </cell>
          <cell r="AD163">
            <v>50.985896954790839</v>
          </cell>
          <cell r="AE163" t="str">
            <v>М201БМИЭФ281</v>
          </cell>
        </row>
        <row r="164">
          <cell r="A164">
            <v>161</v>
          </cell>
          <cell r="B164">
            <v>150</v>
          </cell>
          <cell r="C164">
            <v>0.54026845637583898</v>
          </cell>
          <cell r="D164" t="str">
            <v>М201БМИЭФ163</v>
          </cell>
          <cell r="E164" t="str">
            <v>Мартиросян Нарине Григорьевна</v>
          </cell>
          <cell r="F164">
            <v>8</v>
          </cell>
          <cell r="G164">
            <v>12</v>
          </cell>
          <cell r="H164">
            <v>41.491858974358976</v>
          </cell>
          <cell r="I164">
            <v>5</v>
          </cell>
          <cell r="J164">
            <v>3</v>
          </cell>
          <cell r="K164">
            <v>38.254399811541113</v>
          </cell>
          <cell r="L164">
            <v>5</v>
          </cell>
          <cell r="M164">
            <v>3</v>
          </cell>
          <cell r="N164">
            <v>50.622222222222206</v>
          </cell>
          <cell r="O164">
            <v>6</v>
          </cell>
          <cell r="P164">
            <v>4</v>
          </cell>
          <cell r="W164">
            <v>46.65</v>
          </cell>
          <cell r="X164">
            <v>5</v>
          </cell>
          <cell r="Y164">
            <v>3</v>
          </cell>
          <cell r="Z164">
            <v>60.555555555555557</v>
          </cell>
          <cell r="AB164">
            <v>65.5</v>
          </cell>
          <cell r="AC164">
            <v>5.5</v>
          </cell>
          <cell r="AD164">
            <v>50.863461193395977</v>
          </cell>
          <cell r="AE164" t="str">
            <v>М201БМИЭФ163</v>
          </cell>
        </row>
        <row r="165">
          <cell r="A165">
            <v>162</v>
          </cell>
          <cell r="B165">
            <v>151</v>
          </cell>
          <cell r="C165">
            <v>0.5436241610738255</v>
          </cell>
          <cell r="D165" t="str">
            <v>М201БМИЭФ124</v>
          </cell>
          <cell r="E165" t="str">
            <v>Колтун Александра Максимовна</v>
          </cell>
          <cell r="F165">
            <v>2</v>
          </cell>
          <cell r="G165">
            <v>2</v>
          </cell>
          <cell r="H165">
            <v>39.46512820512821</v>
          </cell>
          <cell r="I165">
            <v>4</v>
          </cell>
          <cell r="J165">
            <v>3</v>
          </cell>
          <cell r="K165">
            <v>37.213817460317458</v>
          </cell>
          <cell r="L165">
            <v>5</v>
          </cell>
          <cell r="M165">
            <v>3</v>
          </cell>
          <cell r="N165">
            <v>59.416666666666693</v>
          </cell>
          <cell r="O165">
            <v>6</v>
          </cell>
          <cell r="P165">
            <v>4</v>
          </cell>
          <cell r="Q165">
            <v>62</v>
          </cell>
          <cell r="R165">
            <v>7</v>
          </cell>
          <cell r="S165">
            <v>4</v>
          </cell>
          <cell r="Z165">
            <v>57.925925925925924</v>
          </cell>
          <cell r="AB165">
            <v>54</v>
          </cell>
          <cell r="AC165">
            <v>5.5</v>
          </cell>
          <cell r="AD165">
            <v>50.73118877418878</v>
          </cell>
          <cell r="AE165" t="str">
            <v>М201БМИЭФ124</v>
          </cell>
        </row>
        <row r="166">
          <cell r="A166">
            <v>163</v>
          </cell>
          <cell r="B166">
            <v>152</v>
          </cell>
          <cell r="C166">
            <v>0.54697986577181212</v>
          </cell>
          <cell r="D166" t="str">
            <v>М201БМИЭФ222</v>
          </cell>
          <cell r="E166" t="str">
            <v>Смирнов Павел Сергеевич</v>
          </cell>
          <cell r="F166">
            <v>10</v>
          </cell>
          <cell r="G166">
            <v>15</v>
          </cell>
          <cell r="H166">
            <v>49.188461538461539</v>
          </cell>
          <cell r="I166">
            <v>6</v>
          </cell>
          <cell r="J166">
            <v>4</v>
          </cell>
          <cell r="K166">
            <v>39.455122655122651</v>
          </cell>
          <cell r="L166">
            <v>5</v>
          </cell>
          <cell r="M166">
            <v>3</v>
          </cell>
          <cell r="N166">
            <v>53.139777777777795</v>
          </cell>
          <cell r="O166">
            <v>6</v>
          </cell>
          <cell r="P166">
            <v>4</v>
          </cell>
          <cell r="Q166">
            <v>54</v>
          </cell>
          <cell r="R166">
            <v>6</v>
          </cell>
          <cell r="S166">
            <v>4</v>
          </cell>
          <cell r="Z166">
            <v>59.185185185185176</v>
          </cell>
          <cell r="AB166">
            <v>46.8</v>
          </cell>
          <cell r="AC166">
            <v>5.5</v>
          </cell>
          <cell r="AD166">
            <v>49.957917664826759</v>
          </cell>
          <cell r="AE166" t="str">
            <v>М201БМИЭФ222</v>
          </cell>
        </row>
        <row r="167">
          <cell r="A167">
            <v>164</v>
          </cell>
          <cell r="B167">
            <v>153</v>
          </cell>
          <cell r="C167">
            <v>0.55033557046979864</v>
          </cell>
          <cell r="D167" t="str">
            <v>М201БМИЭФ250</v>
          </cell>
          <cell r="E167" t="str">
            <v>Финютина Екатерина Вячеславовна</v>
          </cell>
          <cell r="F167">
            <v>4</v>
          </cell>
          <cell r="G167">
            <v>5</v>
          </cell>
          <cell r="H167">
            <v>49.002564102564101</v>
          </cell>
          <cell r="I167">
            <v>6</v>
          </cell>
          <cell r="J167">
            <v>4</v>
          </cell>
          <cell r="K167">
            <v>35.320531765531761</v>
          </cell>
          <cell r="L167">
            <v>5</v>
          </cell>
          <cell r="M167">
            <v>3</v>
          </cell>
          <cell r="N167">
            <v>51.485111111111102</v>
          </cell>
          <cell r="O167">
            <v>6</v>
          </cell>
          <cell r="P167">
            <v>4</v>
          </cell>
          <cell r="Q167">
            <v>54</v>
          </cell>
          <cell r="R167">
            <v>6</v>
          </cell>
          <cell r="S167">
            <v>4</v>
          </cell>
          <cell r="Z167">
            <v>75.592592592592595</v>
          </cell>
          <cell r="AB167">
            <v>36.299999999999997</v>
          </cell>
          <cell r="AC167">
            <v>5.5</v>
          </cell>
          <cell r="AD167">
            <v>49.945599922145377</v>
          </cell>
          <cell r="AE167" t="str">
            <v>М201БМИЭФ250</v>
          </cell>
        </row>
        <row r="168">
          <cell r="A168">
            <v>165</v>
          </cell>
          <cell r="B168">
            <v>154</v>
          </cell>
          <cell r="C168">
            <v>0.55369127516778527</v>
          </cell>
          <cell r="D168" t="str">
            <v>М201БМИЭФ242</v>
          </cell>
          <cell r="E168" t="str">
            <v>Уланова Алина Николаевна</v>
          </cell>
          <cell r="F168">
            <v>10</v>
          </cell>
          <cell r="G168">
            <v>15</v>
          </cell>
          <cell r="H168">
            <v>57.41205128205128</v>
          </cell>
          <cell r="I168">
            <v>7</v>
          </cell>
          <cell r="J168">
            <v>4</v>
          </cell>
          <cell r="K168">
            <v>33.048354978354972</v>
          </cell>
          <cell r="L168">
            <v>4</v>
          </cell>
          <cell r="M168">
            <v>3</v>
          </cell>
          <cell r="N168">
            <v>40.520777777777752</v>
          </cell>
          <cell r="O168">
            <v>5</v>
          </cell>
          <cell r="P168">
            <v>3</v>
          </cell>
          <cell r="W168">
            <v>52.400000000000006</v>
          </cell>
          <cell r="X168">
            <v>5</v>
          </cell>
          <cell r="Y168">
            <v>3</v>
          </cell>
          <cell r="Z168">
            <v>57.148148148148152</v>
          </cell>
          <cell r="AB168">
            <v>60</v>
          </cell>
          <cell r="AC168">
            <v>5.5</v>
          </cell>
          <cell r="AD168">
            <v>49.878060397514929</v>
          </cell>
          <cell r="AE168" t="str">
            <v>М201БМИЭФ242</v>
          </cell>
        </row>
        <row r="169">
          <cell r="A169">
            <v>166</v>
          </cell>
          <cell r="B169">
            <v>155</v>
          </cell>
          <cell r="C169">
            <v>0.55704697986577179</v>
          </cell>
          <cell r="D169" t="str">
            <v>М201БМИЭФ285</v>
          </cell>
          <cell r="E169" t="str">
            <v>Яцуненко Даниил Евгеньевич</v>
          </cell>
          <cell r="F169">
            <v>10</v>
          </cell>
          <cell r="G169">
            <v>13</v>
          </cell>
          <cell r="H169">
            <v>49.533397435897427</v>
          </cell>
          <cell r="I169">
            <v>6</v>
          </cell>
          <cell r="J169">
            <v>4</v>
          </cell>
          <cell r="K169">
            <v>33.928575036075031</v>
          </cell>
          <cell r="L169">
            <v>4</v>
          </cell>
          <cell r="M169">
            <v>3</v>
          </cell>
          <cell r="N169">
            <v>44.643944444444443</v>
          </cell>
          <cell r="O169">
            <v>5</v>
          </cell>
          <cell r="P169">
            <v>3</v>
          </cell>
          <cell r="Q169">
            <v>50</v>
          </cell>
          <cell r="R169">
            <v>6</v>
          </cell>
          <cell r="S169">
            <v>4</v>
          </cell>
          <cell r="Z169">
            <v>64.259259259259267</v>
          </cell>
          <cell r="AA169">
            <v>56.666666666666671</v>
          </cell>
          <cell r="AC169">
            <v>5.5</v>
          </cell>
          <cell r="AD169">
            <v>49.823971425880515</v>
          </cell>
          <cell r="AE169" t="str">
            <v>М201БМИЭФ285</v>
          </cell>
        </row>
        <row r="170">
          <cell r="A170">
            <v>167</v>
          </cell>
          <cell r="B170">
            <v>156</v>
          </cell>
          <cell r="C170">
            <v>0.56040268456375841</v>
          </cell>
          <cell r="D170" t="str">
            <v>М201БМИЭФ225</v>
          </cell>
          <cell r="E170" t="str">
            <v>Сосорев Владимир Андреевич</v>
          </cell>
          <cell r="F170">
            <v>4</v>
          </cell>
          <cell r="G170">
            <v>6</v>
          </cell>
          <cell r="H170">
            <v>45.582628205128202</v>
          </cell>
          <cell r="I170">
            <v>5</v>
          </cell>
          <cell r="J170">
            <v>3</v>
          </cell>
          <cell r="K170">
            <v>38.8059848972349</v>
          </cell>
          <cell r="L170">
            <v>5</v>
          </cell>
          <cell r="M170">
            <v>3</v>
          </cell>
          <cell r="N170">
            <v>51.023666666666649</v>
          </cell>
          <cell r="O170">
            <v>6</v>
          </cell>
          <cell r="P170">
            <v>4</v>
          </cell>
          <cell r="Q170">
            <v>41</v>
          </cell>
          <cell r="R170">
            <v>5</v>
          </cell>
          <cell r="S170">
            <v>3</v>
          </cell>
          <cell r="Z170">
            <v>63.481481481481481</v>
          </cell>
          <cell r="AB170">
            <v>53.5</v>
          </cell>
          <cell r="AC170">
            <v>5.5</v>
          </cell>
          <cell r="AD170">
            <v>49.617047500092959</v>
          </cell>
          <cell r="AE170" t="str">
            <v>М201БМИЭФ225</v>
          </cell>
        </row>
        <row r="171">
          <cell r="A171">
            <v>168</v>
          </cell>
          <cell r="B171">
            <v>157</v>
          </cell>
          <cell r="C171">
            <v>0.56375838926174493</v>
          </cell>
          <cell r="D171" t="str">
            <v>М201БМИЭФ132</v>
          </cell>
          <cell r="E171" t="str">
            <v>Коробов Иван Дмитриевич</v>
          </cell>
          <cell r="F171">
            <v>4</v>
          </cell>
          <cell r="G171">
            <v>15</v>
          </cell>
          <cell r="H171">
            <v>46.553974358974358</v>
          </cell>
          <cell r="I171">
            <v>5</v>
          </cell>
          <cell r="J171">
            <v>3</v>
          </cell>
          <cell r="K171">
            <v>33.695988699738699</v>
          </cell>
          <cell r="L171">
            <v>4</v>
          </cell>
          <cell r="M171">
            <v>3</v>
          </cell>
          <cell r="N171">
            <v>53.821333333333349</v>
          </cell>
          <cell r="O171">
            <v>6</v>
          </cell>
          <cell r="P171">
            <v>4</v>
          </cell>
          <cell r="Q171">
            <v>50</v>
          </cell>
          <cell r="R171">
            <v>6</v>
          </cell>
          <cell r="S171">
            <v>4</v>
          </cell>
          <cell r="Z171">
            <v>59.629629629629626</v>
          </cell>
          <cell r="AB171">
            <v>54</v>
          </cell>
          <cell r="AC171">
            <v>5.5</v>
          </cell>
          <cell r="AD171">
            <v>49.581986549395644</v>
          </cell>
          <cell r="AE171" t="str">
            <v>М201БМИЭФ132</v>
          </cell>
        </row>
        <row r="172">
          <cell r="A172">
            <v>169</v>
          </cell>
          <cell r="B172">
            <v>158</v>
          </cell>
          <cell r="C172">
            <v>0.56711409395973156</v>
          </cell>
          <cell r="D172" t="str">
            <v>М201БМИЭФ115</v>
          </cell>
          <cell r="E172" t="str">
            <v>Коваленко Виктория Эдуардовна</v>
          </cell>
          <cell r="F172">
            <v>8</v>
          </cell>
          <cell r="G172">
            <v>11</v>
          </cell>
          <cell r="H172">
            <v>44.88717948717948</v>
          </cell>
          <cell r="I172">
            <v>5</v>
          </cell>
          <cell r="J172">
            <v>3</v>
          </cell>
          <cell r="K172">
            <v>31.920556811545943</v>
          </cell>
          <cell r="L172">
            <v>4</v>
          </cell>
          <cell r="M172">
            <v>3</v>
          </cell>
          <cell r="N172">
            <v>48.755555555555546</v>
          </cell>
          <cell r="O172">
            <v>5</v>
          </cell>
          <cell r="P172">
            <v>3</v>
          </cell>
          <cell r="Q172">
            <v>58</v>
          </cell>
          <cell r="R172">
            <v>6</v>
          </cell>
          <cell r="S172">
            <v>4</v>
          </cell>
          <cell r="Z172">
            <v>65</v>
          </cell>
          <cell r="AB172">
            <v>53</v>
          </cell>
          <cell r="AC172">
            <v>5.5</v>
          </cell>
          <cell r="AD172">
            <v>49.556962155323816</v>
          </cell>
          <cell r="AE172" t="str">
            <v>М201БМИЭФ115</v>
          </cell>
        </row>
        <row r="173">
          <cell r="A173">
            <v>170</v>
          </cell>
          <cell r="B173">
            <v>159</v>
          </cell>
          <cell r="C173">
            <v>0.57046979865771807</v>
          </cell>
          <cell r="D173" t="str">
            <v>М201БМИЭФ122</v>
          </cell>
          <cell r="E173" t="str">
            <v>Колесников Максим Александрович</v>
          </cell>
          <cell r="F173">
            <v>9</v>
          </cell>
          <cell r="G173">
            <v>15</v>
          </cell>
          <cell r="H173">
            <v>47.353269230769229</v>
          </cell>
          <cell r="I173">
            <v>6</v>
          </cell>
          <cell r="J173">
            <v>4</v>
          </cell>
          <cell r="K173">
            <v>31.610662481962478</v>
          </cell>
          <cell r="L173">
            <v>4</v>
          </cell>
          <cell r="M173">
            <v>3</v>
          </cell>
          <cell r="N173">
            <v>59.080999999999996</v>
          </cell>
          <cell r="O173">
            <v>6</v>
          </cell>
          <cell r="P173">
            <v>4</v>
          </cell>
          <cell r="Q173">
            <v>55</v>
          </cell>
          <cell r="R173">
            <v>6</v>
          </cell>
          <cell r="S173">
            <v>4</v>
          </cell>
          <cell r="Z173">
            <v>52.851851851851848</v>
          </cell>
          <cell r="AB173">
            <v>54</v>
          </cell>
          <cell r="AC173">
            <v>5.5</v>
          </cell>
          <cell r="AD173">
            <v>49.526687920833368</v>
          </cell>
          <cell r="AE173" t="str">
            <v>М201БМИЭФ122</v>
          </cell>
        </row>
        <row r="174">
          <cell r="A174">
            <v>171</v>
          </cell>
          <cell r="B174">
            <v>160</v>
          </cell>
          <cell r="C174">
            <v>0.5738255033557047</v>
          </cell>
          <cell r="D174" t="str">
            <v>М201БМИЭФ064</v>
          </cell>
          <cell r="E174" t="str">
            <v>Видович Вера Янковна</v>
          </cell>
          <cell r="F174">
            <v>10</v>
          </cell>
          <cell r="G174">
            <v>13</v>
          </cell>
          <cell r="H174">
            <v>47.158910256410259</v>
          </cell>
          <cell r="I174">
            <v>6</v>
          </cell>
          <cell r="J174">
            <v>4</v>
          </cell>
          <cell r="K174">
            <v>37.540698051948048</v>
          </cell>
          <cell r="L174">
            <v>5</v>
          </cell>
          <cell r="M174">
            <v>3</v>
          </cell>
          <cell r="N174">
            <v>68.560611111111101</v>
          </cell>
          <cell r="O174">
            <v>7</v>
          </cell>
          <cell r="P174">
            <v>4</v>
          </cell>
          <cell r="Q174">
            <v>60</v>
          </cell>
          <cell r="R174">
            <v>7</v>
          </cell>
          <cell r="S174">
            <v>4</v>
          </cell>
          <cell r="Z174">
            <v>66.740740740740733</v>
          </cell>
          <cell r="AB174">
            <v>22</v>
          </cell>
          <cell r="AC174">
            <v>5.5</v>
          </cell>
          <cell r="AD174">
            <v>49.454720029129128</v>
          </cell>
          <cell r="AE174" t="str">
            <v>М201БМИЭФ064</v>
          </cell>
        </row>
        <row r="175">
          <cell r="A175">
            <v>172</v>
          </cell>
          <cell r="B175">
            <v>161</v>
          </cell>
          <cell r="C175">
            <v>0.57718120805369133</v>
          </cell>
          <cell r="D175" t="str">
            <v>М201БМИЭФ037</v>
          </cell>
          <cell r="E175" t="str">
            <v>Асадова Айгюн Джабировна</v>
          </cell>
          <cell r="F175">
            <v>6</v>
          </cell>
          <cell r="G175">
            <v>9</v>
          </cell>
          <cell r="H175">
            <v>36.212307692307697</v>
          </cell>
          <cell r="I175">
            <v>4</v>
          </cell>
          <cell r="J175">
            <v>3</v>
          </cell>
          <cell r="K175">
            <v>41.010701440953014</v>
          </cell>
          <cell r="L175">
            <v>5</v>
          </cell>
          <cell r="M175">
            <v>3</v>
          </cell>
          <cell r="N175">
            <v>37.327833333333302</v>
          </cell>
          <cell r="O175">
            <v>4</v>
          </cell>
          <cell r="P175">
            <v>3</v>
          </cell>
          <cell r="Q175">
            <v>59</v>
          </cell>
          <cell r="R175">
            <v>6</v>
          </cell>
          <cell r="S175">
            <v>4</v>
          </cell>
          <cell r="Z175">
            <v>53.666666666666671</v>
          </cell>
          <cell r="AB175">
            <v>74</v>
          </cell>
          <cell r="AC175">
            <v>5.5</v>
          </cell>
          <cell r="AD175">
            <v>49.403183478774672</v>
          </cell>
          <cell r="AE175" t="str">
            <v>М201БМИЭФ037</v>
          </cell>
        </row>
        <row r="176">
          <cell r="A176">
            <v>173</v>
          </cell>
          <cell r="B176">
            <v>162</v>
          </cell>
          <cell r="C176">
            <v>0.58053691275167785</v>
          </cell>
          <cell r="D176" t="str">
            <v>М201БМИЭФ293</v>
          </cell>
          <cell r="E176" t="str">
            <v>Жиляева Елизавета</v>
          </cell>
          <cell r="F176" t="str">
            <v>12 online</v>
          </cell>
          <cell r="G176" t="str">
            <v>17 online</v>
          </cell>
          <cell r="H176">
            <v>43.924935897435901</v>
          </cell>
          <cell r="I176">
            <v>5</v>
          </cell>
          <cell r="J176">
            <v>3</v>
          </cell>
          <cell r="K176">
            <v>58.677166598416605</v>
          </cell>
          <cell r="L176">
            <v>7</v>
          </cell>
          <cell r="M176">
            <v>4</v>
          </cell>
          <cell r="N176">
            <v>45.30205555555554</v>
          </cell>
          <cell r="O176">
            <v>5</v>
          </cell>
          <cell r="P176">
            <v>3</v>
          </cell>
          <cell r="Q176">
            <v>41</v>
          </cell>
          <cell r="R176">
            <v>5</v>
          </cell>
          <cell r="S176">
            <v>3</v>
          </cell>
          <cell r="Z176">
            <v>64.074074074074076</v>
          </cell>
          <cell r="AB176">
            <v>39</v>
          </cell>
          <cell r="AC176">
            <v>5.5</v>
          </cell>
          <cell r="AD176">
            <v>49.35967856826948</v>
          </cell>
          <cell r="AE176" t="str">
            <v>М201БМИЭФ293</v>
          </cell>
        </row>
        <row r="177">
          <cell r="A177">
            <v>174</v>
          </cell>
          <cell r="B177">
            <v>163</v>
          </cell>
          <cell r="C177">
            <v>0.58389261744966447</v>
          </cell>
          <cell r="D177" t="str">
            <v>М201БМИЭФ121</v>
          </cell>
          <cell r="E177" t="str">
            <v>Кокорев Максим Александрович</v>
          </cell>
          <cell r="F177">
            <v>10</v>
          </cell>
          <cell r="G177">
            <v>15</v>
          </cell>
          <cell r="H177">
            <v>48.460833333333341</v>
          </cell>
          <cell r="I177">
            <v>6</v>
          </cell>
          <cell r="J177">
            <v>4</v>
          </cell>
          <cell r="K177">
            <v>42.005589826839831</v>
          </cell>
          <cell r="L177">
            <v>5</v>
          </cell>
          <cell r="M177">
            <v>3</v>
          </cell>
          <cell r="N177">
            <v>57.413388888888889</v>
          </cell>
          <cell r="O177">
            <v>6</v>
          </cell>
          <cell r="P177">
            <v>4</v>
          </cell>
          <cell r="Q177">
            <v>51</v>
          </cell>
          <cell r="R177">
            <v>6</v>
          </cell>
          <cell r="S177">
            <v>4</v>
          </cell>
          <cell r="Z177">
            <v>48.888888888888886</v>
          </cell>
          <cell r="AB177">
            <v>49</v>
          </cell>
          <cell r="AC177">
            <v>5.5</v>
          </cell>
          <cell r="AD177">
            <v>49.32158198871835</v>
          </cell>
          <cell r="AE177" t="str">
            <v>М201БМИЭФ121</v>
          </cell>
        </row>
        <row r="178">
          <cell r="A178">
            <v>175</v>
          </cell>
          <cell r="B178">
            <v>164</v>
          </cell>
          <cell r="C178">
            <v>0.58724832214765099</v>
          </cell>
          <cell r="D178" t="str">
            <v>М201БМИЭФ056</v>
          </cell>
          <cell r="E178" t="str">
            <v>Бородин Андрей Викторович</v>
          </cell>
          <cell r="F178">
            <v>9</v>
          </cell>
          <cell r="G178">
            <v>16</v>
          </cell>
          <cell r="H178">
            <v>42.068205128205129</v>
          </cell>
          <cell r="I178">
            <v>5</v>
          </cell>
          <cell r="J178">
            <v>3</v>
          </cell>
          <cell r="K178">
            <v>38.294151082251076</v>
          </cell>
          <cell r="L178">
            <v>5</v>
          </cell>
          <cell r="M178">
            <v>3</v>
          </cell>
          <cell r="N178">
            <v>37.862555555555552</v>
          </cell>
          <cell r="O178">
            <v>4</v>
          </cell>
          <cell r="P178">
            <v>3</v>
          </cell>
          <cell r="Q178">
            <v>43</v>
          </cell>
          <cell r="R178">
            <v>5</v>
          </cell>
          <cell r="S178">
            <v>3</v>
          </cell>
          <cell r="Z178">
            <v>65.407407407407405</v>
          </cell>
          <cell r="AB178">
            <v>65</v>
          </cell>
          <cell r="AC178">
            <v>5.5</v>
          </cell>
          <cell r="AD178">
            <v>49.114967122439843</v>
          </cell>
          <cell r="AE178" t="str">
            <v>М201БМИЭФ056</v>
          </cell>
        </row>
        <row r="179">
          <cell r="A179">
            <v>176</v>
          </cell>
          <cell r="B179">
            <v>165</v>
          </cell>
          <cell r="C179">
            <v>0.59060402684563762</v>
          </cell>
          <cell r="D179" t="str">
            <v>М201БМИЭФ167</v>
          </cell>
          <cell r="E179" t="str">
            <v>Медведева Арина Евгеньевна</v>
          </cell>
          <cell r="F179">
            <v>1</v>
          </cell>
          <cell r="G179">
            <v>3</v>
          </cell>
          <cell r="H179">
            <v>44.373717948717953</v>
          </cell>
          <cell r="I179">
            <v>5</v>
          </cell>
          <cell r="J179">
            <v>3</v>
          </cell>
          <cell r="K179">
            <v>41.791512193362188</v>
          </cell>
          <cell r="L179">
            <v>5</v>
          </cell>
          <cell r="M179">
            <v>3</v>
          </cell>
          <cell r="N179">
            <v>56.360222222222198</v>
          </cell>
          <cell r="O179">
            <v>6</v>
          </cell>
          <cell r="P179">
            <v>4</v>
          </cell>
          <cell r="W179">
            <v>43.6</v>
          </cell>
          <cell r="X179">
            <v>5</v>
          </cell>
          <cell r="Y179">
            <v>3</v>
          </cell>
          <cell r="Z179">
            <v>47.074074074074076</v>
          </cell>
          <cell r="AB179">
            <v>58</v>
          </cell>
          <cell r="AC179">
            <v>5.5</v>
          </cell>
          <cell r="AD179">
            <v>48.981732079704805</v>
          </cell>
          <cell r="AE179" t="str">
            <v>М201БМИЭФ167</v>
          </cell>
        </row>
        <row r="180">
          <cell r="A180">
            <v>177</v>
          </cell>
          <cell r="B180">
            <v>166</v>
          </cell>
          <cell r="C180">
            <v>0.59395973154362414</v>
          </cell>
          <cell r="D180" t="str">
            <v>М201БМИЭФ209</v>
          </cell>
          <cell r="E180" t="str">
            <v>Романова Александра Андреевна</v>
          </cell>
          <cell r="F180">
            <v>2</v>
          </cell>
          <cell r="G180">
            <v>2</v>
          </cell>
          <cell r="H180">
            <v>48.240448717948716</v>
          </cell>
          <cell r="I180">
            <v>6</v>
          </cell>
          <cell r="J180">
            <v>4</v>
          </cell>
          <cell r="K180">
            <v>32.196832251082256</v>
          </cell>
          <cell r="L180">
            <v>4</v>
          </cell>
          <cell r="M180">
            <v>3</v>
          </cell>
          <cell r="N180">
            <v>41.388888888888857</v>
          </cell>
          <cell r="O180">
            <v>5</v>
          </cell>
          <cell r="P180">
            <v>3</v>
          </cell>
          <cell r="Q180">
            <v>55</v>
          </cell>
          <cell r="R180">
            <v>6</v>
          </cell>
          <cell r="S180">
            <v>4</v>
          </cell>
          <cell r="Z180">
            <v>64.555555555555557</v>
          </cell>
          <cell r="AB180">
            <v>55.3</v>
          </cell>
          <cell r="AC180">
            <v>5.5</v>
          </cell>
          <cell r="AD180">
            <v>48.942131893359168</v>
          </cell>
          <cell r="AE180" t="str">
            <v>М201БМИЭФ209</v>
          </cell>
        </row>
        <row r="181">
          <cell r="A181">
            <v>178</v>
          </cell>
          <cell r="B181">
            <v>167</v>
          </cell>
          <cell r="C181">
            <v>0.59731543624161076</v>
          </cell>
          <cell r="D181" t="str">
            <v>М201БМИЭФ173</v>
          </cell>
          <cell r="E181" t="str">
            <v>Мирзоева Айсел Фамиль кызы</v>
          </cell>
          <cell r="F181">
            <v>4</v>
          </cell>
          <cell r="G181">
            <v>6</v>
          </cell>
          <cell r="H181">
            <v>38.826538461538462</v>
          </cell>
          <cell r="I181">
            <v>4</v>
          </cell>
          <cell r="J181">
            <v>3</v>
          </cell>
          <cell r="K181">
            <v>42.275112271362268</v>
          </cell>
          <cell r="L181">
            <v>5</v>
          </cell>
          <cell r="M181">
            <v>3</v>
          </cell>
          <cell r="N181">
            <v>37.537444444444446</v>
          </cell>
          <cell r="O181">
            <v>4</v>
          </cell>
          <cell r="P181">
            <v>3</v>
          </cell>
          <cell r="Q181">
            <v>45</v>
          </cell>
          <cell r="R181">
            <v>5</v>
          </cell>
          <cell r="S181">
            <v>3</v>
          </cell>
          <cell r="Z181">
            <v>65.81481481481481</v>
          </cell>
          <cell r="AB181">
            <v>62</v>
          </cell>
          <cell r="AC181">
            <v>5.5</v>
          </cell>
          <cell r="AD181">
            <v>48.900710907665456</v>
          </cell>
          <cell r="AE181" t="str">
            <v>М201БМИЭФ173</v>
          </cell>
        </row>
        <row r="182">
          <cell r="A182">
            <v>179</v>
          </cell>
          <cell r="B182">
            <v>168</v>
          </cell>
          <cell r="C182">
            <v>0.60067114093959728</v>
          </cell>
          <cell r="D182" t="str">
            <v>М201БМИЭФ161</v>
          </cell>
          <cell r="E182" t="str">
            <v>Маркарян Марк Жирайрович</v>
          </cell>
          <cell r="F182">
            <v>8</v>
          </cell>
          <cell r="G182">
            <v>11</v>
          </cell>
          <cell r="H182">
            <v>42.401923076923083</v>
          </cell>
          <cell r="I182">
            <v>5</v>
          </cell>
          <cell r="J182">
            <v>3</v>
          </cell>
          <cell r="K182">
            <v>35.322011512641943</v>
          </cell>
          <cell r="L182">
            <v>5</v>
          </cell>
          <cell r="M182">
            <v>3</v>
          </cell>
          <cell r="N182">
            <v>40.077777777777754</v>
          </cell>
          <cell r="O182">
            <v>5</v>
          </cell>
          <cell r="P182">
            <v>3</v>
          </cell>
          <cell r="Q182">
            <v>54</v>
          </cell>
          <cell r="R182">
            <v>6</v>
          </cell>
          <cell r="S182">
            <v>4</v>
          </cell>
          <cell r="Z182">
            <v>61.296296296296291</v>
          </cell>
          <cell r="AB182">
            <v>62</v>
          </cell>
          <cell r="AC182">
            <v>5.5</v>
          </cell>
          <cell r="AD182">
            <v>48.745092484298013</v>
          </cell>
          <cell r="AE182" t="str">
            <v>М201БМИЭФ161</v>
          </cell>
        </row>
        <row r="183">
          <cell r="A183">
            <v>180</v>
          </cell>
          <cell r="B183">
            <v>169</v>
          </cell>
          <cell r="C183">
            <v>0.60402684563758391</v>
          </cell>
          <cell r="D183" t="str">
            <v>М201БМИЭФ136</v>
          </cell>
          <cell r="E183" t="str">
            <v>Крапивной Виталий Александрович</v>
          </cell>
          <cell r="F183">
            <v>1</v>
          </cell>
          <cell r="G183">
            <v>2</v>
          </cell>
          <cell r="H183">
            <v>53.4325641025641</v>
          </cell>
          <cell r="I183">
            <v>6</v>
          </cell>
          <cell r="J183">
            <v>4</v>
          </cell>
          <cell r="K183">
            <v>35.431963131313125</v>
          </cell>
          <cell r="L183">
            <v>5</v>
          </cell>
          <cell r="M183">
            <v>3</v>
          </cell>
          <cell r="N183">
            <v>49.082611111111099</v>
          </cell>
          <cell r="O183">
            <v>5</v>
          </cell>
          <cell r="P183">
            <v>3</v>
          </cell>
          <cell r="Q183">
            <v>47</v>
          </cell>
          <cell r="R183">
            <v>5</v>
          </cell>
          <cell r="S183">
            <v>3</v>
          </cell>
          <cell r="Z183">
            <v>57.185185185185183</v>
          </cell>
          <cell r="AB183">
            <v>49</v>
          </cell>
          <cell r="AC183">
            <v>5.5</v>
          </cell>
          <cell r="AD183">
            <v>48.660422460031548</v>
          </cell>
          <cell r="AE183" t="str">
            <v>М201БМИЭФ136</v>
          </cell>
        </row>
        <row r="184">
          <cell r="A184">
            <v>181</v>
          </cell>
          <cell r="B184">
            <v>170</v>
          </cell>
          <cell r="C184">
            <v>0.60738255033557043</v>
          </cell>
          <cell r="D184" t="str">
            <v>М201БМИЭФ295</v>
          </cell>
          <cell r="E184" t="str">
            <v>Линь Данни</v>
          </cell>
          <cell r="F184" t="str">
            <v>12 online</v>
          </cell>
          <cell r="G184" t="str">
            <v>17 online</v>
          </cell>
          <cell r="H184">
            <v>18.307564102564104</v>
          </cell>
          <cell r="I184">
            <v>2</v>
          </cell>
          <cell r="J184">
            <v>2</v>
          </cell>
          <cell r="K184">
            <v>78.952902967902958</v>
          </cell>
          <cell r="L184">
            <v>9</v>
          </cell>
          <cell r="M184">
            <v>5</v>
          </cell>
          <cell r="N184">
            <v>57.825444444444457</v>
          </cell>
          <cell r="O184">
            <v>6</v>
          </cell>
          <cell r="P184">
            <v>4</v>
          </cell>
          <cell r="T184">
            <v>43</v>
          </cell>
          <cell r="U184">
            <v>5</v>
          </cell>
          <cell r="V184">
            <v>3</v>
          </cell>
          <cell r="Z184">
            <v>49.925925925925924</v>
          </cell>
          <cell r="AB184">
            <v>41</v>
          </cell>
          <cell r="AC184">
            <v>5.5</v>
          </cell>
          <cell r="AD184">
            <v>48.638515898334077</v>
          </cell>
          <cell r="AE184" t="str">
            <v>М201БМИЭФ295</v>
          </cell>
        </row>
        <row r="185">
          <cell r="A185">
            <v>182</v>
          </cell>
          <cell r="B185">
            <v>171</v>
          </cell>
          <cell r="C185">
            <v>0.61073825503355705</v>
          </cell>
          <cell r="D185" t="str">
            <v>М201БМИЭФ189</v>
          </cell>
          <cell r="E185" t="str">
            <v>Озолин Денис Александрович</v>
          </cell>
          <cell r="F185">
            <v>11</v>
          </cell>
          <cell r="G185">
            <v>14</v>
          </cell>
          <cell r="H185">
            <v>40.103461538461538</v>
          </cell>
          <cell r="I185">
            <v>5</v>
          </cell>
          <cell r="J185">
            <v>3</v>
          </cell>
          <cell r="K185">
            <v>37.009822836583702</v>
          </cell>
          <cell r="L185">
            <v>5</v>
          </cell>
          <cell r="M185">
            <v>3</v>
          </cell>
          <cell r="N185">
            <v>48.325277777777757</v>
          </cell>
          <cell r="O185">
            <v>5</v>
          </cell>
          <cell r="P185">
            <v>3</v>
          </cell>
          <cell r="Q185">
            <v>61</v>
          </cell>
          <cell r="R185">
            <v>7</v>
          </cell>
          <cell r="S185">
            <v>4</v>
          </cell>
          <cell r="Z185">
            <v>50.962962962962962</v>
          </cell>
          <cell r="AB185">
            <v>59.4</v>
          </cell>
          <cell r="AC185">
            <v>5.5</v>
          </cell>
          <cell r="AD185">
            <v>48.418459111961084</v>
          </cell>
          <cell r="AE185" t="str">
            <v>М201БМИЭФ189</v>
          </cell>
        </row>
        <row r="186">
          <cell r="A186">
            <v>183</v>
          </cell>
          <cell r="B186">
            <v>172</v>
          </cell>
          <cell r="C186">
            <v>0.61409395973154357</v>
          </cell>
          <cell r="D186" t="str">
            <v>М201БМИЭФ291</v>
          </cell>
          <cell r="E186" t="str">
            <v>Бишир Младен</v>
          </cell>
          <cell r="F186">
            <v>11</v>
          </cell>
          <cell r="G186">
            <v>16</v>
          </cell>
          <cell r="H186">
            <v>48.45878205128205</v>
          </cell>
          <cell r="I186">
            <v>6</v>
          </cell>
          <cell r="J186">
            <v>4</v>
          </cell>
          <cell r="K186">
            <v>39.691423160173159</v>
          </cell>
          <cell r="L186">
            <v>5</v>
          </cell>
          <cell r="M186">
            <v>3</v>
          </cell>
          <cell r="N186">
            <v>49.026444444444451</v>
          </cell>
          <cell r="O186">
            <v>5</v>
          </cell>
          <cell r="P186">
            <v>3</v>
          </cell>
          <cell r="Q186">
            <v>42</v>
          </cell>
          <cell r="R186">
            <v>5</v>
          </cell>
          <cell r="S186">
            <v>3</v>
          </cell>
          <cell r="Z186">
            <v>54.259259259259267</v>
          </cell>
          <cell r="AB186">
            <v>52.2</v>
          </cell>
          <cell r="AC186">
            <v>5.5</v>
          </cell>
          <cell r="AD186">
            <v>48.115619802756171</v>
          </cell>
          <cell r="AE186" t="str">
            <v>М201БМИЭФ291</v>
          </cell>
        </row>
        <row r="187">
          <cell r="A187">
            <v>184</v>
          </cell>
          <cell r="B187">
            <v>173</v>
          </cell>
          <cell r="C187">
            <v>0.6174496644295302</v>
          </cell>
          <cell r="D187" t="str">
            <v>М201БМИЭФ231</v>
          </cell>
          <cell r="E187" t="str">
            <v>Сучков Артем Алексеевич</v>
          </cell>
          <cell r="F187">
            <v>8</v>
          </cell>
          <cell r="G187">
            <v>11</v>
          </cell>
          <cell r="H187">
            <v>33.593974358974364</v>
          </cell>
          <cell r="I187">
            <v>4</v>
          </cell>
          <cell r="J187">
            <v>3</v>
          </cell>
          <cell r="K187">
            <v>38.95305894347198</v>
          </cell>
          <cell r="L187">
            <v>5</v>
          </cell>
          <cell r="M187">
            <v>3</v>
          </cell>
          <cell r="N187">
            <v>51.133333333333304</v>
          </cell>
          <cell r="O187">
            <v>6</v>
          </cell>
          <cell r="P187">
            <v>4</v>
          </cell>
          <cell r="T187">
            <v>52</v>
          </cell>
          <cell r="U187">
            <v>6</v>
          </cell>
          <cell r="V187">
            <v>4</v>
          </cell>
          <cell r="Z187">
            <v>60.555555555555557</v>
          </cell>
          <cell r="AB187">
            <v>54.3</v>
          </cell>
          <cell r="AC187">
            <v>5.5</v>
          </cell>
          <cell r="AD187">
            <v>48.097440398424581</v>
          </cell>
          <cell r="AE187" t="str">
            <v>М201БМИЭФ231</v>
          </cell>
        </row>
        <row r="188">
          <cell r="A188">
            <v>185</v>
          </cell>
          <cell r="B188">
            <v>174</v>
          </cell>
          <cell r="C188">
            <v>0.62080536912751683</v>
          </cell>
          <cell r="D188" t="str">
            <v>М201БМИЭФ051</v>
          </cell>
          <cell r="E188" t="str">
            <v>Болдова Мария Марковна</v>
          </cell>
          <cell r="F188">
            <v>8</v>
          </cell>
          <cell r="G188">
            <v>11</v>
          </cell>
          <cell r="H188">
            <v>50.006025641025644</v>
          </cell>
          <cell r="I188">
            <v>6</v>
          </cell>
          <cell r="J188">
            <v>4</v>
          </cell>
          <cell r="K188">
            <v>30.939778107158542</v>
          </cell>
          <cell r="L188">
            <v>4</v>
          </cell>
          <cell r="M188">
            <v>3</v>
          </cell>
          <cell r="N188">
            <v>35</v>
          </cell>
          <cell r="O188">
            <v>4</v>
          </cell>
          <cell r="P188">
            <v>3</v>
          </cell>
          <cell r="Q188">
            <v>59</v>
          </cell>
          <cell r="R188">
            <v>6</v>
          </cell>
          <cell r="S188">
            <v>4</v>
          </cell>
          <cell r="Z188">
            <v>48.407407407407405</v>
          </cell>
          <cell r="AA188">
            <v>70</v>
          </cell>
          <cell r="AC188">
            <v>5.5</v>
          </cell>
          <cell r="AD188">
            <v>47.973311119198463</v>
          </cell>
          <cell r="AE188" t="str">
            <v>М201БМИЭФ051</v>
          </cell>
        </row>
        <row r="189">
          <cell r="A189">
            <v>186</v>
          </cell>
          <cell r="B189">
            <v>175</v>
          </cell>
          <cell r="C189">
            <v>0.62416107382550334</v>
          </cell>
          <cell r="D189" t="str">
            <v>М201БМИЭФ273</v>
          </cell>
          <cell r="E189" t="str">
            <v>Шерматова Тансулуу Насипбековна</v>
          </cell>
          <cell r="F189">
            <v>5</v>
          </cell>
          <cell r="G189">
            <v>8</v>
          </cell>
          <cell r="H189">
            <v>36.101794871794873</v>
          </cell>
          <cell r="I189">
            <v>4</v>
          </cell>
          <cell r="J189">
            <v>3</v>
          </cell>
          <cell r="K189">
            <v>27.716588201756181</v>
          </cell>
          <cell r="L189">
            <v>4</v>
          </cell>
          <cell r="M189">
            <v>3</v>
          </cell>
          <cell r="N189">
            <v>44.521722222222245</v>
          </cell>
          <cell r="O189">
            <v>5</v>
          </cell>
          <cell r="P189">
            <v>3</v>
          </cell>
          <cell r="Q189">
            <v>53</v>
          </cell>
          <cell r="R189">
            <v>6</v>
          </cell>
          <cell r="S189">
            <v>4</v>
          </cell>
          <cell r="Z189">
            <v>61.888888888888886</v>
          </cell>
          <cell r="AB189">
            <v>66.900000000000006</v>
          </cell>
          <cell r="AC189">
            <v>5.5</v>
          </cell>
          <cell r="AD189">
            <v>47.932544397211309</v>
          </cell>
          <cell r="AE189" t="str">
            <v>М201БМИЭФ273</v>
          </cell>
        </row>
        <row r="190">
          <cell r="A190">
            <v>187</v>
          </cell>
          <cell r="B190">
            <v>176</v>
          </cell>
          <cell r="C190">
            <v>0.62751677852348997</v>
          </cell>
          <cell r="D190" t="str">
            <v>М201БМИЭФ116</v>
          </cell>
          <cell r="E190" t="str">
            <v>Козачук Александр Владимирович</v>
          </cell>
          <cell r="F190">
            <v>5</v>
          </cell>
          <cell r="G190">
            <v>9</v>
          </cell>
          <cell r="H190">
            <v>34.903653846153844</v>
          </cell>
          <cell r="I190">
            <v>4</v>
          </cell>
          <cell r="J190">
            <v>3</v>
          </cell>
          <cell r="K190">
            <v>32.993732501900482</v>
          </cell>
          <cell r="L190">
            <v>4</v>
          </cell>
          <cell r="M190">
            <v>3</v>
          </cell>
          <cell r="N190">
            <v>44.637444444444441</v>
          </cell>
          <cell r="O190">
            <v>5</v>
          </cell>
          <cell r="P190">
            <v>3</v>
          </cell>
          <cell r="Q190">
            <v>43</v>
          </cell>
          <cell r="R190">
            <v>5</v>
          </cell>
          <cell r="S190">
            <v>3</v>
          </cell>
          <cell r="Z190">
            <v>62.703703703703709</v>
          </cell>
          <cell r="AB190">
            <v>65.7</v>
          </cell>
          <cell r="AC190">
            <v>5.5</v>
          </cell>
          <cell r="AD190">
            <v>47.716097181127722</v>
          </cell>
          <cell r="AE190" t="str">
            <v>М201БМИЭФ116</v>
          </cell>
        </row>
        <row r="191">
          <cell r="A191">
            <v>188</v>
          </cell>
          <cell r="B191">
            <v>177</v>
          </cell>
          <cell r="C191">
            <v>0.63087248322147649</v>
          </cell>
          <cell r="D191" t="str">
            <v>М201БМИЭФ254</v>
          </cell>
          <cell r="E191" t="str">
            <v>Ханжин Марк Денисович</v>
          </cell>
          <cell r="F191">
            <v>8</v>
          </cell>
          <cell r="G191">
            <v>11</v>
          </cell>
          <cell r="H191">
            <v>41.35589743589744</v>
          </cell>
          <cell r="I191">
            <v>5</v>
          </cell>
          <cell r="J191">
            <v>3</v>
          </cell>
          <cell r="K191">
            <v>35.357253759525491</v>
          </cell>
          <cell r="L191">
            <v>5</v>
          </cell>
          <cell r="M191">
            <v>3</v>
          </cell>
          <cell r="N191">
            <v>42.233333333333348</v>
          </cell>
          <cell r="O191">
            <v>5</v>
          </cell>
          <cell r="P191">
            <v>3</v>
          </cell>
          <cell r="Q191">
            <v>32</v>
          </cell>
          <cell r="R191">
            <v>2</v>
          </cell>
          <cell r="S191">
            <v>2</v>
          </cell>
          <cell r="Z191">
            <v>56.740740740740733</v>
          </cell>
          <cell r="AA191">
            <v>70.666666666666657</v>
          </cell>
          <cell r="AC191">
            <v>5.5</v>
          </cell>
          <cell r="AD191">
            <v>47.70070762475703</v>
          </cell>
          <cell r="AE191" t="str">
            <v>М201БМИЭФ254</v>
          </cell>
        </row>
        <row r="192">
          <cell r="A192">
            <v>189</v>
          </cell>
          <cell r="B192">
            <v>178</v>
          </cell>
          <cell r="C192">
            <v>0.63422818791946312</v>
          </cell>
          <cell r="D192" t="str">
            <v>М201БМИЭФ187</v>
          </cell>
          <cell r="E192" t="str">
            <v>Одинцов Антон Викторович</v>
          </cell>
          <cell r="F192">
            <v>5</v>
          </cell>
          <cell r="G192">
            <v>8</v>
          </cell>
          <cell r="H192">
            <v>42.393717948717949</v>
          </cell>
          <cell r="I192">
            <v>5</v>
          </cell>
          <cell r="J192">
            <v>3</v>
          </cell>
          <cell r="K192">
            <v>28.858222491931482</v>
          </cell>
          <cell r="L192">
            <v>4</v>
          </cell>
          <cell r="M192">
            <v>3</v>
          </cell>
          <cell r="N192">
            <v>44.187999999999995</v>
          </cell>
          <cell r="O192">
            <v>5</v>
          </cell>
          <cell r="P192">
            <v>3</v>
          </cell>
          <cell r="Q192">
            <v>65</v>
          </cell>
          <cell r="R192">
            <v>7</v>
          </cell>
          <cell r="S192">
            <v>4</v>
          </cell>
          <cell r="Z192">
            <v>56</v>
          </cell>
          <cell r="AB192">
            <v>57.8</v>
          </cell>
          <cell r="AC192">
            <v>5.5</v>
          </cell>
          <cell r="AD192">
            <v>47.58908008011808</v>
          </cell>
          <cell r="AE192" t="str">
            <v>М201БМИЭФ187</v>
          </cell>
        </row>
        <row r="193">
          <cell r="A193">
            <v>190</v>
          </cell>
          <cell r="B193">
            <v>179</v>
          </cell>
          <cell r="C193">
            <v>0.63758389261744963</v>
          </cell>
          <cell r="D193" t="str">
            <v>М201БМИЭФ137</v>
          </cell>
          <cell r="E193" t="str">
            <v>Красавин Олег Игоревич</v>
          </cell>
          <cell r="F193">
            <v>10</v>
          </cell>
          <cell r="G193">
            <v>15</v>
          </cell>
          <cell r="H193">
            <v>57.823397435897434</v>
          </cell>
          <cell r="I193">
            <v>7</v>
          </cell>
          <cell r="J193">
            <v>4</v>
          </cell>
          <cell r="K193">
            <v>28.643470418470418</v>
          </cell>
          <cell r="L193">
            <v>4</v>
          </cell>
          <cell r="M193">
            <v>3</v>
          </cell>
          <cell r="N193">
            <v>46.738888888888852</v>
          </cell>
          <cell r="O193">
            <v>5</v>
          </cell>
          <cell r="P193">
            <v>3</v>
          </cell>
          <cell r="Q193">
            <v>50</v>
          </cell>
          <cell r="R193">
            <v>6</v>
          </cell>
          <cell r="S193">
            <v>4</v>
          </cell>
          <cell r="Z193">
            <v>56.851851851851848</v>
          </cell>
          <cell r="AB193">
            <v>46</v>
          </cell>
          <cell r="AC193">
            <v>5.5</v>
          </cell>
          <cell r="AD193">
            <v>47.46501974456519</v>
          </cell>
          <cell r="AE193" t="str">
            <v>М201БМИЭФ137</v>
          </cell>
        </row>
        <row r="194">
          <cell r="A194">
            <v>191</v>
          </cell>
          <cell r="B194">
            <v>180</v>
          </cell>
          <cell r="C194">
            <v>0.64093959731543626</v>
          </cell>
          <cell r="D194" t="str">
            <v>М201БМИЭФ203</v>
          </cell>
          <cell r="E194" t="str">
            <v>Пятаков Илья Андреевич</v>
          </cell>
          <cell r="F194">
            <v>9</v>
          </cell>
          <cell r="G194">
            <v>16</v>
          </cell>
          <cell r="H194">
            <v>48.27326923076923</v>
          </cell>
          <cell r="I194">
            <v>6</v>
          </cell>
          <cell r="J194">
            <v>4</v>
          </cell>
          <cell r="K194">
            <v>35.252009523809527</v>
          </cell>
          <cell r="L194">
            <v>5</v>
          </cell>
          <cell r="M194">
            <v>3</v>
          </cell>
          <cell r="N194">
            <v>55.322222222222202</v>
          </cell>
          <cell r="O194">
            <v>6</v>
          </cell>
          <cell r="P194">
            <v>4</v>
          </cell>
          <cell r="Q194">
            <v>51</v>
          </cell>
          <cell r="R194">
            <v>6</v>
          </cell>
          <cell r="S194">
            <v>4</v>
          </cell>
          <cell r="Z194">
            <v>45.185185185185183</v>
          </cell>
          <cell r="AB194">
            <v>51.5</v>
          </cell>
          <cell r="AC194">
            <v>5.5</v>
          </cell>
          <cell r="AD194">
            <v>47.46048839308839</v>
          </cell>
          <cell r="AE194" t="str">
            <v>М201БМИЭФ203</v>
          </cell>
        </row>
        <row r="195">
          <cell r="A195">
            <v>192</v>
          </cell>
          <cell r="B195">
            <v>181</v>
          </cell>
          <cell r="C195">
            <v>0.64429530201342278</v>
          </cell>
          <cell r="D195" t="str">
            <v>М201БМИЭФ243</v>
          </cell>
          <cell r="E195" t="str">
            <v>Уланова Виктория Николаевна</v>
          </cell>
          <cell r="F195">
            <v>9</v>
          </cell>
          <cell r="G195">
            <v>14</v>
          </cell>
          <cell r="H195">
            <v>48.98621794871795</v>
          </cell>
          <cell r="I195">
            <v>6</v>
          </cell>
          <cell r="J195">
            <v>4</v>
          </cell>
          <cell r="K195">
            <v>31.257150432900431</v>
          </cell>
          <cell r="L195">
            <v>4</v>
          </cell>
          <cell r="M195">
            <v>3</v>
          </cell>
          <cell r="N195">
            <v>39.359944444444444</v>
          </cell>
          <cell r="O195">
            <v>4</v>
          </cell>
          <cell r="P195">
            <v>3</v>
          </cell>
          <cell r="Q195">
            <v>44</v>
          </cell>
          <cell r="R195">
            <v>5</v>
          </cell>
          <cell r="S195">
            <v>3</v>
          </cell>
          <cell r="Z195">
            <v>60.666666666666671</v>
          </cell>
          <cell r="AB195">
            <v>58.5</v>
          </cell>
          <cell r="AC195">
            <v>5.5</v>
          </cell>
          <cell r="AD195">
            <v>47.412723544132632</v>
          </cell>
          <cell r="AE195" t="str">
            <v>М201БМИЭФ243</v>
          </cell>
        </row>
        <row r="196">
          <cell r="A196">
            <v>193</v>
          </cell>
          <cell r="B196">
            <v>182</v>
          </cell>
          <cell r="C196">
            <v>0.6476510067114094</v>
          </cell>
          <cell r="D196" t="str">
            <v>М201БМИЭФ024</v>
          </cell>
          <cell r="E196" t="str">
            <v>Аванесов Артем Андреевич</v>
          </cell>
          <cell r="F196">
            <v>8</v>
          </cell>
          <cell r="G196">
            <v>11</v>
          </cell>
          <cell r="H196">
            <v>33.425320512820512</v>
          </cell>
          <cell r="I196">
            <v>4</v>
          </cell>
          <cell r="J196">
            <v>3</v>
          </cell>
          <cell r="K196">
            <v>42.74624212985082</v>
          </cell>
          <cell r="L196">
            <v>5</v>
          </cell>
          <cell r="M196">
            <v>3</v>
          </cell>
          <cell r="N196">
            <v>34.444444444444457</v>
          </cell>
          <cell r="O196">
            <v>4</v>
          </cell>
          <cell r="P196">
            <v>3</v>
          </cell>
          <cell r="Q196">
            <v>54</v>
          </cell>
          <cell r="R196">
            <v>6</v>
          </cell>
          <cell r="S196">
            <v>4</v>
          </cell>
          <cell r="Z196">
            <v>60.407407407407405</v>
          </cell>
          <cell r="AB196">
            <v>60.8</v>
          </cell>
          <cell r="AC196">
            <v>5.5</v>
          </cell>
          <cell r="AD196">
            <v>47.058802635367854</v>
          </cell>
          <cell r="AE196" t="str">
            <v>М201БМИЭФ024</v>
          </cell>
        </row>
        <row r="197">
          <cell r="A197">
            <v>194</v>
          </cell>
          <cell r="B197">
            <v>183</v>
          </cell>
          <cell r="C197">
            <v>0.65100671140939592</v>
          </cell>
          <cell r="D197" t="str">
            <v>М201БМИЭФ110</v>
          </cell>
          <cell r="E197" t="str">
            <v>Исаева Алина Юрьевна</v>
          </cell>
          <cell r="F197">
            <v>8</v>
          </cell>
          <cell r="G197">
            <v>10</v>
          </cell>
          <cell r="H197">
            <v>36.211346153846151</v>
          </cell>
          <cell r="I197">
            <v>4</v>
          </cell>
          <cell r="J197">
            <v>3</v>
          </cell>
          <cell r="K197">
            <v>27.89650509997249</v>
          </cell>
          <cell r="L197">
            <v>4</v>
          </cell>
          <cell r="M197">
            <v>3</v>
          </cell>
          <cell r="N197">
            <v>49.91666666666665</v>
          </cell>
          <cell r="O197">
            <v>5</v>
          </cell>
          <cell r="P197">
            <v>3</v>
          </cell>
          <cell r="Q197">
            <v>48</v>
          </cell>
          <cell r="R197">
            <v>5</v>
          </cell>
          <cell r="S197">
            <v>3</v>
          </cell>
          <cell r="Z197">
            <v>67.148148148148152</v>
          </cell>
          <cell r="AB197">
            <v>53.3</v>
          </cell>
          <cell r="AC197">
            <v>5.5</v>
          </cell>
          <cell r="AD197">
            <v>46.995030194296987</v>
          </cell>
          <cell r="AE197" t="str">
            <v>М201БМИЭФ110</v>
          </cell>
        </row>
        <row r="198">
          <cell r="A198">
            <v>195</v>
          </cell>
          <cell r="B198">
            <v>184</v>
          </cell>
          <cell r="C198">
            <v>0.65436241610738255</v>
          </cell>
          <cell r="D198" t="str">
            <v>М201БМИЭФ248</v>
          </cell>
          <cell r="E198" t="str">
            <v>Феоктистов Николай Константинович</v>
          </cell>
          <cell r="F198">
            <v>9</v>
          </cell>
          <cell r="G198">
            <v>13</v>
          </cell>
          <cell r="H198">
            <v>51.244102564102562</v>
          </cell>
          <cell r="I198">
            <v>6</v>
          </cell>
          <cell r="J198">
            <v>4</v>
          </cell>
          <cell r="K198">
            <v>32.394497691197692</v>
          </cell>
          <cell r="L198">
            <v>4</v>
          </cell>
          <cell r="M198">
            <v>3</v>
          </cell>
          <cell r="N198">
            <v>44.438000000000002</v>
          </cell>
          <cell r="O198">
            <v>5</v>
          </cell>
          <cell r="P198">
            <v>3</v>
          </cell>
          <cell r="Q198">
            <v>46</v>
          </cell>
          <cell r="R198">
            <v>5</v>
          </cell>
          <cell r="S198">
            <v>3</v>
          </cell>
          <cell r="Z198">
            <v>65.148148148148152</v>
          </cell>
          <cell r="AB198">
            <v>41.4</v>
          </cell>
          <cell r="AC198">
            <v>5.5</v>
          </cell>
          <cell r="AD198">
            <v>46.840863346081527</v>
          </cell>
          <cell r="AE198" t="str">
            <v>М201БМИЭФ248</v>
          </cell>
        </row>
        <row r="199">
          <cell r="A199">
            <v>196</v>
          </cell>
          <cell r="B199">
            <v>185</v>
          </cell>
          <cell r="C199">
            <v>0.65771812080536918</v>
          </cell>
          <cell r="D199" t="str">
            <v>М201БМИЭФ223</v>
          </cell>
          <cell r="E199" t="str">
            <v>Снастина Софья Алексеевна</v>
          </cell>
          <cell r="F199">
            <v>7</v>
          </cell>
          <cell r="G199">
            <v>11</v>
          </cell>
          <cell r="H199">
            <v>30.015448717948718</v>
          </cell>
          <cell r="I199">
            <v>3</v>
          </cell>
          <cell r="J199">
            <v>2</v>
          </cell>
          <cell r="K199">
            <v>37.472699494949495</v>
          </cell>
          <cell r="L199">
            <v>5</v>
          </cell>
          <cell r="M199">
            <v>3</v>
          </cell>
          <cell r="N199">
            <v>45.711111111111144</v>
          </cell>
          <cell r="O199">
            <v>5</v>
          </cell>
          <cell r="P199">
            <v>3</v>
          </cell>
          <cell r="Q199">
            <v>41</v>
          </cell>
          <cell r="R199">
            <v>1</v>
          </cell>
          <cell r="S199">
            <v>2</v>
          </cell>
          <cell r="Z199">
            <v>66.851851851851848</v>
          </cell>
          <cell r="AB199">
            <v>56.5</v>
          </cell>
          <cell r="AC199">
            <v>5.5</v>
          </cell>
          <cell r="AD199">
            <v>46.7365656683384</v>
          </cell>
          <cell r="AE199" t="str">
            <v>М201БМИЭФ223</v>
          </cell>
        </row>
        <row r="200">
          <cell r="A200">
            <v>197</v>
          </cell>
          <cell r="B200">
            <v>186</v>
          </cell>
          <cell r="C200">
            <v>0.66107382550335569</v>
          </cell>
          <cell r="D200" t="str">
            <v>М201БМИЭФ084</v>
          </cell>
          <cell r="E200" t="str">
            <v>Гришин Александр Сергеевич</v>
          </cell>
          <cell r="F200">
            <v>2</v>
          </cell>
          <cell r="G200">
            <v>2</v>
          </cell>
          <cell r="H200">
            <v>44.627820512820513</v>
          </cell>
          <cell r="I200">
            <v>5</v>
          </cell>
          <cell r="J200">
            <v>3</v>
          </cell>
          <cell r="K200">
            <v>41.922800865800866</v>
          </cell>
          <cell r="L200">
            <v>5</v>
          </cell>
          <cell r="M200">
            <v>3</v>
          </cell>
          <cell r="N200">
            <v>52.33333333333335</v>
          </cell>
          <cell r="O200">
            <v>6</v>
          </cell>
          <cell r="P200">
            <v>4</v>
          </cell>
          <cell r="Q200">
            <v>60</v>
          </cell>
          <cell r="R200">
            <v>7</v>
          </cell>
          <cell r="S200">
            <v>4</v>
          </cell>
          <cell r="Z200">
            <v>52.555555555555557</v>
          </cell>
          <cell r="AB200">
            <v>35</v>
          </cell>
          <cell r="AC200">
            <v>5.5</v>
          </cell>
          <cell r="AD200">
            <v>46.625365503183687</v>
          </cell>
          <cell r="AE200" t="str">
            <v>М201БМИЭФ084</v>
          </cell>
        </row>
        <row r="201">
          <cell r="A201">
            <v>198</v>
          </cell>
          <cell r="B201">
            <v>187</v>
          </cell>
          <cell r="C201">
            <v>0.66442953020134232</v>
          </cell>
          <cell r="D201" t="str">
            <v>М201БМИЭФ107</v>
          </cell>
          <cell r="E201" t="str">
            <v>Зольникова Августа Сергеевна</v>
          </cell>
          <cell r="F201">
            <v>4</v>
          </cell>
          <cell r="G201">
            <v>6</v>
          </cell>
          <cell r="H201">
            <v>36.002499999999998</v>
          </cell>
          <cell r="I201">
            <v>4</v>
          </cell>
          <cell r="J201">
            <v>3</v>
          </cell>
          <cell r="K201">
            <v>40.920209771459767</v>
          </cell>
          <cell r="L201">
            <v>5</v>
          </cell>
          <cell r="M201">
            <v>3</v>
          </cell>
          <cell r="N201">
            <v>36.860833333333346</v>
          </cell>
          <cell r="O201">
            <v>4</v>
          </cell>
          <cell r="P201">
            <v>3</v>
          </cell>
          <cell r="Q201">
            <v>49</v>
          </cell>
          <cell r="R201">
            <v>5</v>
          </cell>
          <cell r="S201">
            <v>3</v>
          </cell>
          <cell r="Z201">
            <v>60.185185185185176</v>
          </cell>
          <cell r="AA201">
            <v>56.333333333333329</v>
          </cell>
          <cell r="AC201">
            <v>5.5</v>
          </cell>
          <cell r="AD201">
            <v>46.327647567874834</v>
          </cell>
          <cell r="AE201" t="str">
            <v>М201БМИЭФ107</v>
          </cell>
        </row>
        <row r="202">
          <cell r="A202">
            <v>199</v>
          </cell>
          <cell r="B202">
            <v>188</v>
          </cell>
          <cell r="C202">
            <v>0.66778523489932884</v>
          </cell>
          <cell r="D202" t="str">
            <v>М201БМИЭФ108</v>
          </cell>
          <cell r="E202" t="str">
            <v>Зыбин Федор Антонович</v>
          </cell>
          <cell r="F202">
            <v>4</v>
          </cell>
          <cell r="G202">
            <v>12</v>
          </cell>
          <cell r="H202">
            <v>35.837435897435896</v>
          </cell>
          <cell r="I202">
            <v>4</v>
          </cell>
          <cell r="J202">
            <v>3</v>
          </cell>
          <cell r="K202">
            <v>38.421118812347075</v>
          </cell>
          <cell r="L202">
            <v>5</v>
          </cell>
          <cell r="M202">
            <v>3</v>
          </cell>
          <cell r="N202">
            <v>47.528666666666652</v>
          </cell>
          <cell r="O202">
            <v>5</v>
          </cell>
          <cell r="P202">
            <v>3</v>
          </cell>
          <cell r="Q202">
            <v>41</v>
          </cell>
          <cell r="R202">
            <v>5</v>
          </cell>
          <cell r="S202">
            <v>3</v>
          </cell>
          <cell r="Z202">
            <v>60.296296296296291</v>
          </cell>
          <cell r="AB202">
            <v>52</v>
          </cell>
          <cell r="AC202">
            <v>5.5</v>
          </cell>
          <cell r="AD202">
            <v>46.287912304135624</v>
          </cell>
          <cell r="AE202" t="str">
            <v>М201БМИЭФ108</v>
          </cell>
        </row>
        <row r="203">
          <cell r="A203">
            <v>200</v>
          </cell>
          <cell r="B203">
            <v>189</v>
          </cell>
          <cell r="C203">
            <v>0.67114093959731547</v>
          </cell>
          <cell r="D203" t="str">
            <v>М201БМИЭФ092</v>
          </cell>
          <cell r="E203" t="str">
            <v>Дулгеру Алексей Артурович</v>
          </cell>
          <cell r="F203">
            <v>4</v>
          </cell>
          <cell r="G203">
            <v>6</v>
          </cell>
          <cell r="H203">
            <v>36.735256410256412</v>
          </cell>
          <cell r="I203">
            <v>4</v>
          </cell>
          <cell r="J203">
            <v>3</v>
          </cell>
          <cell r="K203">
            <v>31.598576742326742</v>
          </cell>
          <cell r="L203">
            <v>4</v>
          </cell>
          <cell r="M203">
            <v>3</v>
          </cell>
          <cell r="N203">
            <v>50.242999999999995</v>
          </cell>
          <cell r="O203">
            <v>6</v>
          </cell>
          <cell r="P203">
            <v>4</v>
          </cell>
          <cell r="T203">
            <v>53</v>
          </cell>
          <cell r="U203">
            <v>6</v>
          </cell>
          <cell r="V203">
            <v>4</v>
          </cell>
          <cell r="Z203">
            <v>52.407407407407405</v>
          </cell>
          <cell r="AB203">
            <v>57</v>
          </cell>
          <cell r="AC203">
            <v>5.5</v>
          </cell>
          <cell r="AD203">
            <v>46.269861919998284</v>
          </cell>
          <cell r="AE203" t="str">
            <v>М201БМИЭФ092</v>
          </cell>
        </row>
        <row r="204">
          <cell r="A204">
            <v>201</v>
          </cell>
          <cell r="B204">
            <v>190</v>
          </cell>
          <cell r="C204">
            <v>0.67449664429530198</v>
          </cell>
          <cell r="D204" t="str">
            <v>М201БМИЭФ256</v>
          </cell>
          <cell r="E204" t="str">
            <v>Цаллагова Виолетта Дмитриевна</v>
          </cell>
          <cell r="F204">
            <v>5</v>
          </cell>
          <cell r="G204">
            <v>7</v>
          </cell>
          <cell r="H204">
            <v>42.027115384615385</v>
          </cell>
          <cell r="I204">
            <v>5</v>
          </cell>
          <cell r="J204">
            <v>3</v>
          </cell>
          <cell r="K204">
            <v>28.647242621118806</v>
          </cell>
          <cell r="L204">
            <v>4</v>
          </cell>
          <cell r="M204">
            <v>3</v>
          </cell>
          <cell r="N204">
            <v>25.132444444444445</v>
          </cell>
          <cell r="O204">
            <v>3</v>
          </cell>
          <cell r="P204">
            <v>2</v>
          </cell>
          <cell r="Q204">
            <v>37</v>
          </cell>
          <cell r="R204">
            <v>3</v>
          </cell>
          <cell r="S204">
            <v>2</v>
          </cell>
          <cell r="Z204">
            <v>67.407407407407405</v>
          </cell>
          <cell r="AB204">
            <v>72</v>
          </cell>
          <cell r="AC204">
            <v>5.5</v>
          </cell>
          <cell r="AD204">
            <v>46.129856337742915</v>
          </cell>
          <cell r="AE204" t="str">
            <v>М201БМИЭФ256</v>
          </cell>
        </row>
        <row r="205">
          <cell r="A205">
            <v>202</v>
          </cell>
          <cell r="B205">
            <v>191</v>
          </cell>
          <cell r="C205">
            <v>0.67785234899328861</v>
          </cell>
          <cell r="D205" t="str">
            <v>М201БМИЭФ288</v>
          </cell>
          <cell r="E205" t="str">
            <v>Толеужан Адилет</v>
          </cell>
          <cell r="F205">
            <v>6</v>
          </cell>
          <cell r="G205">
            <v>9</v>
          </cell>
          <cell r="H205">
            <v>34.034230769230767</v>
          </cell>
          <cell r="I205">
            <v>4</v>
          </cell>
          <cell r="J205">
            <v>3</v>
          </cell>
          <cell r="K205">
            <v>30.427856997191384</v>
          </cell>
          <cell r="L205">
            <v>4</v>
          </cell>
          <cell r="M205">
            <v>3</v>
          </cell>
          <cell r="N205">
            <v>52.606444444444456</v>
          </cell>
          <cell r="O205">
            <v>6</v>
          </cell>
          <cell r="P205">
            <v>4</v>
          </cell>
          <cell r="Q205">
            <v>32</v>
          </cell>
          <cell r="R205">
            <v>1</v>
          </cell>
          <cell r="S205">
            <v>2</v>
          </cell>
          <cell r="Z205">
            <v>63.074074074074076</v>
          </cell>
          <cell r="AB205">
            <v>57</v>
          </cell>
          <cell r="AC205">
            <v>5.5</v>
          </cell>
          <cell r="AD205">
            <v>46.025928415443758</v>
          </cell>
          <cell r="AE205" t="str">
            <v>М201БМИЭФ288</v>
          </cell>
        </row>
        <row r="206">
          <cell r="A206">
            <v>203</v>
          </cell>
          <cell r="B206">
            <v>192</v>
          </cell>
          <cell r="C206">
            <v>0.68120805369127513</v>
          </cell>
          <cell r="D206" t="str">
            <v>М201БМИЭФ018</v>
          </cell>
          <cell r="E206" t="str">
            <v>Гурбанов Осман Майыс оглу</v>
          </cell>
          <cell r="F206" t="str">
            <v>12 online</v>
          </cell>
          <cell r="G206" t="str">
            <v>17 online</v>
          </cell>
          <cell r="H206">
            <v>52.12717948717949</v>
          </cell>
          <cell r="I206">
            <v>6</v>
          </cell>
          <cell r="J206">
            <v>4</v>
          </cell>
          <cell r="K206">
            <v>38.617886636636634</v>
          </cell>
          <cell r="L206">
            <v>5</v>
          </cell>
          <cell r="M206">
            <v>3</v>
          </cell>
          <cell r="N206">
            <v>50.996777777777794</v>
          </cell>
          <cell r="O206">
            <v>6</v>
          </cell>
          <cell r="P206">
            <v>4</v>
          </cell>
          <cell r="Q206">
            <v>31</v>
          </cell>
          <cell r="R206">
            <v>3</v>
          </cell>
          <cell r="S206">
            <v>2</v>
          </cell>
          <cell r="Z206">
            <v>73.555555555555557</v>
          </cell>
          <cell r="AB206">
            <v>22</v>
          </cell>
          <cell r="AC206">
            <v>5.5</v>
          </cell>
          <cell r="AD206">
            <v>45.96316353766354</v>
          </cell>
          <cell r="AE206" t="str">
            <v>М201БМИЭФ018</v>
          </cell>
        </row>
        <row r="207">
          <cell r="A207">
            <v>204</v>
          </cell>
          <cell r="B207">
            <v>193</v>
          </cell>
          <cell r="C207">
            <v>0.68456375838926176</v>
          </cell>
          <cell r="D207" t="str">
            <v>М201БМИЭФ268</v>
          </cell>
          <cell r="E207" t="str">
            <v>Шарифов Эльмир Беглярович</v>
          </cell>
          <cell r="F207">
            <v>8</v>
          </cell>
          <cell r="G207">
            <v>12</v>
          </cell>
          <cell r="H207">
            <v>36.613589743589742</v>
          </cell>
          <cell r="I207">
            <v>4</v>
          </cell>
          <cell r="J207">
            <v>3</v>
          </cell>
          <cell r="K207">
            <v>49.500306386849864</v>
          </cell>
          <cell r="L207">
            <v>6</v>
          </cell>
          <cell r="M207">
            <v>4</v>
          </cell>
          <cell r="N207">
            <v>51.794444444444451</v>
          </cell>
          <cell r="O207">
            <v>6</v>
          </cell>
          <cell r="P207">
            <v>4</v>
          </cell>
          <cell r="Q207">
            <v>45</v>
          </cell>
          <cell r="R207">
            <v>5</v>
          </cell>
          <cell r="S207">
            <v>3</v>
          </cell>
          <cell r="Z207">
            <v>56.777777777777786</v>
          </cell>
          <cell r="AB207">
            <v>35.6</v>
          </cell>
          <cell r="AC207">
            <v>5.5</v>
          </cell>
          <cell r="AD207">
            <v>45.961112427756696</v>
          </cell>
          <cell r="AE207" t="str">
            <v>М201БМИЭФ268</v>
          </cell>
        </row>
        <row r="208">
          <cell r="A208">
            <v>205</v>
          </cell>
          <cell r="B208">
            <v>194</v>
          </cell>
          <cell r="C208">
            <v>0.68791946308724827</v>
          </cell>
          <cell r="D208" t="str">
            <v>М201БМИЭФ077</v>
          </cell>
          <cell r="E208" t="str">
            <v>Глебов Юрий Юрьевич</v>
          </cell>
          <cell r="F208">
            <v>5</v>
          </cell>
          <cell r="G208">
            <v>8</v>
          </cell>
          <cell r="H208">
            <v>35.643717948717949</v>
          </cell>
          <cell r="I208">
            <v>4</v>
          </cell>
          <cell r="J208">
            <v>3</v>
          </cell>
          <cell r="K208">
            <v>34.798419840587037</v>
          </cell>
          <cell r="L208">
            <v>4</v>
          </cell>
          <cell r="M208">
            <v>3</v>
          </cell>
          <cell r="N208">
            <v>36.003222222222199</v>
          </cell>
          <cell r="O208">
            <v>4</v>
          </cell>
          <cell r="P208">
            <v>3</v>
          </cell>
          <cell r="Q208">
            <v>31</v>
          </cell>
          <cell r="R208">
            <v>3</v>
          </cell>
          <cell r="S208">
            <v>2</v>
          </cell>
          <cell r="Z208">
            <v>62.555555555555557</v>
          </cell>
          <cell r="AB208">
            <v>67.7</v>
          </cell>
          <cell r="AC208">
            <v>5.5</v>
          </cell>
          <cell r="AD208">
            <v>45.854711921287773</v>
          </cell>
          <cell r="AE208" t="str">
            <v>М201БМИЭФ077</v>
          </cell>
        </row>
        <row r="209">
          <cell r="A209">
            <v>206</v>
          </cell>
          <cell r="B209">
            <v>195</v>
          </cell>
          <cell r="C209">
            <v>0.6912751677852349</v>
          </cell>
          <cell r="D209" t="str">
            <v>М201БМИЭФ208</v>
          </cell>
          <cell r="E209" t="str">
            <v>Роберт Алексей Эрикович</v>
          </cell>
          <cell r="F209">
            <v>5</v>
          </cell>
          <cell r="G209">
            <v>7</v>
          </cell>
          <cell r="H209">
            <v>55.052692307692304</v>
          </cell>
          <cell r="I209">
            <v>7</v>
          </cell>
          <cell r="J209">
            <v>4</v>
          </cell>
          <cell r="K209">
            <v>25.824070994988187</v>
          </cell>
          <cell r="L209">
            <v>4</v>
          </cell>
          <cell r="M209">
            <v>3</v>
          </cell>
          <cell r="N209">
            <v>47.437722222222199</v>
          </cell>
          <cell r="O209">
            <v>5</v>
          </cell>
          <cell r="P209">
            <v>3</v>
          </cell>
          <cell r="Q209">
            <v>39</v>
          </cell>
          <cell r="R209">
            <v>4</v>
          </cell>
          <cell r="S209">
            <v>3</v>
          </cell>
          <cell r="Z209">
            <v>67.148148148148152</v>
          </cell>
          <cell r="AB209">
            <v>36.799999999999997</v>
          </cell>
          <cell r="AC209">
            <v>5.5</v>
          </cell>
          <cell r="AD209">
            <v>45.775024304191064</v>
          </cell>
          <cell r="AE209" t="str">
            <v>М201БМИЭФ208</v>
          </cell>
        </row>
        <row r="210">
          <cell r="A210">
            <v>207</v>
          </cell>
          <cell r="B210">
            <v>196</v>
          </cell>
          <cell r="C210">
            <v>0.69463087248322153</v>
          </cell>
          <cell r="D210" t="str">
            <v>М201БМИЭФ146</v>
          </cell>
          <cell r="E210" t="str">
            <v>Кухлевская Анастасия Эдуардовна</v>
          </cell>
          <cell r="F210">
            <v>9</v>
          </cell>
          <cell r="G210">
            <v>14</v>
          </cell>
          <cell r="H210">
            <v>56.614551282051281</v>
          </cell>
          <cell r="I210">
            <v>7</v>
          </cell>
          <cell r="J210">
            <v>4</v>
          </cell>
          <cell r="K210">
            <v>27.177758585858584</v>
          </cell>
          <cell r="L210">
            <v>4</v>
          </cell>
          <cell r="M210">
            <v>3</v>
          </cell>
          <cell r="N210">
            <v>39.9087777777778</v>
          </cell>
          <cell r="O210">
            <v>4</v>
          </cell>
          <cell r="P210">
            <v>3</v>
          </cell>
          <cell r="Q210">
            <v>55</v>
          </cell>
          <cell r="R210">
            <v>6</v>
          </cell>
          <cell r="S210">
            <v>4</v>
          </cell>
          <cell r="Z210">
            <v>66.555555555555557</v>
          </cell>
          <cell r="AA210">
            <v>34</v>
          </cell>
          <cell r="AC210">
            <v>5.5</v>
          </cell>
          <cell r="AD210">
            <v>45.773935127498767</v>
          </cell>
          <cell r="AE210" t="str">
            <v>М201БМИЭФ146</v>
          </cell>
        </row>
        <row r="211">
          <cell r="A211">
            <v>208</v>
          </cell>
          <cell r="B211">
            <v>197</v>
          </cell>
          <cell r="C211">
            <v>0.69798657718120805</v>
          </cell>
          <cell r="D211" t="str">
            <v>М201БМИЭФ269</v>
          </cell>
          <cell r="E211" t="str">
            <v>Шаров Илья Андреевич</v>
          </cell>
          <cell r="F211">
            <v>9</v>
          </cell>
          <cell r="G211">
            <v>15</v>
          </cell>
          <cell r="H211">
            <v>35.391282051282047</v>
          </cell>
          <cell r="I211">
            <v>4</v>
          </cell>
          <cell r="J211">
            <v>3</v>
          </cell>
          <cell r="K211">
            <v>37.751402886002886</v>
          </cell>
          <cell r="L211">
            <v>5</v>
          </cell>
          <cell r="M211">
            <v>3</v>
          </cell>
          <cell r="N211">
            <v>44.622500000000002</v>
          </cell>
          <cell r="O211">
            <v>5</v>
          </cell>
          <cell r="P211">
            <v>3</v>
          </cell>
          <cell r="Q211">
            <v>45</v>
          </cell>
          <cell r="R211">
            <v>5</v>
          </cell>
          <cell r="S211">
            <v>3</v>
          </cell>
          <cell r="Z211">
            <v>58.444444444444443</v>
          </cell>
          <cell r="AB211">
            <v>53</v>
          </cell>
          <cell r="AC211">
            <v>5.5</v>
          </cell>
          <cell r="AD211">
            <v>45.765387160314432</v>
          </cell>
          <cell r="AE211" t="str">
            <v>М201БМИЭФ269</v>
          </cell>
        </row>
        <row r="212">
          <cell r="A212">
            <v>209</v>
          </cell>
          <cell r="B212">
            <v>198</v>
          </cell>
          <cell r="C212">
            <v>0.70134228187919467</v>
          </cell>
          <cell r="D212" t="str">
            <v>М201БМИЭФ028</v>
          </cell>
          <cell r="E212" t="str">
            <v>Азимова Асаль Сухробовна</v>
          </cell>
          <cell r="F212">
            <v>9</v>
          </cell>
          <cell r="G212">
            <v>14</v>
          </cell>
          <cell r="H212">
            <v>35.022500000000001</v>
          </cell>
          <cell r="I212">
            <v>4</v>
          </cell>
          <cell r="J212">
            <v>3</v>
          </cell>
          <cell r="K212">
            <v>36.283741341991337</v>
          </cell>
          <cell r="L212">
            <v>5</v>
          </cell>
          <cell r="M212">
            <v>3</v>
          </cell>
          <cell r="N212">
            <v>39.488000000000007</v>
          </cell>
          <cell r="O212">
            <v>4</v>
          </cell>
          <cell r="P212">
            <v>3</v>
          </cell>
          <cell r="Q212">
            <v>41</v>
          </cell>
          <cell r="R212">
            <v>3</v>
          </cell>
          <cell r="S212">
            <v>2</v>
          </cell>
          <cell r="Z212">
            <v>60.888888888888886</v>
          </cell>
          <cell r="AB212">
            <v>59.5</v>
          </cell>
          <cell r="AC212">
            <v>5.5</v>
          </cell>
          <cell r="AD212">
            <v>45.760569132887319</v>
          </cell>
          <cell r="AE212" t="str">
            <v>М201БМИЭФ028</v>
          </cell>
        </row>
        <row r="213">
          <cell r="A213">
            <v>210</v>
          </cell>
          <cell r="B213">
            <v>199</v>
          </cell>
          <cell r="C213">
            <v>0.70469798657718119</v>
          </cell>
          <cell r="D213" t="str">
            <v>М201БМИЭФ292</v>
          </cell>
          <cell r="E213" t="str">
            <v>Юминова Анна</v>
          </cell>
          <cell r="F213">
            <v>5</v>
          </cell>
          <cell r="G213">
            <v>7</v>
          </cell>
          <cell r="H213">
            <v>31.743589743589745</v>
          </cell>
          <cell r="I213">
            <v>3</v>
          </cell>
          <cell r="J213">
            <v>2</v>
          </cell>
          <cell r="K213">
            <v>41.937937156604349</v>
          </cell>
          <cell r="L213">
            <v>5</v>
          </cell>
          <cell r="M213">
            <v>3</v>
          </cell>
          <cell r="N213">
            <v>47.327777777777797</v>
          </cell>
          <cell r="O213">
            <v>5</v>
          </cell>
          <cell r="P213">
            <v>3</v>
          </cell>
          <cell r="Q213">
            <v>35</v>
          </cell>
          <cell r="R213">
            <v>3</v>
          </cell>
          <cell r="S213">
            <v>2</v>
          </cell>
          <cell r="Z213">
            <v>59.444444444444443</v>
          </cell>
          <cell r="AB213">
            <v>53.7</v>
          </cell>
          <cell r="AC213">
            <v>5.5</v>
          </cell>
          <cell r="AD213">
            <v>45.755227113166605</v>
          </cell>
          <cell r="AE213" t="str">
            <v>М201БМИЭФ292</v>
          </cell>
        </row>
        <row r="214">
          <cell r="A214">
            <v>211</v>
          </cell>
          <cell r="B214">
            <v>200</v>
          </cell>
          <cell r="C214">
            <v>0.70805369127516782</v>
          </cell>
          <cell r="D214" t="str">
            <v>М201БМИЭФ134</v>
          </cell>
          <cell r="E214" t="str">
            <v>Костюк Ярослав Русланович</v>
          </cell>
          <cell r="F214">
            <v>10</v>
          </cell>
          <cell r="G214">
            <v>16</v>
          </cell>
          <cell r="H214">
            <v>52.114935897435899</v>
          </cell>
          <cell r="I214">
            <v>6</v>
          </cell>
          <cell r="J214">
            <v>4</v>
          </cell>
          <cell r="K214">
            <v>47.479269480519477</v>
          </cell>
          <cell r="L214">
            <v>6</v>
          </cell>
          <cell r="M214">
            <v>4</v>
          </cell>
          <cell r="N214">
            <v>49.018555555555544</v>
          </cell>
          <cell r="O214">
            <v>5</v>
          </cell>
          <cell r="P214">
            <v>3</v>
          </cell>
          <cell r="Q214">
            <v>35</v>
          </cell>
          <cell r="R214">
            <v>4</v>
          </cell>
          <cell r="S214">
            <v>3</v>
          </cell>
          <cell r="Z214">
            <v>44.74074074074074</v>
          </cell>
          <cell r="AB214">
            <v>39</v>
          </cell>
          <cell r="AC214">
            <v>5.5</v>
          </cell>
          <cell r="AD214">
            <v>45.42790939531848</v>
          </cell>
          <cell r="AE214" t="str">
            <v>М201БМИЭФ134</v>
          </cell>
        </row>
        <row r="215">
          <cell r="A215">
            <v>212</v>
          </cell>
          <cell r="B215">
            <v>201</v>
          </cell>
          <cell r="C215">
            <v>0.71140939597315433</v>
          </cell>
          <cell r="D215" t="str">
            <v>М201БМИЭФ194</v>
          </cell>
          <cell r="E215" t="str">
            <v>Панин Максим Александрович</v>
          </cell>
          <cell r="F215">
            <v>6</v>
          </cell>
          <cell r="G215">
            <v>7</v>
          </cell>
          <cell r="H215">
            <v>45.147884615384612</v>
          </cell>
          <cell r="I215">
            <v>5</v>
          </cell>
          <cell r="J215">
            <v>3</v>
          </cell>
          <cell r="K215">
            <v>28.720785550411733</v>
          </cell>
          <cell r="L215">
            <v>4</v>
          </cell>
          <cell r="M215">
            <v>3</v>
          </cell>
          <cell r="N215">
            <v>53.842777777777755</v>
          </cell>
          <cell r="O215">
            <v>6</v>
          </cell>
          <cell r="P215">
            <v>4</v>
          </cell>
          <cell r="Q215">
            <v>47</v>
          </cell>
          <cell r="R215">
            <v>5</v>
          </cell>
          <cell r="S215">
            <v>3</v>
          </cell>
          <cell r="Z215">
            <v>63.555555555555557</v>
          </cell>
          <cell r="AA215">
            <v>35</v>
          </cell>
          <cell r="AC215">
            <v>5.5</v>
          </cell>
          <cell r="AD215">
            <v>45.412182454387214</v>
          </cell>
          <cell r="AE215" t="str">
            <v>М201БМИЭФ194</v>
          </cell>
        </row>
        <row r="216">
          <cell r="A216">
            <v>213</v>
          </cell>
          <cell r="B216">
            <v>202</v>
          </cell>
          <cell r="C216">
            <v>0.71476510067114096</v>
          </cell>
          <cell r="D216" t="str">
            <v>М201БМИЭФ031</v>
          </cell>
          <cell r="E216" t="str">
            <v>Алехно Максим Игоревич</v>
          </cell>
          <cell r="F216">
            <v>5</v>
          </cell>
          <cell r="G216">
            <v>7</v>
          </cell>
          <cell r="H216">
            <v>43.840769230769226</v>
          </cell>
          <cell r="I216">
            <v>5</v>
          </cell>
          <cell r="J216">
            <v>3</v>
          </cell>
          <cell r="K216">
            <v>27.76200174912714</v>
          </cell>
          <cell r="L216">
            <v>4</v>
          </cell>
          <cell r="M216">
            <v>3</v>
          </cell>
          <cell r="N216">
            <v>33.712000000000003</v>
          </cell>
          <cell r="O216">
            <v>4</v>
          </cell>
          <cell r="P216">
            <v>3</v>
          </cell>
          <cell r="Q216">
            <v>31</v>
          </cell>
          <cell r="R216">
            <v>3</v>
          </cell>
          <cell r="S216">
            <v>2</v>
          </cell>
          <cell r="Z216">
            <v>68.333333333333343</v>
          </cell>
          <cell r="AB216">
            <v>59.3</v>
          </cell>
          <cell r="AC216">
            <v>5.5</v>
          </cell>
          <cell r="AD216">
            <v>45.172382602405399</v>
          </cell>
          <cell r="AE216" t="str">
            <v>М201БМИЭФ031</v>
          </cell>
        </row>
        <row r="217">
          <cell r="A217">
            <v>214</v>
          </cell>
          <cell r="B217">
            <v>203</v>
          </cell>
          <cell r="C217">
            <v>0.71812080536912748</v>
          </cell>
          <cell r="D217" t="str">
            <v>М201БМИЭФ249</v>
          </cell>
          <cell r="E217" t="str">
            <v>Филимонова Екатерина Олеговна</v>
          </cell>
          <cell r="F217">
            <v>10</v>
          </cell>
          <cell r="G217">
            <v>14</v>
          </cell>
          <cell r="H217">
            <v>46.196346153846157</v>
          </cell>
          <cell r="I217">
            <v>5</v>
          </cell>
          <cell r="J217">
            <v>3</v>
          </cell>
          <cell r="K217">
            <v>31.005741341991346</v>
          </cell>
          <cell r="L217">
            <v>4</v>
          </cell>
          <cell r="M217">
            <v>3</v>
          </cell>
          <cell r="N217">
            <v>38.906444444444446</v>
          </cell>
          <cell r="O217">
            <v>4</v>
          </cell>
          <cell r="P217">
            <v>3</v>
          </cell>
          <cell r="Q217">
            <v>47</v>
          </cell>
          <cell r="R217">
            <v>5</v>
          </cell>
          <cell r="S217">
            <v>3</v>
          </cell>
          <cell r="Z217">
            <v>51.666666666666671</v>
          </cell>
          <cell r="AA217">
            <v>55.333333333333329</v>
          </cell>
          <cell r="AC217">
            <v>5.5</v>
          </cell>
          <cell r="AD217">
            <v>44.837914898233073</v>
          </cell>
          <cell r="AE217" t="str">
            <v>М201БМИЭФ249</v>
          </cell>
        </row>
        <row r="218">
          <cell r="A218">
            <v>215</v>
          </cell>
          <cell r="B218">
            <v>204</v>
          </cell>
          <cell r="C218">
            <v>0.72147651006711411</v>
          </cell>
          <cell r="D218" t="str">
            <v>М201БМИЭФ171</v>
          </cell>
          <cell r="E218" t="str">
            <v>Мечетина Ева Александровна</v>
          </cell>
          <cell r="F218">
            <v>8</v>
          </cell>
          <cell r="G218">
            <v>10</v>
          </cell>
          <cell r="H218">
            <v>50.51660256410257</v>
          </cell>
          <cell r="I218">
            <v>6</v>
          </cell>
          <cell r="J218">
            <v>4</v>
          </cell>
          <cell r="K218">
            <v>26.162397527593175</v>
          </cell>
          <cell r="L218">
            <v>4</v>
          </cell>
          <cell r="M218">
            <v>3</v>
          </cell>
          <cell r="N218">
            <v>29.138888888888854</v>
          </cell>
          <cell r="O218">
            <v>3</v>
          </cell>
          <cell r="P218">
            <v>2</v>
          </cell>
          <cell r="Q218">
            <v>36</v>
          </cell>
          <cell r="R218">
            <v>3</v>
          </cell>
          <cell r="S218">
            <v>2</v>
          </cell>
          <cell r="Z218">
            <v>68.074074074074076</v>
          </cell>
          <cell r="AB218">
            <v>54.7</v>
          </cell>
          <cell r="AC218">
            <v>5.5</v>
          </cell>
          <cell r="AD218">
            <v>44.834902373574302</v>
          </cell>
          <cell r="AE218" t="str">
            <v>М201БМИЭФ171</v>
          </cell>
        </row>
        <row r="219">
          <cell r="A219">
            <v>216</v>
          </cell>
          <cell r="B219">
            <v>205</v>
          </cell>
          <cell r="C219">
            <v>0.72483221476510062</v>
          </cell>
          <cell r="D219" t="str">
            <v>М201БМИЭФ105</v>
          </cell>
          <cell r="E219" t="str">
            <v>Зимин Александр Ильич</v>
          </cell>
          <cell r="F219">
            <v>7</v>
          </cell>
          <cell r="G219">
            <v>12</v>
          </cell>
          <cell r="H219">
            <v>35.693141025641026</v>
          </cell>
          <cell r="I219">
            <v>4</v>
          </cell>
          <cell r="J219">
            <v>3</v>
          </cell>
          <cell r="K219">
            <v>37.868265873015872</v>
          </cell>
          <cell r="L219">
            <v>5</v>
          </cell>
          <cell r="M219">
            <v>3</v>
          </cell>
          <cell r="N219">
            <v>40.927777777777756</v>
          </cell>
          <cell r="O219">
            <v>5</v>
          </cell>
          <cell r="P219">
            <v>3</v>
          </cell>
          <cell r="Q219">
            <v>41</v>
          </cell>
          <cell r="R219">
            <v>3</v>
          </cell>
          <cell r="S219">
            <v>2</v>
          </cell>
          <cell r="Z219">
            <v>54.518518518518519</v>
          </cell>
          <cell r="AA219">
            <v>57</v>
          </cell>
          <cell r="AC219">
            <v>5.5</v>
          </cell>
          <cell r="AD219">
            <v>44.8195823990824</v>
          </cell>
          <cell r="AE219" t="str">
            <v>М201БМИЭФ105</v>
          </cell>
        </row>
        <row r="220">
          <cell r="A220">
            <v>217</v>
          </cell>
          <cell r="B220">
            <v>206</v>
          </cell>
          <cell r="C220">
            <v>0.72818791946308725</v>
          </cell>
          <cell r="D220" t="str">
            <v>М201БМИЭФ156</v>
          </cell>
          <cell r="E220" t="str">
            <v>Максимов Дмитрий Александрович</v>
          </cell>
          <cell r="F220">
            <v>6</v>
          </cell>
          <cell r="G220">
            <v>9</v>
          </cell>
          <cell r="H220">
            <v>35.204743589743586</v>
          </cell>
          <cell r="I220">
            <v>4</v>
          </cell>
          <cell r="J220">
            <v>3</v>
          </cell>
          <cell r="K220">
            <v>36.110320164238139</v>
          </cell>
          <cell r="L220">
            <v>5</v>
          </cell>
          <cell r="M220">
            <v>3</v>
          </cell>
          <cell r="N220">
            <v>32.979666666666695</v>
          </cell>
          <cell r="O220">
            <v>4</v>
          </cell>
          <cell r="P220">
            <v>3</v>
          </cell>
          <cell r="Q220">
            <v>51</v>
          </cell>
          <cell r="R220">
            <v>6</v>
          </cell>
          <cell r="S220">
            <v>4</v>
          </cell>
          <cell r="Z220">
            <v>53.592592592592595</v>
          </cell>
          <cell r="AB220">
            <v>62</v>
          </cell>
          <cell r="AC220">
            <v>5.5</v>
          </cell>
          <cell r="AD220">
            <v>44.615876911498368</v>
          </cell>
          <cell r="AE220" t="str">
            <v>М201БМИЭФ156</v>
          </cell>
        </row>
        <row r="221">
          <cell r="A221">
            <v>218</v>
          </cell>
          <cell r="B221">
            <v>207</v>
          </cell>
          <cell r="C221">
            <v>0.73154362416107388</v>
          </cell>
          <cell r="D221" t="str">
            <v>М201БМИЭФ178</v>
          </cell>
          <cell r="E221" t="str">
            <v>Мурылева Ксения Антоновна</v>
          </cell>
          <cell r="F221">
            <v>6</v>
          </cell>
          <cell r="G221">
            <v>8</v>
          </cell>
          <cell r="H221">
            <v>44.212756410256404</v>
          </cell>
          <cell r="I221">
            <v>5</v>
          </cell>
          <cell r="J221">
            <v>3</v>
          </cell>
          <cell r="K221">
            <v>30.43348926853028</v>
          </cell>
          <cell r="L221">
            <v>4</v>
          </cell>
          <cell r="M221">
            <v>3</v>
          </cell>
          <cell r="N221">
            <v>45.600722222222196</v>
          </cell>
          <cell r="O221">
            <v>5</v>
          </cell>
          <cell r="P221">
            <v>3</v>
          </cell>
          <cell r="T221">
            <v>52</v>
          </cell>
          <cell r="U221">
            <v>6</v>
          </cell>
          <cell r="V221">
            <v>4</v>
          </cell>
          <cell r="Z221">
            <v>59.851851851851848</v>
          </cell>
          <cell r="AB221">
            <v>39</v>
          </cell>
          <cell r="AC221">
            <v>5.5</v>
          </cell>
          <cell r="AD221">
            <v>44.563421773247406</v>
          </cell>
          <cell r="AE221" t="str">
            <v>М201БМИЭФ178</v>
          </cell>
        </row>
        <row r="222">
          <cell r="A222">
            <v>219</v>
          </cell>
          <cell r="B222">
            <v>208</v>
          </cell>
          <cell r="C222">
            <v>0.7348993288590604</v>
          </cell>
          <cell r="D222" t="str">
            <v>М201БМИЭФ118</v>
          </cell>
          <cell r="E222" t="str">
            <v>Козлов Максим Андреевич</v>
          </cell>
          <cell r="F222">
            <v>10</v>
          </cell>
          <cell r="G222">
            <v>16</v>
          </cell>
          <cell r="H222">
            <v>43.519059340659346</v>
          </cell>
          <cell r="I222">
            <v>5</v>
          </cell>
          <cell r="J222">
            <v>3</v>
          </cell>
          <cell r="K222">
            <v>27.805959821428566</v>
          </cell>
          <cell r="L222">
            <v>4</v>
          </cell>
          <cell r="M222">
            <v>3</v>
          </cell>
          <cell r="N222">
            <v>33.787190277777775</v>
          </cell>
          <cell r="O222">
            <v>4</v>
          </cell>
          <cell r="P222">
            <v>3</v>
          </cell>
          <cell r="Q222">
            <v>55</v>
          </cell>
          <cell r="R222">
            <v>6</v>
          </cell>
          <cell r="S222">
            <v>4</v>
          </cell>
          <cell r="Z222">
            <v>51.238888888888887</v>
          </cell>
          <cell r="AB222">
            <v>60</v>
          </cell>
          <cell r="AC222">
            <v>5.5</v>
          </cell>
          <cell r="AD222">
            <v>44.33656333250083</v>
          </cell>
          <cell r="AE222" t="str">
            <v>М201БМИЭФ118</v>
          </cell>
        </row>
        <row r="223">
          <cell r="A223">
            <v>220</v>
          </cell>
          <cell r="B223">
            <v>209</v>
          </cell>
          <cell r="C223">
            <v>0.73825503355704702</v>
          </cell>
          <cell r="D223" t="str">
            <v>М201БМИЭФ040</v>
          </cell>
          <cell r="E223" t="str">
            <v>Ахтариева Алена Данировна</v>
          </cell>
          <cell r="F223">
            <v>3</v>
          </cell>
          <cell r="G223">
            <v>6</v>
          </cell>
          <cell r="H223">
            <v>47.394358974358973</v>
          </cell>
          <cell r="I223">
            <v>6</v>
          </cell>
          <cell r="J223">
            <v>4</v>
          </cell>
          <cell r="K223">
            <v>37.309333840546373</v>
          </cell>
          <cell r="L223">
            <v>5</v>
          </cell>
          <cell r="M223">
            <v>3</v>
          </cell>
          <cell r="N223">
            <v>48.849999999999994</v>
          </cell>
          <cell r="O223">
            <v>5</v>
          </cell>
          <cell r="P223">
            <v>3</v>
          </cell>
          <cell r="Q223">
            <v>60</v>
          </cell>
          <cell r="R223">
            <v>7</v>
          </cell>
          <cell r="S223">
            <v>4</v>
          </cell>
          <cell r="Z223">
            <v>44.25925925925926</v>
          </cell>
          <cell r="AB223">
            <v>36</v>
          </cell>
          <cell r="AC223">
            <v>5.5</v>
          </cell>
          <cell r="AD223">
            <v>44.329627649848106</v>
          </cell>
          <cell r="AE223" t="str">
            <v>М201БМИЭФ040</v>
          </cell>
        </row>
        <row r="224">
          <cell r="A224">
            <v>221</v>
          </cell>
          <cell r="B224">
            <v>210</v>
          </cell>
          <cell r="C224">
            <v>0.74161073825503354</v>
          </cell>
          <cell r="D224" t="str">
            <v>М201БМИЭФ240</v>
          </cell>
          <cell r="E224" t="str">
            <v>Туровская Мария Сергеевна</v>
          </cell>
          <cell r="F224">
            <v>10</v>
          </cell>
          <cell r="G224">
            <v>15</v>
          </cell>
          <cell r="H224">
            <v>35.404807692307692</v>
          </cell>
          <cell r="I224">
            <v>4</v>
          </cell>
          <cell r="J224">
            <v>3</v>
          </cell>
          <cell r="K224">
            <v>31.752700216450215</v>
          </cell>
          <cell r="L224">
            <v>4</v>
          </cell>
          <cell r="M224">
            <v>3</v>
          </cell>
          <cell r="N224">
            <v>28.023388888888899</v>
          </cell>
          <cell r="O224">
            <v>3</v>
          </cell>
          <cell r="P224">
            <v>2</v>
          </cell>
          <cell r="Q224">
            <v>30</v>
          </cell>
          <cell r="R224">
            <v>3</v>
          </cell>
          <cell r="S224">
            <v>2</v>
          </cell>
          <cell r="Z224">
            <v>64.407407407407405</v>
          </cell>
          <cell r="AB224">
            <v>67</v>
          </cell>
          <cell r="AC224">
            <v>5.5</v>
          </cell>
          <cell r="AD224">
            <v>43.925146219100768</v>
          </cell>
          <cell r="AE224" t="str">
            <v>М201БМИЭФ240</v>
          </cell>
        </row>
        <row r="225">
          <cell r="A225">
            <v>222</v>
          </cell>
          <cell r="B225">
            <v>211</v>
          </cell>
          <cell r="C225">
            <v>0.74496644295302017</v>
          </cell>
          <cell r="D225" t="str">
            <v>М201БМИЭФ075</v>
          </cell>
          <cell r="E225" t="str">
            <v>Гедгагов Султан Арсенович</v>
          </cell>
          <cell r="F225">
            <v>8</v>
          </cell>
          <cell r="G225">
            <v>12</v>
          </cell>
          <cell r="H225">
            <v>36.590897435897432</v>
          </cell>
          <cell r="I225">
            <v>4</v>
          </cell>
          <cell r="J225">
            <v>3</v>
          </cell>
          <cell r="K225">
            <v>40.816378569498134</v>
          </cell>
          <cell r="L225">
            <v>5</v>
          </cell>
          <cell r="M225">
            <v>3</v>
          </cell>
          <cell r="N225">
            <v>27.033333333333346</v>
          </cell>
          <cell r="O225">
            <v>3</v>
          </cell>
          <cell r="P225">
            <v>2</v>
          </cell>
          <cell r="Q225">
            <v>54</v>
          </cell>
          <cell r="R225">
            <v>6</v>
          </cell>
          <cell r="S225">
            <v>4</v>
          </cell>
          <cell r="Z225">
            <v>54.555555555555557</v>
          </cell>
          <cell r="AB225">
            <v>55.5</v>
          </cell>
          <cell r="AC225">
            <v>5.5</v>
          </cell>
          <cell r="AD225">
            <v>43.908393617142629</v>
          </cell>
          <cell r="AE225" t="str">
            <v>М201БМИЭФ075</v>
          </cell>
        </row>
        <row r="226">
          <cell r="A226">
            <v>223</v>
          </cell>
          <cell r="B226">
            <v>212</v>
          </cell>
          <cell r="C226">
            <v>0.74832214765100669</v>
          </cell>
          <cell r="D226" t="str">
            <v>М201БМИЭФ170</v>
          </cell>
          <cell r="E226" t="str">
            <v>Меркулова Виктория Анатольевна</v>
          </cell>
          <cell r="F226">
            <v>7</v>
          </cell>
          <cell r="G226">
            <v>10</v>
          </cell>
          <cell r="H226">
            <v>51</v>
          </cell>
          <cell r="I226">
            <v>6</v>
          </cell>
          <cell r="J226">
            <v>4</v>
          </cell>
          <cell r="K226">
            <v>22.134604978354979</v>
          </cell>
          <cell r="L226">
            <v>3</v>
          </cell>
          <cell r="M226">
            <v>2</v>
          </cell>
          <cell r="N226">
            <v>48.677777777777798</v>
          </cell>
          <cell r="O226">
            <v>5</v>
          </cell>
          <cell r="P226">
            <v>3</v>
          </cell>
          <cell r="Q226">
            <v>50</v>
          </cell>
          <cell r="R226">
            <v>6</v>
          </cell>
          <cell r="S226">
            <v>4</v>
          </cell>
          <cell r="Z226">
            <v>54.370370370370381</v>
          </cell>
          <cell r="AB226">
            <v>40</v>
          </cell>
          <cell r="AC226">
            <v>5.5</v>
          </cell>
          <cell r="AD226">
            <v>43.851409659364215</v>
          </cell>
          <cell r="AE226" t="str">
            <v>М201БМИЭФ170</v>
          </cell>
        </row>
        <row r="227">
          <cell r="A227">
            <v>224</v>
          </cell>
          <cell r="B227">
            <v>213</v>
          </cell>
          <cell r="C227">
            <v>0.75167785234899331</v>
          </cell>
          <cell r="D227" t="str">
            <v>М201БМИЭФ188</v>
          </cell>
          <cell r="E227" t="str">
            <v>Одинцова Настасья Алексеевна</v>
          </cell>
          <cell r="F227">
            <v>7</v>
          </cell>
          <cell r="G227">
            <v>14</v>
          </cell>
          <cell r="H227">
            <v>35.655128205128207</v>
          </cell>
          <cell r="I227">
            <v>4</v>
          </cell>
          <cell r="J227">
            <v>3</v>
          </cell>
          <cell r="K227">
            <v>24.618718614718613</v>
          </cell>
          <cell r="L227">
            <v>3</v>
          </cell>
          <cell r="M227">
            <v>2</v>
          </cell>
          <cell r="N227">
            <v>35.627777777777752</v>
          </cell>
          <cell r="O227">
            <v>4</v>
          </cell>
          <cell r="P227">
            <v>3</v>
          </cell>
          <cell r="Q227">
            <v>42</v>
          </cell>
          <cell r="R227">
            <v>5</v>
          </cell>
          <cell r="S227">
            <v>3</v>
          </cell>
          <cell r="Z227">
            <v>69.407407407407405</v>
          </cell>
          <cell r="AB227">
            <v>54.8</v>
          </cell>
          <cell r="AC227">
            <v>5.5</v>
          </cell>
          <cell r="AD227">
            <v>43.838005819096722</v>
          </cell>
          <cell r="AE227" t="str">
            <v>М201БМИЭФ188</v>
          </cell>
        </row>
        <row r="228">
          <cell r="A228">
            <v>225</v>
          </cell>
          <cell r="B228">
            <v>214</v>
          </cell>
          <cell r="C228">
            <v>0.75503355704697983</v>
          </cell>
          <cell r="D228" t="str">
            <v>М201БМИЭФ139</v>
          </cell>
          <cell r="E228" t="str">
            <v>Крымов Владислав Константинович</v>
          </cell>
          <cell r="F228">
            <v>11</v>
          </cell>
          <cell r="G228">
            <v>16</v>
          </cell>
          <cell r="H228">
            <v>41.217307692307692</v>
          </cell>
          <cell r="I228">
            <v>5</v>
          </cell>
          <cell r="J228">
            <v>3</v>
          </cell>
          <cell r="K228">
            <v>31.312800582267975</v>
          </cell>
          <cell r="L228">
            <v>4</v>
          </cell>
          <cell r="M228">
            <v>3</v>
          </cell>
          <cell r="N228">
            <v>31.14094444444445</v>
          </cell>
          <cell r="O228">
            <v>4</v>
          </cell>
          <cell r="P228">
            <v>3</v>
          </cell>
          <cell r="Q228">
            <v>53</v>
          </cell>
          <cell r="R228">
            <v>6</v>
          </cell>
          <cell r="S228">
            <v>4</v>
          </cell>
          <cell r="Z228">
            <v>52</v>
          </cell>
          <cell r="AB228">
            <v>57.5</v>
          </cell>
          <cell r="AC228">
            <v>5.5</v>
          </cell>
          <cell r="AD228">
            <v>43.576555039821841</v>
          </cell>
          <cell r="AE228" t="str">
            <v>М201БМИЭФ139</v>
          </cell>
        </row>
        <row r="229">
          <cell r="A229">
            <v>226</v>
          </cell>
          <cell r="B229">
            <v>215</v>
          </cell>
          <cell r="C229">
            <v>0.75838926174496646</v>
          </cell>
          <cell r="D229" t="str">
            <v>М201БМИЭФ296</v>
          </cell>
          <cell r="E229" t="str">
            <v>Томилин Артем</v>
          </cell>
          <cell r="F229">
            <v>8</v>
          </cell>
          <cell r="G229">
            <v>12</v>
          </cell>
          <cell r="H229">
            <v>45.967820512820509</v>
          </cell>
          <cell r="I229">
            <v>5</v>
          </cell>
          <cell r="J229">
            <v>3</v>
          </cell>
          <cell r="K229">
            <v>32.575795732045734</v>
          </cell>
          <cell r="L229">
            <v>4</v>
          </cell>
          <cell r="M229">
            <v>3</v>
          </cell>
          <cell r="N229">
            <v>25.966666666666693</v>
          </cell>
          <cell r="O229">
            <v>3</v>
          </cell>
          <cell r="P229">
            <v>2</v>
          </cell>
          <cell r="Q229">
            <v>22</v>
          </cell>
          <cell r="R229">
            <v>1</v>
          </cell>
          <cell r="S229">
            <v>2</v>
          </cell>
          <cell r="Z229">
            <v>63.111111111111114</v>
          </cell>
          <cell r="AB229">
            <v>60.3</v>
          </cell>
          <cell r="AC229">
            <v>5.5</v>
          </cell>
          <cell r="AD229">
            <v>43.440253458662553</v>
          </cell>
          <cell r="AE229" t="str">
            <v>М201БМИЭФ296</v>
          </cell>
        </row>
        <row r="230">
          <cell r="A230">
            <v>227</v>
          </cell>
          <cell r="B230">
            <v>216</v>
          </cell>
          <cell r="C230">
            <v>0.76174496644295298</v>
          </cell>
          <cell r="D230" t="str">
            <v>М201БМИЭФ104</v>
          </cell>
          <cell r="E230" t="str">
            <v>Зезелев Максим Андреевич</v>
          </cell>
          <cell r="F230">
            <v>11</v>
          </cell>
          <cell r="G230">
            <v>14</v>
          </cell>
          <cell r="H230">
            <v>29.501538461538463</v>
          </cell>
          <cell r="I230">
            <v>3</v>
          </cell>
          <cell r="J230">
            <v>2</v>
          </cell>
          <cell r="K230">
            <v>38.421118812347075</v>
          </cell>
          <cell r="L230">
            <v>5</v>
          </cell>
          <cell r="M230">
            <v>3</v>
          </cell>
          <cell r="N230">
            <v>29.625</v>
          </cell>
          <cell r="O230">
            <v>3</v>
          </cell>
          <cell r="P230">
            <v>2</v>
          </cell>
          <cell r="Q230">
            <v>47</v>
          </cell>
          <cell r="R230">
            <v>5</v>
          </cell>
          <cell r="S230">
            <v>3</v>
          </cell>
          <cell r="Z230">
            <v>57.037037037037038</v>
          </cell>
          <cell r="AB230">
            <v>59.3</v>
          </cell>
          <cell r="AC230">
            <v>5.5</v>
          </cell>
          <cell r="AD230">
            <v>43.16085351107683</v>
          </cell>
          <cell r="AE230" t="str">
            <v>М201БМИЭФ104</v>
          </cell>
        </row>
        <row r="231">
          <cell r="A231">
            <v>228</v>
          </cell>
          <cell r="B231">
            <v>217</v>
          </cell>
          <cell r="C231">
            <v>0.7651006711409396</v>
          </cell>
          <cell r="D231" t="str">
            <v>М201БМИЭФ119</v>
          </cell>
          <cell r="E231" t="str">
            <v>Козлова Анна Сергеевна</v>
          </cell>
          <cell r="F231">
            <v>6</v>
          </cell>
          <cell r="G231">
            <v>7</v>
          </cell>
          <cell r="H231">
            <v>32.156217948717952</v>
          </cell>
          <cell r="I231">
            <v>3</v>
          </cell>
          <cell r="J231">
            <v>2</v>
          </cell>
          <cell r="K231">
            <v>19.603202000286778</v>
          </cell>
          <cell r="L231">
            <v>3</v>
          </cell>
          <cell r="M231">
            <v>2</v>
          </cell>
          <cell r="N231">
            <v>23.6277222222222</v>
          </cell>
          <cell r="O231">
            <v>3</v>
          </cell>
          <cell r="P231">
            <v>2</v>
          </cell>
          <cell r="Q231">
            <v>40</v>
          </cell>
          <cell r="R231">
            <v>3</v>
          </cell>
          <cell r="S231">
            <v>2</v>
          </cell>
          <cell r="Z231">
            <v>68.074074074074076</v>
          </cell>
          <cell r="AA231">
            <v>73.333333333333343</v>
          </cell>
          <cell r="AC231">
            <v>5.5</v>
          </cell>
          <cell r="AD231">
            <v>43.053554468842606</v>
          </cell>
          <cell r="AE231" t="str">
            <v>М201БМИЭФ119</v>
          </cell>
        </row>
        <row r="232">
          <cell r="A232">
            <v>229</v>
          </cell>
          <cell r="B232">
            <v>218</v>
          </cell>
          <cell r="C232">
            <v>0.76845637583892612</v>
          </cell>
          <cell r="D232" t="str">
            <v>М201БМИЭФ005</v>
          </cell>
          <cell r="E232" t="str">
            <v>Абдуганиев Бехзод Бахромжон угли</v>
          </cell>
          <cell r="F232">
            <v>4</v>
          </cell>
          <cell r="G232">
            <v>6</v>
          </cell>
          <cell r="H232">
            <v>32.423397435897428</v>
          </cell>
          <cell r="I232">
            <v>3</v>
          </cell>
          <cell r="J232">
            <v>2</v>
          </cell>
          <cell r="K232">
            <v>32.875174768924765</v>
          </cell>
          <cell r="L232">
            <v>4</v>
          </cell>
          <cell r="M232">
            <v>3</v>
          </cell>
          <cell r="N232">
            <v>34.444166666666646</v>
          </cell>
          <cell r="O232">
            <v>4</v>
          </cell>
          <cell r="P232">
            <v>3</v>
          </cell>
          <cell r="Q232">
            <v>52</v>
          </cell>
          <cell r="R232">
            <v>6</v>
          </cell>
          <cell r="S232">
            <v>4</v>
          </cell>
          <cell r="Z232">
            <v>55.777777777777779</v>
          </cell>
          <cell r="AB232">
            <v>54.5</v>
          </cell>
          <cell r="AC232">
            <v>5.5</v>
          </cell>
          <cell r="AD232">
            <v>42.912821208957567</v>
          </cell>
          <cell r="AE232" t="str">
            <v>М201БМИЭФ005</v>
          </cell>
        </row>
        <row r="233">
          <cell r="A233">
            <v>230</v>
          </cell>
          <cell r="B233">
            <v>219</v>
          </cell>
          <cell r="C233">
            <v>0.77181208053691275</v>
          </cell>
          <cell r="D233" t="str">
            <v>М201БМИЭФ113</v>
          </cell>
          <cell r="E233" t="str">
            <v>Караченцов Петр Андреевич</v>
          </cell>
          <cell r="F233">
            <v>2</v>
          </cell>
          <cell r="G233">
            <v>1</v>
          </cell>
          <cell r="H233">
            <v>43.040277777777774</v>
          </cell>
          <cell r="I233">
            <v>5</v>
          </cell>
          <cell r="J233">
            <v>3</v>
          </cell>
          <cell r="K233">
            <v>47.72368749999999</v>
          </cell>
          <cell r="L233">
            <v>6</v>
          </cell>
          <cell r="M233">
            <v>4</v>
          </cell>
          <cell r="N233">
            <v>79.655555555555537</v>
          </cell>
          <cell r="O233">
            <v>8</v>
          </cell>
          <cell r="P233">
            <v>5</v>
          </cell>
          <cell r="T233">
            <v>45</v>
          </cell>
          <cell r="U233">
            <v>5</v>
          </cell>
          <cell r="V233">
            <v>3</v>
          </cell>
          <cell r="Z233">
            <v>39.355555555555554</v>
          </cell>
          <cell r="AB233">
            <v>2</v>
          </cell>
          <cell r="AC233">
            <v>5.5</v>
          </cell>
          <cell r="AD233">
            <v>42.595468434343431</v>
          </cell>
          <cell r="AE233" t="str">
            <v>М201БМИЭФ113</v>
          </cell>
        </row>
        <row r="234">
          <cell r="A234">
            <v>231</v>
          </cell>
          <cell r="B234">
            <v>220</v>
          </cell>
          <cell r="C234">
            <v>0.77516778523489938</v>
          </cell>
          <cell r="D234" t="str">
            <v>М201БМИЭФ253</v>
          </cell>
          <cell r="E234" t="str">
            <v>Хает Марк Игоревич</v>
          </cell>
          <cell r="F234">
            <v>6</v>
          </cell>
          <cell r="G234">
            <v>8</v>
          </cell>
          <cell r="H234">
            <v>38.152243589743591</v>
          </cell>
          <cell r="I234">
            <v>4</v>
          </cell>
          <cell r="J234">
            <v>3</v>
          </cell>
          <cell r="K234">
            <v>43.89330128117588</v>
          </cell>
          <cell r="L234">
            <v>5</v>
          </cell>
          <cell r="M234">
            <v>3</v>
          </cell>
          <cell r="N234">
            <v>31.969722222222199</v>
          </cell>
          <cell r="O234">
            <v>4</v>
          </cell>
          <cell r="P234">
            <v>3</v>
          </cell>
          <cell r="Q234">
            <v>31</v>
          </cell>
          <cell r="R234">
            <v>2</v>
          </cell>
          <cell r="S234">
            <v>2</v>
          </cell>
          <cell r="Z234">
            <v>58</v>
          </cell>
          <cell r="AB234">
            <v>46.5</v>
          </cell>
          <cell r="AC234">
            <v>5.5</v>
          </cell>
          <cell r="AD234">
            <v>42.548230380571219</v>
          </cell>
          <cell r="AE234" t="str">
            <v>М201БМИЭФ253</v>
          </cell>
        </row>
        <row r="235">
          <cell r="A235">
            <v>232</v>
          </cell>
          <cell r="B235">
            <v>221</v>
          </cell>
          <cell r="C235">
            <v>0.77852348993288589</v>
          </cell>
          <cell r="D235" t="str">
            <v>М201БМИЭФ093</v>
          </cell>
          <cell r="E235" t="str">
            <v>Дулин Борис Константинович</v>
          </cell>
          <cell r="F235">
            <v>8</v>
          </cell>
          <cell r="G235">
            <v>12</v>
          </cell>
          <cell r="H235">
            <v>49.239358974358971</v>
          </cell>
          <cell r="I235">
            <v>6</v>
          </cell>
          <cell r="J235">
            <v>4</v>
          </cell>
          <cell r="K235">
            <v>36.392572653192218</v>
          </cell>
          <cell r="L235">
            <v>5</v>
          </cell>
          <cell r="M235">
            <v>3</v>
          </cell>
          <cell r="N235">
            <v>48.0833333333333</v>
          </cell>
          <cell r="O235">
            <v>5</v>
          </cell>
          <cell r="P235">
            <v>3</v>
          </cell>
          <cell r="Q235">
            <v>43</v>
          </cell>
          <cell r="R235">
            <v>5</v>
          </cell>
          <cell r="S235">
            <v>3</v>
          </cell>
          <cell r="Z235">
            <v>59.296296296296291</v>
          </cell>
          <cell r="AB235">
            <v>19.5</v>
          </cell>
          <cell r="AC235">
            <v>5.5</v>
          </cell>
          <cell r="AD235">
            <v>42.54755659221469</v>
          </cell>
          <cell r="AE235" t="str">
            <v>М201БМИЭФ093</v>
          </cell>
        </row>
        <row r="236">
          <cell r="A236">
            <v>233</v>
          </cell>
          <cell r="B236">
            <v>222</v>
          </cell>
          <cell r="C236">
            <v>0.78187919463087252</v>
          </cell>
          <cell r="D236" t="str">
            <v>М201БМИЭФ048</v>
          </cell>
          <cell r="E236" t="str">
            <v>Бовдурец Сергей Сергеевич</v>
          </cell>
          <cell r="F236">
            <v>5</v>
          </cell>
          <cell r="G236">
            <v>8</v>
          </cell>
          <cell r="H236">
            <v>53.305815297202798</v>
          </cell>
          <cell r="I236">
            <v>6</v>
          </cell>
          <cell r="J236">
            <v>4</v>
          </cell>
          <cell r="K236">
            <v>37.997487430993679</v>
          </cell>
          <cell r="L236">
            <v>5</v>
          </cell>
          <cell r="M236">
            <v>3</v>
          </cell>
          <cell r="N236">
            <v>40.516545833333318</v>
          </cell>
          <cell r="O236">
            <v>5</v>
          </cell>
          <cell r="P236">
            <v>3</v>
          </cell>
          <cell r="Q236">
            <v>0</v>
          </cell>
          <cell r="R236">
            <v>1</v>
          </cell>
          <cell r="S236">
            <v>2</v>
          </cell>
          <cell r="Z236">
            <v>49.918518518518511</v>
          </cell>
          <cell r="AB236">
            <v>51.5</v>
          </cell>
          <cell r="AC236">
            <v>5.5</v>
          </cell>
          <cell r="AD236">
            <v>42.406975832736059</v>
          </cell>
          <cell r="AE236" t="str">
            <v>М201БМИЭФ048</v>
          </cell>
        </row>
        <row r="237">
          <cell r="A237">
            <v>234</v>
          </cell>
          <cell r="B237">
            <v>223</v>
          </cell>
          <cell r="C237">
            <v>0.78523489932885904</v>
          </cell>
          <cell r="D237" t="str">
            <v>М201БМИЭФ036</v>
          </cell>
          <cell r="E237" t="str">
            <v>Арчибасова Алина Олеговна</v>
          </cell>
          <cell r="F237">
            <v>6</v>
          </cell>
          <cell r="G237">
            <v>9</v>
          </cell>
          <cell r="H237">
            <v>35.314038461538459</v>
          </cell>
          <cell r="I237">
            <v>4</v>
          </cell>
          <cell r="J237">
            <v>3</v>
          </cell>
          <cell r="K237">
            <v>28.781408766575169</v>
          </cell>
          <cell r="L237">
            <v>4</v>
          </cell>
          <cell r="M237">
            <v>3</v>
          </cell>
          <cell r="N237">
            <v>27.170888888888896</v>
          </cell>
          <cell r="O237">
            <v>3</v>
          </cell>
          <cell r="P237">
            <v>2</v>
          </cell>
          <cell r="Q237">
            <v>42</v>
          </cell>
          <cell r="R237">
            <v>5</v>
          </cell>
          <cell r="S237">
            <v>3</v>
          </cell>
          <cell r="Z237">
            <v>52.925925925925924</v>
          </cell>
          <cell r="AB237">
            <v>67</v>
          </cell>
          <cell r="AC237">
            <v>5.5</v>
          </cell>
          <cell r="AD237">
            <v>42.216774916896085</v>
          </cell>
          <cell r="AE237" t="str">
            <v>М201БМИЭФ036</v>
          </cell>
        </row>
        <row r="238">
          <cell r="A238">
            <v>235</v>
          </cell>
          <cell r="B238">
            <v>224</v>
          </cell>
          <cell r="C238">
            <v>0.78859060402684567</v>
          </cell>
          <cell r="D238" t="str">
            <v>М201БМИЭФ174</v>
          </cell>
          <cell r="E238" t="str">
            <v>Мишуков Егор Дмитриевич</v>
          </cell>
          <cell r="F238">
            <v>7</v>
          </cell>
          <cell r="G238">
            <v>10</v>
          </cell>
          <cell r="H238">
            <v>43.456410256410251</v>
          </cell>
          <cell r="I238">
            <v>5</v>
          </cell>
          <cell r="J238">
            <v>3</v>
          </cell>
          <cell r="K238">
            <v>22.139517676767674</v>
          </cell>
          <cell r="L238">
            <v>3</v>
          </cell>
          <cell r="M238">
            <v>2</v>
          </cell>
          <cell r="N238">
            <v>33.25</v>
          </cell>
          <cell r="O238">
            <v>4</v>
          </cell>
          <cell r="P238">
            <v>3</v>
          </cell>
          <cell r="Q238">
            <v>41</v>
          </cell>
          <cell r="R238">
            <v>5</v>
          </cell>
          <cell r="S238">
            <v>3</v>
          </cell>
          <cell r="Z238">
            <v>60.814814814814817</v>
          </cell>
          <cell r="AA238">
            <v>51.666666666666671</v>
          </cell>
          <cell r="AC238">
            <v>5.5</v>
          </cell>
          <cell r="AD238">
            <v>42.150438075392621</v>
          </cell>
          <cell r="AE238" t="str">
            <v>М201БМИЭФ174</v>
          </cell>
        </row>
        <row r="239">
          <cell r="A239">
            <v>236</v>
          </cell>
          <cell r="B239">
            <v>225</v>
          </cell>
          <cell r="C239">
            <v>0.79194630872483218</v>
          </cell>
          <cell r="D239" t="str">
            <v>М201БМИЭФ252</v>
          </cell>
          <cell r="E239" t="str">
            <v>Фролов Артем Дмитриевич</v>
          </cell>
          <cell r="F239">
            <v>10</v>
          </cell>
          <cell r="G239">
            <v>15</v>
          </cell>
          <cell r="H239">
            <v>41.500064102564103</v>
          </cell>
          <cell r="I239">
            <v>5</v>
          </cell>
          <cell r="J239">
            <v>3</v>
          </cell>
          <cell r="K239">
            <v>21.438885281385279</v>
          </cell>
          <cell r="L239">
            <v>3</v>
          </cell>
          <cell r="M239">
            <v>2</v>
          </cell>
          <cell r="N239">
            <v>42.183611111111148</v>
          </cell>
          <cell r="O239">
            <v>5</v>
          </cell>
          <cell r="P239">
            <v>3</v>
          </cell>
          <cell r="Q239">
            <v>35</v>
          </cell>
          <cell r="R239">
            <v>4</v>
          </cell>
          <cell r="S239">
            <v>3</v>
          </cell>
          <cell r="Z239">
            <v>42.592592592592595</v>
          </cell>
          <cell r="AA239">
            <v>66.333333333333343</v>
          </cell>
          <cell r="AC239">
            <v>5.5</v>
          </cell>
          <cell r="AD239">
            <v>42.099724803815718</v>
          </cell>
          <cell r="AE239" t="str">
            <v>М201БМИЭФ252</v>
          </cell>
        </row>
        <row r="240">
          <cell r="A240">
            <v>237</v>
          </cell>
          <cell r="B240">
            <v>226</v>
          </cell>
          <cell r="C240">
            <v>0.79530201342281881</v>
          </cell>
          <cell r="D240" t="str">
            <v>М201БМИЭФ183</v>
          </cell>
          <cell r="E240" t="str">
            <v>Нерсесян Аристарх Робертович</v>
          </cell>
          <cell r="F240">
            <v>10</v>
          </cell>
          <cell r="G240">
            <v>15</v>
          </cell>
          <cell r="H240">
            <v>30.766987179487181</v>
          </cell>
          <cell r="I240">
            <v>3</v>
          </cell>
          <cell r="J240">
            <v>2</v>
          </cell>
          <cell r="K240">
            <v>23.016673881673881</v>
          </cell>
          <cell r="L240">
            <v>3</v>
          </cell>
          <cell r="M240">
            <v>2</v>
          </cell>
          <cell r="N240">
            <v>49.943277777777794</v>
          </cell>
          <cell r="O240">
            <v>5</v>
          </cell>
          <cell r="P240">
            <v>3</v>
          </cell>
          <cell r="Q240">
            <v>29</v>
          </cell>
          <cell r="R240">
            <v>2</v>
          </cell>
          <cell r="S240">
            <v>2</v>
          </cell>
          <cell r="Z240">
            <v>56.518518518518519</v>
          </cell>
          <cell r="AB240">
            <v>55</v>
          </cell>
          <cell r="AC240">
            <v>5.5</v>
          </cell>
          <cell r="AD240">
            <v>41.771901337719527</v>
          </cell>
          <cell r="AE240" t="str">
            <v>М201БМИЭФ183</v>
          </cell>
        </row>
        <row r="241">
          <cell r="A241">
            <v>238</v>
          </cell>
          <cell r="B241">
            <v>227</v>
          </cell>
          <cell r="C241">
            <v>0.79865771812080533</v>
          </cell>
          <cell r="D241" t="str">
            <v>М201БМИЭФ021</v>
          </cell>
          <cell r="E241" t="str">
            <v>Хашимов Жасур Фарходович</v>
          </cell>
          <cell r="F241" t="str">
            <v>12 online</v>
          </cell>
          <cell r="G241" t="str">
            <v>17 online</v>
          </cell>
          <cell r="H241">
            <v>31.160384615384615</v>
          </cell>
          <cell r="I241">
            <v>3</v>
          </cell>
          <cell r="J241">
            <v>2</v>
          </cell>
          <cell r="K241">
            <v>34.672811902811901</v>
          </cell>
          <cell r="L241">
            <v>4</v>
          </cell>
          <cell r="M241">
            <v>3</v>
          </cell>
          <cell r="N241">
            <v>39.93655555555555</v>
          </cell>
          <cell r="O241">
            <v>4</v>
          </cell>
          <cell r="P241">
            <v>3</v>
          </cell>
          <cell r="Q241">
            <v>39</v>
          </cell>
          <cell r="R241">
            <v>4</v>
          </cell>
          <cell r="S241">
            <v>3</v>
          </cell>
          <cell r="Z241">
            <v>71.555555555555557</v>
          </cell>
          <cell r="AB241">
            <v>32.5</v>
          </cell>
          <cell r="AC241">
            <v>5.5</v>
          </cell>
          <cell r="AD241">
            <v>41.695510478055937</v>
          </cell>
          <cell r="AE241" t="str">
            <v>М201БМИЭФ021</v>
          </cell>
        </row>
        <row r="242">
          <cell r="A242">
            <v>239</v>
          </cell>
          <cell r="B242">
            <v>228</v>
          </cell>
          <cell r="C242">
            <v>0.80201342281879195</v>
          </cell>
          <cell r="D242" t="str">
            <v>М201БМИЭФ202</v>
          </cell>
          <cell r="E242" t="str">
            <v>Прусаков Андрей Денисович</v>
          </cell>
          <cell r="F242">
            <v>9</v>
          </cell>
          <cell r="G242">
            <v>16</v>
          </cell>
          <cell r="H242">
            <v>35.501730769230768</v>
          </cell>
          <cell r="I242">
            <v>4</v>
          </cell>
          <cell r="J242">
            <v>3</v>
          </cell>
          <cell r="K242">
            <v>25.297857936507938</v>
          </cell>
          <cell r="L242">
            <v>4</v>
          </cell>
          <cell r="M242">
            <v>3</v>
          </cell>
          <cell r="N242">
            <v>41.79766666666665</v>
          </cell>
          <cell r="O242">
            <v>5</v>
          </cell>
          <cell r="P242">
            <v>3</v>
          </cell>
          <cell r="Q242">
            <v>47</v>
          </cell>
          <cell r="R242">
            <v>5</v>
          </cell>
          <cell r="S242">
            <v>3</v>
          </cell>
          <cell r="Z242">
            <v>51.518518518518519</v>
          </cell>
          <cell r="AB242">
            <v>51.5</v>
          </cell>
          <cell r="AC242">
            <v>5.5</v>
          </cell>
          <cell r="AD242">
            <v>41.657413434713433</v>
          </cell>
          <cell r="AE242" t="str">
            <v>М201БМИЭФ202</v>
          </cell>
        </row>
        <row r="243">
          <cell r="A243">
            <v>240</v>
          </cell>
          <cell r="B243">
            <v>229</v>
          </cell>
          <cell r="C243">
            <v>0.80536912751677847</v>
          </cell>
          <cell r="D243" t="str">
            <v>М201БМИЭФ246</v>
          </cell>
          <cell r="E243" t="str">
            <v>Ушакова Дарья Андреевна</v>
          </cell>
          <cell r="F243">
            <v>11</v>
          </cell>
          <cell r="G243">
            <v>15</v>
          </cell>
          <cell r="H243">
            <v>34.34685897435898</v>
          </cell>
          <cell r="I243">
            <v>4</v>
          </cell>
          <cell r="J243">
            <v>3</v>
          </cell>
          <cell r="K243">
            <v>36.196922172030867</v>
          </cell>
          <cell r="L243">
            <v>5</v>
          </cell>
          <cell r="M243">
            <v>3</v>
          </cell>
          <cell r="N243">
            <v>48.389111111111148</v>
          </cell>
          <cell r="O243">
            <v>5</v>
          </cell>
          <cell r="P243">
            <v>3</v>
          </cell>
          <cell r="Q243">
            <v>36</v>
          </cell>
          <cell r="R243">
            <v>3</v>
          </cell>
          <cell r="S243">
            <v>2</v>
          </cell>
          <cell r="Z243">
            <v>53.962962962962962</v>
          </cell>
          <cell r="AB243">
            <v>38.200000000000003</v>
          </cell>
          <cell r="AC243">
            <v>5.5</v>
          </cell>
          <cell r="AD243">
            <v>41.653791858266182</v>
          </cell>
          <cell r="AE243" t="str">
            <v>М201БМИЭФ246</v>
          </cell>
        </row>
        <row r="244">
          <cell r="A244">
            <v>241</v>
          </cell>
          <cell r="B244">
            <v>230</v>
          </cell>
          <cell r="C244">
            <v>0.8087248322147651</v>
          </cell>
          <cell r="D244" t="str">
            <v>М201БМИЭФ258</v>
          </cell>
          <cell r="E244" t="str">
            <v>Чернуха Алексей Алексеевич</v>
          </cell>
          <cell r="F244">
            <v>4</v>
          </cell>
          <cell r="G244">
            <v>5</v>
          </cell>
          <cell r="H244">
            <v>29.1675</v>
          </cell>
          <cell r="I244">
            <v>3</v>
          </cell>
          <cell r="J244">
            <v>2</v>
          </cell>
          <cell r="K244">
            <v>23.10748396123396</v>
          </cell>
          <cell r="L244">
            <v>3</v>
          </cell>
          <cell r="M244">
            <v>2</v>
          </cell>
          <cell r="N244">
            <v>34.696777777777797</v>
          </cell>
          <cell r="O244">
            <v>4</v>
          </cell>
          <cell r="P244">
            <v>3</v>
          </cell>
          <cell r="Q244">
            <v>39</v>
          </cell>
          <cell r="R244">
            <v>4</v>
          </cell>
          <cell r="S244">
            <v>3</v>
          </cell>
          <cell r="Z244">
            <v>66.259259259259267</v>
          </cell>
          <cell r="AB244">
            <v>55.2</v>
          </cell>
          <cell r="AC244">
            <v>5.5</v>
          </cell>
          <cell r="AD244">
            <v>41.442003817867459</v>
          </cell>
          <cell r="AE244" t="str">
            <v>М201БМИЭФ258</v>
          </cell>
        </row>
        <row r="245">
          <cell r="A245">
            <v>242</v>
          </cell>
          <cell r="B245">
            <v>231</v>
          </cell>
          <cell r="C245">
            <v>0.81208053691275173</v>
          </cell>
          <cell r="D245" t="str">
            <v>М201БМИЭФ181</v>
          </cell>
          <cell r="E245" t="str">
            <v>Насонов Руслан Денисович</v>
          </cell>
          <cell r="F245">
            <v>1</v>
          </cell>
          <cell r="G245">
            <v>2</v>
          </cell>
          <cell r="H245">
            <v>30.527564102564099</v>
          </cell>
          <cell r="I245">
            <v>3</v>
          </cell>
          <cell r="J245">
            <v>2</v>
          </cell>
          <cell r="K245">
            <v>33.984289754689755</v>
          </cell>
          <cell r="L245">
            <v>4</v>
          </cell>
          <cell r="M245">
            <v>3</v>
          </cell>
          <cell r="N245">
            <v>34.933777777777792</v>
          </cell>
          <cell r="O245">
            <v>4</v>
          </cell>
          <cell r="P245">
            <v>3</v>
          </cell>
          <cell r="Q245">
            <v>18</v>
          </cell>
          <cell r="R245">
            <v>1</v>
          </cell>
          <cell r="S245">
            <v>2</v>
          </cell>
          <cell r="Z245">
            <v>68.851851851851848</v>
          </cell>
          <cell r="AB245">
            <v>49.8</v>
          </cell>
          <cell r="AC245">
            <v>5.5</v>
          </cell>
          <cell r="AD245">
            <v>41.290451543069729</v>
          </cell>
          <cell r="AE245" t="str">
            <v>М201БМИЭФ181</v>
          </cell>
        </row>
        <row r="246">
          <cell r="A246">
            <v>243</v>
          </cell>
          <cell r="B246">
            <v>232</v>
          </cell>
          <cell r="C246">
            <v>0.81543624161073824</v>
          </cell>
          <cell r="D246" t="str">
            <v>М201БМИЭФ135</v>
          </cell>
          <cell r="E246" t="str">
            <v>Кошелев Емельян Александрович</v>
          </cell>
          <cell r="F246">
            <v>1</v>
          </cell>
          <cell r="G246">
            <v>3</v>
          </cell>
          <cell r="H246">
            <v>46.842884615384619</v>
          </cell>
          <cell r="I246">
            <v>5</v>
          </cell>
          <cell r="J246">
            <v>3</v>
          </cell>
          <cell r="K246">
            <v>39.422268975468974</v>
          </cell>
          <cell r="L246">
            <v>5</v>
          </cell>
          <cell r="M246">
            <v>3</v>
          </cell>
          <cell r="N246">
            <v>31.374111111111098</v>
          </cell>
          <cell r="O246">
            <v>4</v>
          </cell>
          <cell r="P246">
            <v>3</v>
          </cell>
          <cell r="T246">
            <v>23</v>
          </cell>
          <cell r="U246">
            <v>2</v>
          </cell>
          <cell r="V246">
            <v>2</v>
          </cell>
          <cell r="Z246">
            <v>49.629629629629626</v>
          </cell>
          <cell r="AB246">
            <v>48</v>
          </cell>
          <cell r="AC246">
            <v>5.5</v>
          </cell>
          <cell r="AD246">
            <v>41.230708060289878</v>
          </cell>
          <cell r="AE246" t="str">
            <v>М201БМИЭФ135</v>
          </cell>
        </row>
        <row r="247">
          <cell r="A247">
            <v>244</v>
          </cell>
          <cell r="B247">
            <v>233</v>
          </cell>
          <cell r="C247">
            <v>0.81879194630872487</v>
          </cell>
          <cell r="D247" t="str">
            <v>М201БМИЭФ078</v>
          </cell>
          <cell r="E247" t="str">
            <v>Гозгешев Эльдар Альбертович</v>
          </cell>
          <cell r="F247">
            <v>6</v>
          </cell>
          <cell r="G247">
            <v>8</v>
          </cell>
          <cell r="H247">
            <v>32.034807692307695</v>
          </cell>
          <cell r="I247">
            <v>3</v>
          </cell>
          <cell r="J247">
            <v>2</v>
          </cell>
          <cell r="K247">
            <v>34.198769622771202</v>
          </cell>
          <cell r="L247">
            <v>4</v>
          </cell>
          <cell r="M247">
            <v>3</v>
          </cell>
          <cell r="N247">
            <v>28.789166666666695</v>
          </cell>
          <cell r="O247">
            <v>3</v>
          </cell>
          <cell r="P247">
            <v>2</v>
          </cell>
          <cell r="Q247">
            <v>45</v>
          </cell>
          <cell r="R247">
            <v>3</v>
          </cell>
          <cell r="S247">
            <v>2</v>
          </cell>
          <cell r="Z247">
            <v>56.296296296296291</v>
          </cell>
          <cell r="AB247">
            <v>52.5</v>
          </cell>
          <cell r="AC247">
            <v>5.5</v>
          </cell>
          <cell r="AD247">
            <v>41.148916414189436</v>
          </cell>
          <cell r="AE247" t="str">
            <v>М201БМИЭФ078</v>
          </cell>
        </row>
        <row r="248">
          <cell r="A248">
            <v>245</v>
          </cell>
          <cell r="B248">
            <v>234</v>
          </cell>
          <cell r="C248">
            <v>0.82214765100671139</v>
          </cell>
          <cell r="D248" t="str">
            <v>М201БМИЭФ244</v>
          </cell>
          <cell r="E248" t="str">
            <v>Уразбахтин Радмир Расихович</v>
          </cell>
          <cell r="F248">
            <v>7</v>
          </cell>
          <cell r="G248">
            <v>12</v>
          </cell>
          <cell r="H248">
            <v>35.936346153846159</v>
          </cell>
          <cell r="I248">
            <v>4</v>
          </cell>
          <cell r="J248">
            <v>3</v>
          </cell>
          <cell r="K248">
            <v>19.718807720057718</v>
          </cell>
          <cell r="L248">
            <v>3</v>
          </cell>
          <cell r="M248">
            <v>2</v>
          </cell>
          <cell r="N248">
            <v>19.583333333333343</v>
          </cell>
          <cell r="O248">
            <v>2</v>
          </cell>
          <cell r="P248">
            <v>2</v>
          </cell>
          <cell r="Q248">
            <v>66</v>
          </cell>
          <cell r="R248">
            <v>7</v>
          </cell>
          <cell r="S248">
            <v>4</v>
          </cell>
          <cell r="Z248">
            <v>66.148148148148152</v>
          </cell>
          <cell r="AB248">
            <v>51.5</v>
          </cell>
          <cell r="AC248">
            <v>5.5</v>
          </cell>
          <cell r="AD248">
            <v>41.070297337342794</v>
          </cell>
          <cell r="AE248" t="str">
            <v>М201БМИЭФ244</v>
          </cell>
        </row>
        <row r="249">
          <cell r="A249">
            <v>246</v>
          </cell>
          <cell r="B249">
            <v>235</v>
          </cell>
          <cell r="C249">
            <v>0.82550335570469802</v>
          </cell>
          <cell r="D249" t="str">
            <v>М201БМИЭФ125</v>
          </cell>
          <cell r="E249" t="str">
            <v>Колчин Борис Олегович</v>
          </cell>
          <cell r="F249">
            <v>11</v>
          </cell>
          <cell r="G249">
            <v>14</v>
          </cell>
          <cell r="H249">
            <v>39.997564102564098</v>
          </cell>
          <cell r="I249">
            <v>4</v>
          </cell>
          <cell r="J249">
            <v>3</v>
          </cell>
          <cell r="K249">
            <v>29.137908134136392</v>
          </cell>
          <cell r="L249">
            <v>4</v>
          </cell>
          <cell r="M249">
            <v>3</v>
          </cell>
          <cell r="N249">
            <v>24.926333333333346</v>
          </cell>
          <cell r="O249">
            <v>3</v>
          </cell>
          <cell r="P249">
            <v>2</v>
          </cell>
          <cell r="Q249">
            <v>38</v>
          </cell>
          <cell r="R249">
            <v>4</v>
          </cell>
          <cell r="S249">
            <v>3</v>
          </cell>
          <cell r="Z249">
            <v>59.962962962962962</v>
          </cell>
          <cell r="AB249">
            <v>52.4</v>
          </cell>
          <cell r="AC249">
            <v>5.5</v>
          </cell>
          <cell r="AD249">
            <v>40.986321551453962</v>
          </cell>
          <cell r="AE249" t="str">
            <v>М201БМИЭФ125</v>
          </cell>
        </row>
        <row r="250">
          <cell r="A250">
            <v>247</v>
          </cell>
          <cell r="B250">
            <v>236</v>
          </cell>
          <cell r="C250">
            <v>0.82885906040268453</v>
          </cell>
          <cell r="D250" t="str">
            <v>М201БМИЭФ176</v>
          </cell>
          <cell r="E250" t="str">
            <v>Монгуш Валерия Аясовна</v>
          </cell>
          <cell r="F250">
            <v>9</v>
          </cell>
          <cell r="G250">
            <v>15</v>
          </cell>
          <cell r="H250">
            <v>35.382628205128206</v>
          </cell>
          <cell r="I250">
            <v>4</v>
          </cell>
          <cell r="J250">
            <v>3</v>
          </cell>
          <cell r="K250">
            <v>34.220841341991346</v>
          </cell>
          <cell r="L250">
            <v>4</v>
          </cell>
          <cell r="M250">
            <v>3</v>
          </cell>
          <cell r="N250">
            <v>27.061999999999994</v>
          </cell>
          <cell r="O250">
            <v>3</v>
          </cell>
          <cell r="P250">
            <v>2</v>
          </cell>
          <cell r="Q250">
            <v>63</v>
          </cell>
          <cell r="R250">
            <v>7</v>
          </cell>
          <cell r="S250">
            <v>4</v>
          </cell>
          <cell r="Z250">
            <v>57.370370370370381</v>
          </cell>
          <cell r="AB250">
            <v>39</v>
          </cell>
          <cell r="AC250">
            <v>5.5</v>
          </cell>
          <cell r="AD250">
            <v>40.824698166816347</v>
          </cell>
          <cell r="AE250" t="str">
            <v>М201БМИЭФ176</v>
          </cell>
        </row>
        <row r="251">
          <cell r="A251">
            <v>248</v>
          </cell>
          <cell r="B251">
            <v>237</v>
          </cell>
          <cell r="C251">
            <v>0.83221476510067116</v>
          </cell>
          <cell r="D251" t="str">
            <v>М201БМИЭФ101</v>
          </cell>
          <cell r="E251" t="str">
            <v>Жученко Алла Сергеевна</v>
          </cell>
          <cell r="F251">
            <v>4</v>
          </cell>
          <cell r="G251">
            <v>6</v>
          </cell>
          <cell r="H251">
            <v>40.736666666666672</v>
          </cell>
          <cell r="I251">
            <v>5</v>
          </cell>
          <cell r="J251">
            <v>3</v>
          </cell>
          <cell r="K251">
            <v>31.718935055185053</v>
          </cell>
          <cell r="L251">
            <v>4</v>
          </cell>
          <cell r="M251">
            <v>3</v>
          </cell>
          <cell r="N251">
            <v>29.543555555555542</v>
          </cell>
          <cell r="O251">
            <v>3</v>
          </cell>
          <cell r="P251">
            <v>2</v>
          </cell>
          <cell r="Q251">
            <v>33</v>
          </cell>
          <cell r="R251">
            <v>4</v>
          </cell>
          <cell r="S251">
            <v>3</v>
          </cell>
          <cell r="Z251">
            <v>44.74074074074074</v>
          </cell>
          <cell r="AB251">
            <v>61</v>
          </cell>
          <cell r="AC251">
            <v>5.5</v>
          </cell>
          <cell r="AD251">
            <v>40.770890548754181</v>
          </cell>
          <cell r="AE251" t="str">
            <v>М201БМИЭФ101</v>
          </cell>
        </row>
        <row r="252">
          <cell r="A252">
            <v>249</v>
          </cell>
          <cell r="B252">
            <v>238</v>
          </cell>
          <cell r="C252">
            <v>0.83557046979865768</v>
          </cell>
          <cell r="D252" t="str">
            <v>М201БМИЭФ218</v>
          </cell>
          <cell r="E252" t="str">
            <v>Секрет Татьяна Андреевна</v>
          </cell>
          <cell r="F252">
            <v>6</v>
          </cell>
          <cell r="G252">
            <v>8</v>
          </cell>
          <cell r="H252">
            <v>46.432500000000005</v>
          </cell>
          <cell r="I252">
            <v>5</v>
          </cell>
          <cell r="J252">
            <v>3</v>
          </cell>
          <cell r="K252">
            <v>24.638814249980651</v>
          </cell>
          <cell r="L252">
            <v>3</v>
          </cell>
          <cell r="M252">
            <v>2</v>
          </cell>
          <cell r="N252">
            <v>31.607444444444443</v>
          </cell>
          <cell r="O252">
            <v>4</v>
          </cell>
          <cell r="P252">
            <v>3</v>
          </cell>
          <cell r="Q252">
            <v>45</v>
          </cell>
          <cell r="R252">
            <v>3</v>
          </cell>
          <cell r="S252">
            <v>2</v>
          </cell>
          <cell r="Z252">
            <v>50.666666666666671</v>
          </cell>
          <cell r="AB252">
            <v>47.5</v>
          </cell>
          <cell r="AC252">
            <v>5.5</v>
          </cell>
          <cell r="AD252">
            <v>40.608259156562141</v>
          </cell>
          <cell r="AE252" t="str">
            <v>М201БМИЭФ218</v>
          </cell>
        </row>
        <row r="253">
          <cell r="A253">
            <v>250</v>
          </cell>
          <cell r="B253">
            <v>239</v>
          </cell>
          <cell r="C253">
            <v>0.83892617449664431</v>
          </cell>
          <cell r="D253" t="str">
            <v>М201БМИЭФ235</v>
          </cell>
          <cell r="E253" t="str">
            <v>Тесленко Петр Олегович</v>
          </cell>
          <cell r="F253">
            <v>9</v>
          </cell>
          <cell r="G253">
            <v>14</v>
          </cell>
          <cell r="H253">
            <v>38.343627884615387</v>
          </cell>
          <cell r="I253">
            <v>4</v>
          </cell>
          <cell r="J253">
            <v>3</v>
          </cell>
          <cell r="K253">
            <v>29.31</v>
          </cell>
          <cell r="L253">
            <v>4</v>
          </cell>
          <cell r="M253">
            <v>3</v>
          </cell>
          <cell r="N253">
            <v>27.632166666666649</v>
          </cell>
          <cell r="O253">
            <v>3</v>
          </cell>
          <cell r="P253">
            <v>2</v>
          </cell>
          <cell r="T253">
            <v>56</v>
          </cell>
          <cell r="U253">
            <v>6</v>
          </cell>
          <cell r="V253">
            <v>4</v>
          </cell>
          <cell r="Z253">
            <v>68.962962962962962</v>
          </cell>
          <cell r="AB253">
            <v>30.4</v>
          </cell>
          <cell r="AC253">
            <v>5.5</v>
          </cell>
          <cell r="AD253">
            <v>40.481592275317276</v>
          </cell>
          <cell r="AE253" t="str">
            <v>М201БМИЭФ235</v>
          </cell>
        </row>
        <row r="254">
          <cell r="A254">
            <v>251</v>
          </cell>
          <cell r="B254">
            <v>240</v>
          </cell>
          <cell r="C254">
            <v>0.84228187919463082</v>
          </cell>
          <cell r="D254" t="str">
            <v>М201БМИЭФ050</v>
          </cell>
          <cell r="E254" t="str">
            <v>Богомолова Дарья Евгеньевна</v>
          </cell>
          <cell r="F254">
            <v>10</v>
          </cell>
          <cell r="G254">
            <v>15</v>
          </cell>
          <cell r="H254">
            <v>35.362297435897439</v>
          </cell>
          <cell r="I254">
            <v>4</v>
          </cell>
          <cell r="J254">
            <v>3</v>
          </cell>
          <cell r="K254">
            <v>26.932626488095231</v>
          </cell>
          <cell r="L254">
            <v>4</v>
          </cell>
          <cell r="M254">
            <v>3</v>
          </cell>
          <cell r="N254">
            <v>34.944826388888913</v>
          </cell>
          <cell r="O254">
            <v>4</v>
          </cell>
          <cell r="P254">
            <v>3</v>
          </cell>
          <cell r="Q254">
            <v>49</v>
          </cell>
          <cell r="R254">
            <v>5</v>
          </cell>
          <cell r="S254">
            <v>3</v>
          </cell>
          <cell r="Z254">
            <v>42.379629629629619</v>
          </cell>
          <cell r="AB254">
            <v>58.5</v>
          </cell>
          <cell r="AC254">
            <v>5.5</v>
          </cell>
          <cell r="AD254">
            <v>40.476250898638405</v>
          </cell>
          <cell r="AE254" t="str">
            <v>М201БМИЭФ050</v>
          </cell>
        </row>
        <row r="255">
          <cell r="A255">
            <v>252</v>
          </cell>
          <cell r="B255">
            <v>241</v>
          </cell>
          <cell r="C255">
            <v>0.84563758389261745</v>
          </cell>
          <cell r="D255" t="str">
            <v>М201БМИЭФ006</v>
          </cell>
          <cell r="E255" t="str">
            <v>Агакишиева Нигар Исмаиловна</v>
          </cell>
          <cell r="F255">
            <v>7</v>
          </cell>
          <cell r="G255">
            <v>10</v>
          </cell>
          <cell r="H255">
            <v>50.639551282051286</v>
          </cell>
          <cell r="I255">
            <v>6</v>
          </cell>
          <cell r="J255">
            <v>4</v>
          </cell>
          <cell r="K255">
            <v>38.414113636363631</v>
          </cell>
          <cell r="L255">
            <v>5</v>
          </cell>
          <cell r="M255">
            <v>3</v>
          </cell>
          <cell r="N255">
            <v>35.783333333333331</v>
          </cell>
          <cell r="O255">
            <v>4</v>
          </cell>
          <cell r="P255">
            <v>3</v>
          </cell>
          <cell r="Q255">
            <v>25</v>
          </cell>
          <cell r="R255">
            <v>3</v>
          </cell>
          <cell r="S255">
            <v>2</v>
          </cell>
          <cell r="Z255">
            <v>47.703703703703709</v>
          </cell>
          <cell r="AB255">
            <v>37.5</v>
          </cell>
          <cell r="AC255">
            <v>5.5</v>
          </cell>
          <cell r="AD255">
            <v>40.46194581008217</v>
          </cell>
          <cell r="AE255" t="str">
            <v>М201БМИЭФ006</v>
          </cell>
        </row>
        <row r="256">
          <cell r="A256">
            <v>253</v>
          </cell>
          <cell r="B256">
            <v>242</v>
          </cell>
          <cell r="C256">
            <v>0.84899328859060408</v>
          </cell>
          <cell r="D256" t="str">
            <v>М201БМИЭФ162</v>
          </cell>
          <cell r="E256" t="str">
            <v>Марковская Анастасия Дмитриевна</v>
          </cell>
          <cell r="F256">
            <v>9</v>
          </cell>
          <cell r="G256">
            <v>15</v>
          </cell>
          <cell r="H256">
            <v>32.005128205128202</v>
          </cell>
          <cell r="I256">
            <v>3</v>
          </cell>
          <cell r="J256">
            <v>2</v>
          </cell>
          <cell r="K256">
            <v>22.351076334776337</v>
          </cell>
          <cell r="L256">
            <v>3</v>
          </cell>
          <cell r="M256">
            <v>2</v>
          </cell>
          <cell r="N256">
            <v>22.915777777777755</v>
          </cell>
          <cell r="O256">
            <v>3</v>
          </cell>
          <cell r="P256">
            <v>2</v>
          </cell>
          <cell r="Q256">
            <v>42</v>
          </cell>
          <cell r="R256">
            <v>5</v>
          </cell>
          <cell r="S256">
            <v>3</v>
          </cell>
          <cell r="Z256">
            <v>60.888888888888886</v>
          </cell>
          <cell r="AB256">
            <v>62</v>
          </cell>
          <cell r="AC256">
            <v>5.5</v>
          </cell>
          <cell r="AD256">
            <v>40.211067492103851</v>
          </cell>
          <cell r="AE256" t="str">
            <v>М201БМИЭФ162</v>
          </cell>
        </row>
        <row r="257">
          <cell r="A257">
            <v>254</v>
          </cell>
          <cell r="B257">
            <v>243</v>
          </cell>
          <cell r="C257">
            <v>0.8523489932885906</v>
          </cell>
          <cell r="D257" t="str">
            <v>М201БМИЭФ154</v>
          </cell>
          <cell r="E257" t="str">
            <v>Мазурин Даниил Денисович</v>
          </cell>
          <cell r="F257">
            <v>5</v>
          </cell>
          <cell r="G257">
            <v>7</v>
          </cell>
          <cell r="H257">
            <v>32.604230769230767</v>
          </cell>
          <cell r="I257">
            <v>3</v>
          </cell>
          <cell r="J257">
            <v>2</v>
          </cell>
          <cell r="K257">
            <v>32.030010192051201</v>
          </cell>
          <cell r="L257">
            <v>4</v>
          </cell>
          <cell r="M257">
            <v>3</v>
          </cell>
          <cell r="N257">
            <v>21.373111111111122</v>
          </cell>
          <cell r="O257">
            <v>3</v>
          </cell>
          <cell r="P257">
            <v>2</v>
          </cell>
          <cell r="T257">
            <v>37</v>
          </cell>
          <cell r="U257">
            <v>4</v>
          </cell>
          <cell r="V257">
            <v>3</v>
          </cell>
          <cell r="Z257">
            <v>60.333333333333329</v>
          </cell>
          <cell r="AA257">
            <v>55.666666666666664</v>
          </cell>
          <cell r="AC257">
            <v>5.5</v>
          </cell>
          <cell r="AD257">
            <v>40.092245831344194</v>
          </cell>
          <cell r="AE257" t="str">
            <v>М201БМИЭФ154</v>
          </cell>
        </row>
        <row r="258">
          <cell r="A258">
            <v>255</v>
          </cell>
          <cell r="B258">
            <v>244</v>
          </cell>
          <cell r="C258">
            <v>0.85570469798657722</v>
          </cell>
          <cell r="D258" t="str">
            <v>М201БМИЭФ232</v>
          </cell>
          <cell r="E258" t="str">
            <v>Тангиев Идрис Ибрагимович</v>
          </cell>
          <cell r="F258">
            <v>4</v>
          </cell>
          <cell r="G258">
            <v>6</v>
          </cell>
          <cell r="H258">
            <v>50.901089743589736</v>
          </cell>
          <cell r="I258">
            <v>6</v>
          </cell>
          <cell r="J258">
            <v>4</v>
          </cell>
          <cell r="K258">
            <v>23.518644114894112</v>
          </cell>
          <cell r="L258">
            <v>3</v>
          </cell>
          <cell r="M258">
            <v>2</v>
          </cell>
          <cell r="N258">
            <v>16.966666666666665</v>
          </cell>
          <cell r="O258">
            <v>2</v>
          </cell>
          <cell r="P258">
            <v>2</v>
          </cell>
          <cell r="T258">
            <v>54</v>
          </cell>
          <cell r="U258">
            <v>6</v>
          </cell>
          <cell r="V258">
            <v>4</v>
          </cell>
          <cell r="Z258">
            <v>59.296296296296291</v>
          </cell>
          <cell r="AB258">
            <v>42</v>
          </cell>
          <cell r="AC258">
            <v>5.5</v>
          </cell>
          <cell r="AD258">
            <v>39.94230851299033</v>
          </cell>
          <cell r="AE258" t="str">
            <v>М201БМИЭФ232</v>
          </cell>
        </row>
        <row r="259">
          <cell r="A259">
            <v>256</v>
          </cell>
          <cell r="B259">
            <v>245</v>
          </cell>
          <cell r="C259">
            <v>0.85906040268456374</v>
          </cell>
          <cell r="D259" t="str">
            <v>М201БМИЭФ153</v>
          </cell>
          <cell r="E259" t="str">
            <v>Магамедова Анна Сергеевна</v>
          </cell>
          <cell r="F259">
            <v>5</v>
          </cell>
          <cell r="G259">
            <v>9</v>
          </cell>
          <cell r="H259">
            <v>27.446538461538463</v>
          </cell>
          <cell r="I259">
            <v>3</v>
          </cell>
          <cell r="J259">
            <v>2</v>
          </cell>
          <cell r="K259">
            <v>27.042374837833041</v>
          </cell>
          <cell r="L259">
            <v>4</v>
          </cell>
          <cell r="M259">
            <v>3</v>
          </cell>
          <cell r="N259">
            <v>27.573666666666693</v>
          </cell>
          <cell r="O259">
            <v>3</v>
          </cell>
          <cell r="P259">
            <v>2</v>
          </cell>
          <cell r="Q259">
            <v>35</v>
          </cell>
          <cell r="R259">
            <v>3</v>
          </cell>
          <cell r="S259">
            <v>2</v>
          </cell>
          <cell r="Z259">
            <v>63.481481481481481</v>
          </cell>
          <cell r="AB259">
            <v>56</v>
          </cell>
          <cell r="AC259">
            <v>5.5</v>
          </cell>
          <cell r="AD259">
            <v>39.826192990458125</v>
          </cell>
          <cell r="AE259" t="str">
            <v>М201БМИЭФ153</v>
          </cell>
        </row>
        <row r="260">
          <cell r="A260">
            <v>257</v>
          </cell>
          <cell r="B260">
            <v>246</v>
          </cell>
          <cell r="C260">
            <v>0.86241610738255037</v>
          </cell>
          <cell r="D260" t="str">
            <v>М201БМИЭФ191</v>
          </cell>
          <cell r="E260" t="str">
            <v>Орлова Варвара Максимовна</v>
          </cell>
          <cell r="F260">
            <v>9</v>
          </cell>
          <cell r="G260">
            <v>16</v>
          </cell>
          <cell r="H260">
            <v>27.285</v>
          </cell>
          <cell r="I260">
            <v>3</v>
          </cell>
          <cell r="J260">
            <v>2</v>
          </cell>
          <cell r="K260">
            <v>25.773615223665221</v>
          </cell>
          <cell r="L260">
            <v>4</v>
          </cell>
          <cell r="M260">
            <v>3</v>
          </cell>
          <cell r="N260">
            <v>42.060222222222244</v>
          </cell>
          <cell r="O260">
            <v>5</v>
          </cell>
          <cell r="P260">
            <v>3</v>
          </cell>
          <cell r="Q260">
            <v>38</v>
          </cell>
          <cell r="R260">
            <v>3</v>
          </cell>
          <cell r="S260">
            <v>2</v>
          </cell>
          <cell r="Z260">
            <v>59.481481481481481</v>
          </cell>
          <cell r="AB260">
            <v>45.2</v>
          </cell>
          <cell r="AC260">
            <v>5.5</v>
          </cell>
          <cell r="AD260">
            <v>39.781876168612534</v>
          </cell>
          <cell r="AE260" t="str">
            <v>М201БМИЭФ191</v>
          </cell>
        </row>
        <row r="261">
          <cell r="A261">
            <v>258</v>
          </cell>
          <cell r="B261">
            <v>247</v>
          </cell>
          <cell r="C261">
            <v>0.86577181208053688</v>
          </cell>
          <cell r="D261" t="str">
            <v>М201БМИЭФ032</v>
          </cell>
          <cell r="E261" t="str">
            <v>Алиев Арслан Магомедович</v>
          </cell>
          <cell r="F261">
            <v>1</v>
          </cell>
          <cell r="G261">
            <v>3</v>
          </cell>
          <cell r="H261">
            <v>44.367692307692309</v>
          </cell>
          <cell r="I261">
            <v>5</v>
          </cell>
          <cell r="J261">
            <v>3</v>
          </cell>
          <cell r="K261">
            <v>30.688131313131308</v>
          </cell>
          <cell r="L261">
            <v>4</v>
          </cell>
          <cell r="M261">
            <v>3</v>
          </cell>
          <cell r="N261">
            <v>48.976888888888908</v>
          </cell>
          <cell r="O261">
            <v>5</v>
          </cell>
          <cell r="P261">
            <v>3</v>
          </cell>
          <cell r="T261">
            <v>14</v>
          </cell>
          <cell r="U261">
            <v>1</v>
          </cell>
          <cell r="V261">
            <v>2</v>
          </cell>
          <cell r="Z261">
            <v>55.629629629629626</v>
          </cell>
          <cell r="AB261">
            <v>32</v>
          </cell>
          <cell r="AC261">
            <v>5.5</v>
          </cell>
          <cell r="AD261">
            <v>39.756789479880389</v>
          </cell>
          <cell r="AE261" t="str">
            <v>М201БМИЭФ032</v>
          </cell>
        </row>
        <row r="262">
          <cell r="A262">
            <v>259</v>
          </cell>
          <cell r="B262">
            <v>248</v>
          </cell>
          <cell r="C262">
            <v>0.86912751677852351</v>
          </cell>
          <cell r="D262" t="str">
            <v>М201БМИЭФ150</v>
          </cell>
          <cell r="E262" t="str">
            <v>Лифар Михаил Андраникович</v>
          </cell>
          <cell r="F262">
            <v>5</v>
          </cell>
          <cell r="G262">
            <v>9</v>
          </cell>
          <cell r="H262">
            <v>37.419679487179486</v>
          </cell>
          <cell r="I262">
            <v>4</v>
          </cell>
          <cell r="J262">
            <v>3</v>
          </cell>
          <cell r="K262">
            <v>20.310125234999841</v>
          </cell>
          <cell r="L262">
            <v>3</v>
          </cell>
          <cell r="M262">
            <v>2</v>
          </cell>
          <cell r="N262">
            <v>31.999111111111098</v>
          </cell>
          <cell r="O262">
            <v>4</v>
          </cell>
          <cell r="P262">
            <v>3</v>
          </cell>
          <cell r="T262">
            <v>36</v>
          </cell>
          <cell r="U262">
            <v>4</v>
          </cell>
          <cell r="V262">
            <v>3</v>
          </cell>
          <cell r="Z262">
            <v>63.629629629629626</v>
          </cell>
          <cell r="AB262">
            <v>45.9</v>
          </cell>
          <cell r="AC262">
            <v>5.5</v>
          </cell>
          <cell r="AD262">
            <v>39.501553720530914</v>
          </cell>
          <cell r="AE262" t="str">
            <v>М201БМИЭФ150</v>
          </cell>
        </row>
        <row r="263">
          <cell r="A263">
            <v>260</v>
          </cell>
          <cell r="B263">
            <v>249</v>
          </cell>
          <cell r="C263">
            <v>0.87248322147651003</v>
          </cell>
          <cell r="D263" t="str">
            <v>М201БМИЭФ279</v>
          </cell>
          <cell r="E263" t="str">
            <v>Шхимян Мадлена Константиновна</v>
          </cell>
          <cell r="F263">
            <v>5</v>
          </cell>
          <cell r="G263">
            <v>8</v>
          </cell>
          <cell r="H263">
            <v>39.943782051282049</v>
          </cell>
          <cell r="I263">
            <v>4</v>
          </cell>
          <cell r="J263">
            <v>3</v>
          </cell>
          <cell r="K263">
            <v>23.957257142174331</v>
          </cell>
          <cell r="L263">
            <v>3</v>
          </cell>
          <cell r="M263">
            <v>2</v>
          </cell>
          <cell r="N263">
            <v>34.07544444444445</v>
          </cell>
          <cell r="O263">
            <v>4</v>
          </cell>
          <cell r="P263">
            <v>3</v>
          </cell>
          <cell r="Q263">
            <v>46</v>
          </cell>
          <cell r="R263">
            <v>5</v>
          </cell>
          <cell r="S263">
            <v>3</v>
          </cell>
          <cell r="Z263">
            <v>53.074074074074076</v>
          </cell>
          <cell r="AB263" t="str">
            <v>справка</v>
          </cell>
          <cell r="AC263">
            <v>4.5</v>
          </cell>
          <cell r="AD263">
            <v>38.677901713772201</v>
          </cell>
          <cell r="AE263" t="str">
            <v>М201БМИЭФ279</v>
          </cell>
        </row>
        <row r="264">
          <cell r="A264">
            <v>261</v>
          </cell>
          <cell r="B264">
            <v>250</v>
          </cell>
          <cell r="C264">
            <v>0.87583892617449666</v>
          </cell>
          <cell r="D264" t="str">
            <v>М201БМИЭФ063</v>
          </cell>
          <cell r="E264" t="str">
            <v>Верба Владимир Максимович</v>
          </cell>
          <cell r="F264">
            <v>8</v>
          </cell>
          <cell r="G264">
            <v>11</v>
          </cell>
          <cell r="H264">
            <v>28.284102564102565</v>
          </cell>
          <cell r="I264">
            <v>3</v>
          </cell>
          <cell r="J264">
            <v>2</v>
          </cell>
          <cell r="K264">
            <v>24.625382505175981</v>
          </cell>
          <cell r="L264">
            <v>3</v>
          </cell>
          <cell r="M264">
            <v>2</v>
          </cell>
          <cell r="N264">
            <v>18.216666666666665</v>
          </cell>
          <cell r="O264">
            <v>2</v>
          </cell>
          <cell r="P264">
            <v>2</v>
          </cell>
          <cell r="Q264">
            <v>32</v>
          </cell>
          <cell r="R264">
            <v>3</v>
          </cell>
          <cell r="S264">
            <v>2</v>
          </cell>
          <cell r="Z264">
            <v>67.777777777777786</v>
          </cell>
          <cell r="AB264">
            <v>57</v>
          </cell>
          <cell r="AC264">
            <v>5.5</v>
          </cell>
          <cell r="AD264">
            <v>38.527987184313275</v>
          </cell>
          <cell r="AE264" t="str">
            <v>М201БМИЭФ063</v>
          </cell>
        </row>
        <row r="265">
          <cell r="A265">
            <v>262</v>
          </cell>
          <cell r="B265">
            <v>251</v>
          </cell>
          <cell r="C265">
            <v>0.87919463087248317</v>
          </cell>
          <cell r="D265" t="str">
            <v>М201БМИЭФ088</v>
          </cell>
          <cell r="E265" t="str">
            <v>Дижур Елизавета Геннадьевна</v>
          </cell>
          <cell r="F265">
            <v>6</v>
          </cell>
          <cell r="G265">
            <v>7</v>
          </cell>
          <cell r="H265">
            <v>36.606923076923074</v>
          </cell>
          <cell r="I265">
            <v>4</v>
          </cell>
          <cell r="J265">
            <v>3</v>
          </cell>
          <cell r="K265">
            <v>34.282735606402007</v>
          </cell>
          <cell r="L265">
            <v>4</v>
          </cell>
          <cell r="M265">
            <v>3</v>
          </cell>
          <cell r="N265">
            <v>24.427722222222204</v>
          </cell>
          <cell r="O265">
            <v>3</v>
          </cell>
          <cell r="P265">
            <v>2</v>
          </cell>
          <cell r="Q265">
            <v>47</v>
          </cell>
          <cell r="R265">
            <v>5</v>
          </cell>
          <cell r="S265">
            <v>3</v>
          </cell>
          <cell r="Z265">
            <v>62.629629629629626</v>
          </cell>
          <cell r="AB265">
            <v>29.5</v>
          </cell>
          <cell r="AC265">
            <v>5.5</v>
          </cell>
          <cell r="AD265">
            <v>38.354001915486712</v>
          </cell>
          <cell r="AE265" t="str">
            <v>М201БМИЭФ088</v>
          </cell>
        </row>
        <row r="266">
          <cell r="A266">
            <v>263</v>
          </cell>
          <cell r="B266">
            <v>252</v>
          </cell>
          <cell r="C266">
            <v>0.8825503355704698</v>
          </cell>
          <cell r="D266" t="str">
            <v>М201БМИЭФ159</v>
          </cell>
          <cell r="E266" t="str">
            <v>Манукян Александр Андраникович</v>
          </cell>
          <cell r="F266">
            <v>7</v>
          </cell>
          <cell r="G266">
            <v>10</v>
          </cell>
          <cell r="H266">
            <v>36.1325</v>
          </cell>
          <cell r="I266">
            <v>4</v>
          </cell>
          <cell r="J266">
            <v>3</v>
          </cell>
          <cell r="K266">
            <v>17.554687499999996</v>
          </cell>
          <cell r="L266">
            <v>3</v>
          </cell>
          <cell r="M266">
            <v>2</v>
          </cell>
          <cell r="N266">
            <v>45.283333333333346</v>
          </cell>
          <cell r="O266">
            <v>5</v>
          </cell>
          <cell r="P266">
            <v>3</v>
          </cell>
          <cell r="Q266">
            <v>22</v>
          </cell>
          <cell r="R266">
            <v>2</v>
          </cell>
          <cell r="S266">
            <v>2</v>
          </cell>
          <cell r="Z266">
            <v>65.296296296296305</v>
          </cell>
          <cell r="AA266">
            <v>35</v>
          </cell>
          <cell r="AC266">
            <v>5.5</v>
          </cell>
          <cell r="AD266">
            <v>38.230330387205392</v>
          </cell>
          <cell r="AE266" t="str">
            <v>М201БМИЭФ159</v>
          </cell>
        </row>
        <row r="267">
          <cell r="A267">
            <v>264</v>
          </cell>
          <cell r="B267">
            <v>253</v>
          </cell>
          <cell r="C267">
            <v>0.88590604026845643</v>
          </cell>
          <cell r="D267" t="str">
            <v>М201БМИЭФ221</v>
          </cell>
          <cell r="E267" t="str">
            <v>Смирнов Георгий Александрович</v>
          </cell>
          <cell r="F267">
            <v>11</v>
          </cell>
          <cell r="G267">
            <v>16</v>
          </cell>
          <cell r="H267">
            <v>39.369679487179482</v>
          </cell>
          <cell r="I267">
            <v>4</v>
          </cell>
          <cell r="J267">
            <v>3</v>
          </cell>
          <cell r="K267">
            <v>40.462954467030549</v>
          </cell>
          <cell r="L267">
            <v>5</v>
          </cell>
          <cell r="M267">
            <v>3</v>
          </cell>
          <cell r="N267">
            <v>35.535833333333343</v>
          </cell>
          <cell r="O267">
            <v>4</v>
          </cell>
          <cell r="P267">
            <v>3</v>
          </cell>
          <cell r="Q267">
            <v>48</v>
          </cell>
          <cell r="R267">
            <v>5</v>
          </cell>
          <cell r="S267">
            <v>3</v>
          </cell>
          <cell r="Z267">
            <v>33.148148148148145</v>
          </cell>
          <cell r="AB267">
            <v>37.200000000000003</v>
          </cell>
          <cell r="AC267">
            <v>5.5</v>
          </cell>
          <cell r="AD267">
            <v>38.130293715580272</v>
          </cell>
          <cell r="AE267" t="str">
            <v>М201БМИЭФ221</v>
          </cell>
        </row>
        <row r="268">
          <cell r="A268">
            <v>265</v>
          </cell>
          <cell r="B268">
            <v>254</v>
          </cell>
          <cell r="C268">
            <v>0.88926174496644295</v>
          </cell>
          <cell r="D268" t="str">
            <v>М201БМИЭФ239</v>
          </cell>
          <cell r="E268" t="str">
            <v>Трухан Никита Александрович</v>
          </cell>
          <cell r="F268">
            <v>2</v>
          </cell>
          <cell r="G268">
            <v>3</v>
          </cell>
          <cell r="H268">
            <v>29.615064102564101</v>
          </cell>
          <cell r="I268">
            <v>3</v>
          </cell>
          <cell r="J268">
            <v>2</v>
          </cell>
          <cell r="K268">
            <v>30.542304473304469</v>
          </cell>
          <cell r="L268">
            <v>4</v>
          </cell>
          <cell r="M268">
            <v>3</v>
          </cell>
          <cell r="N268">
            <v>39.761111111111106</v>
          </cell>
          <cell r="O268">
            <v>4</v>
          </cell>
          <cell r="P268">
            <v>3</v>
          </cell>
          <cell r="Q268">
            <v>29</v>
          </cell>
          <cell r="R268">
            <v>2</v>
          </cell>
          <cell r="S268">
            <v>2</v>
          </cell>
          <cell r="Z268">
            <v>51.555555555555557</v>
          </cell>
          <cell r="AB268">
            <v>40</v>
          </cell>
          <cell r="AC268">
            <v>5.5</v>
          </cell>
          <cell r="AD268">
            <v>37.449824589551866</v>
          </cell>
          <cell r="AE268" t="str">
            <v>М201БМИЭФ239</v>
          </cell>
        </row>
        <row r="269">
          <cell r="A269">
            <v>266</v>
          </cell>
          <cell r="B269">
            <v>255</v>
          </cell>
          <cell r="C269">
            <v>0.89261744966442957</v>
          </cell>
          <cell r="D269" t="str">
            <v>М201БМИЭФ266</v>
          </cell>
          <cell r="E269" t="str">
            <v>Шаврова Виктория Алексеевна</v>
          </cell>
          <cell r="F269">
            <v>11</v>
          </cell>
          <cell r="G269">
            <v>15</v>
          </cell>
          <cell r="H269">
            <v>39.126089743589745</v>
          </cell>
          <cell r="I269">
            <v>4</v>
          </cell>
          <cell r="J269">
            <v>3</v>
          </cell>
          <cell r="K269">
            <v>20.312161710270406</v>
          </cell>
          <cell r="L269">
            <v>3</v>
          </cell>
          <cell r="M269">
            <v>2</v>
          </cell>
          <cell r="N269">
            <v>34.360222222222198</v>
          </cell>
          <cell r="O269">
            <v>4</v>
          </cell>
          <cell r="P269">
            <v>3</v>
          </cell>
          <cell r="Q269">
            <v>30</v>
          </cell>
          <cell r="R269">
            <v>3</v>
          </cell>
          <cell r="S269">
            <v>2</v>
          </cell>
          <cell r="Z269">
            <v>47.333333333333329</v>
          </cell>
          <cell r="AB269">
            <v>49.6</v>
          </cell>
          <cell r="AC269">
            <v>5.5</v>
          </cell>
          <cell r="AD269">
            <v>37.405783092621036</v>
          </cell>
          <cell r="AE269" t="str">
            <v>М201БМИЭФ266</v>
          </cell>
        </row>
        <row r="270">
          <cell r="A270">
            <v>267</v>
          </cell>
          <cell r="B270">
            <v>256</v>
          </cell>
          <cell r="C270">
            <v>0.89597315436241609</v>
          </cell>
          <cell r="D270" t="str">
            <v>М201БМИЭФ197</v>
          </cell>
          <cell r="E270" t="str">
            <v>Пинчук Екатерина Витальевна</v>
          </cell>
          <cell r="F270">
            <v>10</v>
          </cell>
          <cell r="G270">
            <v>16</v>
          </cell>
          <cell r="H270">
            <v>30.717564102564097</v>
          </cell>
          <cell r="I270">
            <v>3</v>
          </cell>
          <cell r="J270">
            <v>2</v>
          </cell>
          <cell r="K270">
            <v>30.375681818181818</v>
          </cell>
          <cell r="L270">
            <v>4</v>
          </cell>
          <cell r="M270">
            <v>3</v>
          </cell>
          <cell r="N270">
            <v>38.673388888888901</v>
          </cell>
          <cell r="O270">
            <v>4</v>
          </cell>
          <cell r="P270">
            <v>3</v>
          </cell>
          <cell r="Q270">
            <v>43</v>
          </cell>
          <cell r="R270">
            <v>5</v>
          </cell>
          <cell r="S270">
            <v>3</v>
          </cell>
          <cell r="Z270">
            <v>42.222222222222221</v>
          </cell>
          <cell r="AB270">
            <v>40</v>
          </cell>
          <cell r="AC270">
            <v>5.5</v>
          </cell>
          <cell r="AD270">
            <v>36.997974005792187</v>
          </cell>
          <cell r="AE270" t="str">
            <v>М201БМИЭФ197</v>
          </cell>
        </row>
        <row r="271">
          <cell r="A271">
            <v>268</v>
          </cell>
          <cell r="B271">
            <v>257</v>
          </cell>
          <cell r="C271">
            <v>0.89932885906040272</v>
          </cell>
          <cell r="D271" t="str">
            <v>М201БМИЭФ109</v>
          </cell>
          <cell r="E271" t="str">
            <v>Иванов Всеволод Никитич</v>
          </cell>
          <cell r="F271">
            <v>11</v>
          </cell>
          <cell r="G271">
            <v>13</v>
          </cell>
          <cell r="H271">
            <v>33.331666666666663</v>
          </cell>
          <cell r="I271">
            <v>4</v>
          </cell>
          <cell r="J271">
            <v>3</v>
          </cell>
          <cell r="K271">
            <v>21.89658620365142</v>
          </cell>
          <cell r="L271">
            <v>3</v>
          </cell>
          <cell r="M271">
            <v>2</v>
          </cell>
          <cell r="N271">
            <v>25.707888888888895</v>
          </cell>
          <cell r="O271">
            <v>3</v>
          </cell>
          <cell r="P271">
            <v>2</v>
          </cell>
          <cell r="Q271">
            <v>37</v>
          </cell>
          <cell r="R271">
            <v>4</v>
          </cell>
          <cell r="S271">
            <v>3</v>
          </cell>
          <cell r="Z271">
            <v>56.703703703703709</v>
          </cell>
          <cell r="AB271">
            <v>46.7</v>
          </cell>
          <cell r="AC271">
            <v>5.5</v>
          </cell>
          <cell r="AD271">
            <v>36.879971902347393</v>
          </cell>
          <cell r="AE271" t="str">
            <v>М201БМИЭФ109</v>
          </cell>
        </row>
        <row r="272">
          <cell r="A272">
            <v>269</v>
          </cell>
          <cell r="B272">
            <v>258</v>
          </cell>
          <cell r="C272">
            <v>0.90268456375838924</v>
          </cell>
          <cell r="D272" t="str">
            <v>М181БМИЭФ184</v>
          </cell>
          <cell r="E272" t="str">
            <v>Поляков Артемий Владимирович</v>
          </cell>
          <cell r="F272">
            <v>8</v>
          </cell>
          <cell r="G272">
            <v>10</v>
          </cell>
          <cell r="H272">
            <v>49.319230769230771</v>
          </cell>
          <cell r="I272">
            <v>6</v>
          </cell>
          <cell r="J272">
            <v>4</v>
          </cell>
          <cell r="K272">
            <v>31.376341034569293</v>
          </cell>
          <cell r="L272">
            <v>4</v>
          </cell>
          <cell r="M272">
            <v>3</v>
          </cell>
          <cell r="N272">
            <v>68.483333333333348</v>
          </cell>
          <cell r="O272">
            <v>7</v>
          </cell>
          <cell r="P272">
            <v>4</v>
          </cell>
          <cell r="Q272">
            <v>40</v>
          </cell>
          <cell r="R272">
            <v>3</v>
          </cell>
          <cell r="S272">
            <v>2</v>
          </cell>
          <cell r="Z272">
            <v>0</v>
          </cell>
          <cell r="AB272">
            <v>33.5</v>
          </cell>
          <cell r="AC272">
            <v>5.5</v>
          </cell>
          <cell r="AD272">
            <v>36.850710024933349</v>
          </cell>
          <cell r="AE272" t="str">
            <v>М181БМИЭФ184</v>
          </cell>
        </row>
        <row r="273">
          <cell r="A273">
            <v>270</v>
          </cell>
          <cell r="B273">
            <v>259</v>
          </cell>
          <cell r="C273">
            <v>0.90604026845637586</v>
          </cell>
          <cell r="D273" t="str">
            <v>М201БМИЭФ274</v>
          </cell>
          <cell r="E273" t="str">
            <v>Ширшов Захар Владиславович</v>
          </cell>
          <cell r="F273">
            <v>9</v>
          </cell>
          <cell r="G273">
            <v>16</v>
          </cell>
          <cell r="H273">
            <v>29.77192307692308</v>
          </cell>
          <cell r="I273">
            <v>3</v>
          </cell>
          <cell r="J273">
            <v>2</v>
          </cell>
          <cell r="K273">
            <v>17.841950216450215</v>
          </cell>
          <cell r="L273">
            <v>3</v>
          </cell>
          <cell r="M273">
            <v>2</v>
          </cell>
          <cell r="N273">
            <v>27.688888888888883</v>
          </cell>
          <cell r="O273">
            <v>3</v>
          </cell>
          <cell r="P273">
            <v>2</v>
          </cell>
          <cell r="Q273">
            <v>42</v>
          </cell>
          <cell r="R273">
            <v>5</v>
          </cell>
          <cell r="S273">
            <v>3</v>
          </cell>
          <cell r="Z273">
            <v>45.18518518518519</v>
          </cell>
          <cell r="AB273">
            <v>54</v>
          </cell>
          <cell r="AC273">
            <v>5.5</v>
          </cell>
          <cell r="AD273">
            <v>35.543263157717703</v>
          </cell>
          <cell r="AE273" t="str">
            <v>М201БМИЭФ274</v>
          </cell>
        </row>
        <row r="274">
          <cell r="A274">
            <v>271</v>
          </cell>
          <cell r="B274">
            <v>260</v>
          </cell>
          <cell r="C274">
            <v>0.90939597315436238</v>
          </cell>
          <cell r="D274" t="str">
            <v>М201БМИЭФ035</v>
          </cell>
          <cell r="E274" t="str">
            <v>Антонян Роман Витальевич</v>
          </cell>
          <cell r="F274">
            <v>4</v>
          </cell>
          <cell r="G274">
            <v>6</v>
          </cell>
          <cell r="H274">
            <v>57.83</v>
          </cell>
          <cell r="I274">
            <v>7</v>
          </cell>
          <cell r="J274">
            <v>4</v>
          </cell>
          <cell r="K274">
            <v>35.9</v>
          </cell>
          <cell r="L274">
            <v>5</v>
          </cell>
          <cell r="M274">
            <v>3</v>
          </cell>
          <cell r="N274">
            <v>35.069888888888897</v>
          </cell>
          <cell r="O274">
            <v>4</v>
          </cell>
          <cell r="P274">
            <v>3</v>
          </cell>
          <cell r="Q274">
            <v>2</v>
          </cell>
          <cell r="R274">
            <v>1</v>
          </cell>
          <cell r="S274">
            <v>2</v>
          </cell>
          <cell r="Z274">
            <v>42.962962962962962</v>
          </cell>
          <cell r="AB274">
            <v>22</v>
          </cell>
          <cell r="AC274">
            <v>5.5</v>
          </cell>
          <cell r="AD274">
            <v>35.411427609427612</v>
          </cell>
          <cell r="AE274" t="str">
            <v>М201БМИЭФ035</v>
          </cell>
        </row>
        <row r="275">
          <cell r="A275">
            <v>272</v>
          </cell>
          <cell r="B275">
            <v>261</v>
          </cell>
          <cell r="C275">
            <v>0.91275167785234901</v>
          </cell>
          <cell r="D275" t="str">
            <v>М201БМИЭФ087</v>
          </cell>
          <cell r="E275" t="str">
            <v>Джумаян Анна Арамовна</v>
          </cell>
          <cell r="F275">
            <v>5</v>
          </cell>
          <cell r="G275">
            <v>9</v>
          </cell>
          <cell r="H275">
            <v>24.513910256410256</v>
          </cell>
          <cell r="I275">
            <v>3</v>
          </cell>
          <cell r="J275">
            <v>2</v>
          </cell>
          <cell r="K275">
            <v>23.225273521606333</v>
          </cell>
          <cell r="L275">
            <v>3</v>
          </cell>
          <cell r="M275">
            <v>2</v>
          </cell>
          <cell r="N275">
            <v>20.897666666666648</v>
          </cell>
          <cell r="O275">
            <v>3</v>
          </cell>
          <cell r="P275">
            <v>2</v>
          </cell>
          <cell r="T275">
            <v>29</v>
          </cell>
          <cell r="U275">
            <v>3</v>
          </cell>
          <cell r="V275">
            <v>2</v>
          </cell>
          <cell r="Z275">
            <v>53.185185185185183</v>
          </cell>
          <cell r="AB275">
            <v>52.7</v>
          </cell>
          <cell r="AC275">
            <v>5.5</v>
          </cell>
          <cell r="AD275">
            <v>34.367642841794257</v>
          </cell>
          <cell r="AE275" t="str">
            <v>М201БМИЭФ087</v>
          </cell>
        </row>
        <row r="276">
          <cell r="A276">
            <v>273</v>
          </cell>
          <cell r="B276">
            <v>262</v>
          </cell>
          <cell r="C276">
            <v>0.91610738255033553</v>
          </cell>
          <cell r="D276" t="str">
            <v>М201БМИЭФ263</v>
          </cell>
          <cell r="E276" t="str">
            <v>Чуйков Артем Игоревич</v>
          </cell>
          <cell r="F276">
            <v>7</v>
          </cell>
          <cell r="G276">
            <v>12</v>
          </cell>
          <cell r="H276">
            <v>33.024871794871792</v>
          </cell>
          <cell r="I276">
            <v>4</v>
          </cell>
          <cell r="J276">
            <v>3</v>
          </cell>
          <cell r="K276">
            <v>20.506753607503605</v>
          </cell>
          <cell r="L276">
            <v>3</v>
          </cell>
          <cell r="M276">
            <v>2</v>
          </cell>
          <cell r="N276">
            <v>21.05</v>
          </cell>
          <cell r="O276">
            <v>3</v>
          </cell>
          <cell r="P276">
            <v>2</v>
          </cell>
          <cell r="Q276">
            <v>41</v>
          </cell>
          <cell r="R276">
            <v>5</v>
          </cell>
          <cell r="S276">
            <v>3</v>
          </cell>
          <cell r="Z276">
            <v>45</v>
          </cell>
          <cell r="AB276">
            <v>47.5</v>
          </cell>
          <cell r="AC276">
            <v>5.5</v>
          </cell>
          <cell r="AD276">
            <v>34.105750073159157</v>
          </cell>
          <cell r="AE276" t="str">
            <v>М201БМИЭФ263</v>
          </cell>
        </row>
        <row r="277">
          <cell r="A277">
            <v>274</v>
          </cell>
          <cell r="B277">
            <v>263</v>
          </cell>
          <cell r="C277">
            <v>0.91946308724832215</v>
          </cell>
          <cell r="D277" t="str">
            <v>М201БМИЭФ015</v>
          </cell>
          <cell r="E277" t="str">
            <v>Турнаев Александр -</v>
          </cell>
          <cell r="F277">
            <v>9</v>
          </cell>
          <cell r="G277">
            <v>12</v>
          </cell>
          <cell r="H277">
            <v>33.764294871794874</v>
          </cell>
          <cell r="I277">
            <v>4</v>
          </cell>
          <cell r="J277">
            <v>3</v>
          </cell>
          <cell r="K277">
            <v>17.453484992784993</v>
          </cell>
          <cell r="L277">
            <v>3</v>
          </cell>
          <cell r="M277">
            <v>2</v>
          </cell>
          <cell r="N277">
            <v>34.020166666666647</v>
          </cell>
          <cell r="O277">
            <v>4</v>
          </cell>
          <cell r="P277">
            <v>3</v>
          </cell>
          <cell r="Q277">
            <v>49</v>
          </cell>
          <cell r="R277">
            <v>5</v>
          </cell>
          <cell r="S277">
            <v>3</v>
          </cell>
          <cell r="Z277">
            <v>37.74074074074074</v>
          </cell>
          <cell r="AA277">
            <v>38.333333333333329</v>
          </cell>
          <cell r="AC277">
            <v>5.5</v>
          </cell>
          <cell r="AD277">
            <v>33.784003746421924</v>
          </cell>
          <cell r="AE277" t="str">
            <v>М201БМИЭФ015</v>
          </cell>
        </row>
        <row r="278">
          <cell r="A278">
            <v>275</v>
          </cell>
          <cell r="B278">
            <v>264</v>
          </cell>
          <cell r="C278">
            <v>0.92281879194630867</v>
          </cell>
          <cell r="D278" t="str">
            <v>М201БМИЭФ184</v>
          </cell>
          <cell r="E278" t="str">
            <v>Нордас Анастасия Максимовна</v>
          </cell>
          <cell r="F278">
            <v>6</v>
          </cell>
          <cell r="G278">
            <v>7</v>
          </cell>
          <cell r="H278">
            <v>51.999074038461536</v>
          </cell>
          <cell r="I278">
            <v>6</v>
          </cell>
          <cell r="J278">
            <v>4</v>
          </cell>
          <cell r="K278">
            <v>33.824495711750778</v>
          </cell>
          <cell r="L278">
            <v>4</v>
          </cell>
          <cell r="M278">
            <v>3</v>
          </cell>
          <cell r="N278">
            <v>50.694444444444457</v>
          </cell>
          <cell r="O278">
            <v>6</v>
          </cell>
          <cell r="P278">
            <v>4</v>
          </cell>
          <cell r="Q278">
            <v>9</v>
          </cell>
          <cell r="R278">
            <v>1</v>
          </cell>
          <cell r="S278">
            <v>2</v>
          </cell>
          <cell r="Z278">
            <v>0</v>
          </cell>
          <cell r="AB278">
            <v>44</v>
          </cell>
          <cell r="AC278">
            <v>5.5</v>
          </cell>
          <cell r="AD278">
            <v>33.639638944483046</v>
          </cell>
          <cell r="AE278" t="str">
            <v>М201БМИЭФ184</v>
          </cell>
        </row>
        <row r="279">
          <cell r="A279">
            <v>276</v>
          </cell>
          <cell r="B279">
            <v>265</v>
          </cell>
          <cell r="C279">
            <v>0.9261744966442953</v>
          </cell>
          <cell r="D279" t="str">
            <v>М201БМИЭФ216</v>
          </cell>
          <cell r="E279" t="str">
            <v>Самокишин Семен Алексеевич</v>
          </cell>
          <cell r="F279">
            <v>6</v>
          </cell>
          <cell r="G279">
            <v>8</v>
          </cell>
          <cell r="H279">
            <v>27.466153846153844</v>
          </cell>
          <cell r="I279">
            <v>3</v>
          </cell>
          <cell r="J279">
            <v>2</v>
          </cell>
          <cell r="K279">
            <v>27.077760622220399</v>
          </cell>
          <cell r="L279">
            <v>4</v>
          </cell>
          <cell r="M279">
            <v>3</v>
          </cell>
          <cell r="N279">
            <v>24.893499999999996</v>
          </cell>
          <cell r="O279">
            <v>3</v>
          </cell>
          <cell r="P279">
            <v>2</v>
          </cell>
          <cell r="Q279">
            <v>23</v>
          </cell>
          <cell r="R279">
            <v>3</v>
          </cell>
          <cell r="S279">
            <v>2</v>
          </cell>
          <cell r="Z279">
            <v>62.407407407407405</v>
          </cell>
          <cell r="AA279">
            <v>31</v>
          </cell>
          <cell r="AC279">
            <v>5.5</v>
          </cell>
          <cell r="AD279">
            <v>33.517240341051206</v>
          </cell>
          <cell r="AE279" t="str">
            <v>М201БМИЭФ216</v>
          </cell>
        </row>
        <row r="280">
          <cell r="A280">
            <v>277</v>
          </cell>
          <cell r="B280">
            <v>266</v>
          </cell>
          <cell r="C280">
            <v>0.92953020134228193</v>
          </cell>
          <cell r="D280" t="str">
            <v>М201БМИЭФ303</v>
          </cell>
          <cell r="E280" t="str">
            <v>Ядрищенский Александр Александрович</v>
          </cell>
          <cell r="F280">
            <v>5</v>
          </cell>
          <cell r="G280">
            <v>8</v>
          </cell>
          <cell r="K280">
            <v>19.906915169040563</v>
          </cell>
          <cell r="L280">
            <v>3</v>
          </cell>
          <cell r="M280">
            <v>2</v>
          </cell>
          <cell r="N280">
            <v>10.95000000000001</v>
          </cell>
          <cell r="O280">
            <v>2</v>
          </cell>
          <cell r="P280">
            <v>2</v>
          </cell>
          <cell r="Q280">
            <v>28</v>
          </cell>
          <cell r="R280">
            <v>4</v>
          </cell>
          <cell r="S280">
            <v>3</v>
          </cell>
          <cell r="Z280">
            <v>59.222222222222229</v>
          </cell>
          <cell r="AB280">
            <v>45.6</v>
          </cell>
          <cell r="AC280">
            <v>4.5</v>
          </cell>
          <cell r="AD280">
            <v>33.26203053139173</v>
          </cell>
          <cell r="AE280" t="str">
            <v>М201БМИЭФ303</v>
          </cell>
        </row>
        <row r="281">
          <cell r="A281">
            <v>278</v>
          </cell>
          <cell r="B281">
            <v>267</v>
          </cell>
          <cell r="C281">
            <v>0.93288590604026844</v>
          </cell>
          <cell r="D281" t="str">
            <v>М201БМИЭФ290</v>
          </cell>
          <cell r="E281" t="str">
            <v>Баходуров Руслан Махмурович</v>
          </cell>
          <cell r="F281" t="str">
            <v>12 online</v>
          </cell>
          <cell r="G281" t="str">
            <v>17 online</v>
          </cell>
          <cell r="H281">
            <v>21.183974358974357</v>
          </cell>
          <cell r="I281">
            <v>2</v>
          </cell>
          <cell r="J281">
            <v>2</v>
          </cell>
          <cell r="K281">
            <v>39.826023409773413</v>
          </cell>
          <cell r="L281">
            <v>5</v>
          </cell>
          <cell r="M281">
            <v>3</v>
          </cell>
          <cell r="N281">
            <v>32.010833333333302</v>
          </cell>
          <cell r="O281">
            <v>4</v>
          </cell>
          <cell r="P281">
            <v>3</v>
          </cell>
          <cell r="Q281">
            <v>16</v>
          </cell>
          <cell r="R281">
            <v>1</v>
          </cell>
          <cell r="S281">
            <v>2</v>
          </cell>
          <cell r="Z281">
            <v>60.370370370370381</v>
          </cell>
          <cell r="AB281">
            <v>21</v>
          </cell>
          <cell r="AC281">
            <v>5.5</v>
          </cell>
          <cell r="AD281">
            <v>33.162036631354809</v>
          </cell>
          <cell r="AE281" t="str">
            <v>М201БМИЭФ290</v>
          </cell>
        </row>
        <row r="282">
          <cell r="A282">
            <v>279</v>
          </cell>
          <cell r="B282">
            <v>268</v>
          </cell>
          <cell r="C282">
            <v>0.93624161073825507</v>
          </cell>
          <cell r="D282" t="str">
            <v>М201БМИЭФ047</v>
          </cell>
          <cell r="E282" t="str">
            <v>Баян Айрана Аясовна</v>
          </cell>
          <cell r="F282">
            <v>5</v>
          </cell>
          <cell r="G282">
            <v>9</v>
          </cell>
          <cell r="H282">
            <v>35.976474358974357</v>
          </cell>
          <cell r="I282">
            <v>4</v>
          </cell>
          <cell r="J282">
            <v>3</v>
          </cell>
          <cell r="K282">
            <v>28.919023864148471</v>
          </cell>
          <cell r="L282">
            <v>4</v>
          </cell>
          <cell r="M282">
            <v>3</v>
          </cell>
          <cell r="N282">
            <v>34.543555555555542</v>
          </cell>
          <cell r="O282">
            <v>4</v>
          </cell>
          <cell r="P282">
            <v>3</v>
          </cell>
          <cell r="Q282">
            <v>24</v>
          </cell>
          <cell r="R282">
            <v>2</v>
          </cell>
          <cell r="S282">
            <v>2</v>
          </cell>
          <cell r="Z282">
            <v>48.18518518518519</v>
          </cell>
          <cell r="AA282">
            <v>21</v>
          </cell>
          <cell r="AC282">
            <v>5.5</v>
          </cell>
          <cell r="AD282">
            <v>32.840770720702466</v>
          </cell>
          <cell r="AE282" t="str">
            <v>М201БМИЭФ047</v>
          </cell>
        </row>
        <row r="283">
          <cell r="A283">
            <v>280</v>
          </cell>
          <cell r="B283">
            <v>269</v>
          </cell>
          <cell r="C283">
            <v>0.93959731543624159</v>
          </cell>
          <cell r="D283" t="str">
            <v>М201БМИЭФ158</v>
          </cell>
          <cell r="E283" t="str">
            <v>Мамедкеримов Руслан Тимурович</v>
          </cell>
          <cell r="F283">
            <v>9</v>
          </cell>
          <cell r="G283">
            <v>16</v>
          </cell>
          <cell r="H283">
            <v>23.801153846153845</v>
          </cell>
          <cell r="I283">
            <v>3</v>
          </cell>
          <cell r="J283">
            <v>2</v>
          </cell>
          <cell r="K283">
            <v>13.354265624999996</v>
          </cell>
          <cell r="L283">
            <v>2</v>
          </cell>
          <cell r="M283">
            <v>2</v>
          </cell>
          <cell r="N283">
            <v>20.671333333333305</v>
          </cell>
          <cell r="O283">
            <v>3</v>
          </cell>
          <cell r="P283">
            <v>2</v>
          </cell>
          <cell r="Q283">
            <v>37</v>
          </cell>
          <cell r="R283">
            <v>3</v>
          </cell>
          <cell r="S283">
            <v>2</v>
          </cell>
          <cell r="Z283">
            <v>53.185185185185183</v>
          </cell>
          <cell r="AB283">
            <v>47</v>
          </cell>
          <cell r="AC283">
            <v>5.5</v>
          </cell>
          <cell r="AD283">
            <v>32.093079634485882</v>
          </cell>
          <cell r="AE283" t="str">
            <v>М201БМИЭФ158</v>
          </cell>
        </row>
        <row r="284">
          <cell r="A284">
            <v>281</v>
          </cell>
          <cell r="B284">
            <v>270</v>
          </cell>
          <cell r="C284">
            <v>0.94295302013422821</v>
          </cell>
          <cell r="D284" t="str">
            <v>М201БМИЭФ094</v>
          </cell>
          <cell r="E284" t="str">
            <v>Думнова Валерия Алексеевна</v>
          </cell>
          <cell r="F284">
            <v>6</v>
          </cell>
          <cell r="G284">
            <v>8</v>
          </cell>
          <cell r="H284">
            <v>34.670448717948716</v>
          </cell>
          <cell r="I284">
            <v>4</v>
          </cell>
          <cell r="J284">
            <v>3</v>
          </cell>
          <cell r="K284">
            <v>30.243779672570682</v>
          </cell>
          <cell r="L284">
            <v>4</v>
          </cell>
          <cell r="M284">
            <v>3</v>
          </cell>
          <cell r="N284">
            <v>24.879666666666694</v>
          </cell>
          <cell r="O284">
            <v>3</v>
          </cell>
          <cell r="P284">
            <v>2</v>
          </cell>
          <cell r="Q284">
            <v>23</v>
          </cell>
          <cell r="R284">
            <v>3</v>
          </cell>
          <cell r="S284">
            <v>2</v>
          </cell>
          <cell r="Z284">
            <v>56.851851851851848</v>
          </cell>
          <cell r="AB284">
            <v>18</v>
          </cell>
          <cell r="AC284">
            <v>5.5</v>
          </cell>
          <cell r="AD284">
            <v>32.026499438006901</v>
          </cell>
          <cell r="AE284" t="str">
            <v>М201БМИЭФ094</v>
          </cell>
        </row>
        <row r="285">
          <cell r="A285">
            <v>282</v>
          </cell>
          <cell r="B285">
            <v>271</v>
          </cell>
          <cell r="C285">
            <v>0.94630872483221473</v>
          </cell>
          <cell r="D285" t="str">
            <v>М201БМИЭФ073</v>
          </cell>
          <cell r="E285" t="str">
            <v>Галиченко Валентина Павловна</v>
          </cell>
          <cell r="F285">
            <v>2</v>
          </cell>
          <cell r="G285">
            <v>12</v>
          </cell>
          <cell r="H285">
            <v>20.433076923076925</v>
          </cell>
          <cell r="I285">
            <v>2</v>
          </cell>
          <cell r="J285">
            <v>2</v>
          </cell>
          <cell r="K285">
            <v>30.910398629148624</v>
          </cell>
          <cell r="L285">
            <v>4</v>
          </cell>
          <cell r="M285">
            <v>3</v>
          </cell>
          <cell r="N285">
            <v>27.966666666666693</v>
          </cell>
          <cell r="O285">
            <v>3</v>
          </cell>
          <cell r="P285">
            <v>2</v>
          </cell>
          <cell r="Q285">
            <v>21</v>
          </cell>
          <cell r="R285">
            <v>2</v>
          </cell>
          <cell r="S285">
            <v>2</v>
          </cell>
          <cell r="Z285">
            <v>49.148148148148152</v>
          </cell>
          <cell r="AB285">
            <v>35.5</v>
          </cell>
          <cell r="AC285">
            <v>5.5</v>
          </cell>
          <cell r="AD285">
            <v>31.719689157643703</v>
          </cell>
          <cell r="AE285" t="str">
            <v>М201БМИЭФ073</v>
          </cell>
        </row>
        <row r="286">
          <cell r="A286">
            <v>283</v>
          </cell>
          <cell r="B286">
            <v>272</v>
          </cell>
          <cell r="C286">
            <v>0.94966442953020136</v>
          </cell>
          <cell r="D286" t="str">
            <v>М201БМИЭФ025</v>
          </cell>
          <cell r="E286" t="str">
            <v>Аббасов Байрам Рахман оглы</v>
          </cell>
          <cell r="F286">
            <v>7</v>
          </cell>
          <cell r="G286">
            <v>11</v>
          </cell>
          <cell r="H286">
            <v>34.962575000000001</v>
          </cell>
          <cell r="I286">
            <v>4</v>
          </cell>
          <cell r="J286">
            <v>3</v>
          </cell>
          <cell r="K286">
            <v>21.758624999999995</v>
          </cell>
          <cell r="L286">
            <v>3</v>
          </cell>
          <cell r="M286">
            <v>2</v>
          </cell>
          <cell r="N286">
            <v>28.950694444444458</v>
          </cell>
          <cell r="O286">
            <v>3</v>
          </cell>
          <cell r="P286">
            <v>2</v>
          </cell>
          <cell r="Q286">
            <v>27</v>
          </cell>
          <cell r="R286">
            <v>1</v>
          </cell>
          <cell r="S286">
            <v>2</v>
          </cell>
          <cell r="Z286">
            <v>36.203703703703702</v>
          </cell>
          <cell r="AB286">
            <v>28.8</v>
          </cell>
          <cell r="AC286">
            <v>5.5</v>
          </cell>
          <cell r="AD286">
            <v>29.850108754208758</v>
          </cell>
          <cell r="AE286" t="str">
            <v>М201БМИЭФ025</v>
          </cell>
        </row>
        <row r="287">
          <cell r="A287">
            <v>284</v>
          </cell>
          <cell r="B287">
            <v>273</v>
          </cell>
          <cell r="C287">
            <v>0.95302013422818788</v>
          </cell>
          <cell r="D287" t="str">
            <v>М201БМИЭФ030</v>
          </cell>
          <cell r="E287" t="str">
            <v>Алексеенко Полина Игоревна</v>
          </cell>
          <cell r="F287">
            <v>10</v>
          </cell>
          <cell r="G287">
            <v>15</v>
          </cell>
          <cell r="H287">
            <v>28.600384615384613</v>
          </cell>
          <cell r="I287">
            <v>3</v>
          </cell>
          <cell r="J287">
            <v>2</v>
          </cell>
          <cell r="K287">
            <v>16.954386724386723</v>
          </cell>
          <cell r="L287">
            <v>3</v>
          </cell>
          <cell r="M287">
            <v>2</v>
          </cell>
          <cell r="N287">
            <v>18.177500000000006</v>
          </cell>
          <cell r="O287">
            <v>2</v>
          </cell>
          <cell r="P287">
            <v>2</v>
          </cell>
          <cell r="Z287">
            <v>21.296296296296298</v>
          </cell>
          <cell r="AB287">
            <v>62.5</v>
          </cell>
          <cell r="AC287">
            <v>5</v>
          </cell>
          <cell r="AD287">
            <v>29.505713527213526</v>
          </cell>
          <cell r="AE287" t="str">
            <v>М201БМИЭФ030</v>
          </cell>
        </row>
        <row r="288">
          <cell r="A288">
            <v>285</v>
          </cell>
          <cell r="B288">
            <v>274</v>
          </cell>
          <cell r="C288">
            <v>0.9563758389261745</v>
          </cell>
          <cell r="D288" t="str">
            <v>М201БМИЭФ304</v>
          </cell>
          <cell r="E288" t="str">
            <v>Кривошеева Анна Сергеевна</v>
          </cell>
          <cell r="F288">
            <v>3</v>
          </cell>
          <cell r="G288" t="str">
            <v>n/a</v>
          </cell>
          <cell r="H288">
            <v>30.998525641025644</v>
          </cell>
          <cell r="I288">
            <v>3</v>
          </cell>
          <cell r="J288">
            <v>2</v>
          </cell>
          <cell r="K288">
            <v>29.70508685040361</v>
          </cell>
          <cell r="L288">
            <v>4</v>
          </cell>
          <cell r="M288">
            <v>3</v>
          </cell>
          <cell r="N288">
            <v>20.955555555555549</v>
          </cell>
          <cell r="O288">
            <v>3</v>
          </cell>
          <cell r="P288">
            <v>2</v>
          </cell>
          <cell r="Q288">
            <v>43</v>
          </cell>
          <cell r="R288">
            <v>5</v>
          </cell>
          <cell r="S288">
            <v>3</v>
          </cell>
          <cell r="AC288">
            <v>3.5</v>
          </cell>
          <cell r="AD288">
            <v>29.47404801342423</v>
          </cell>
          <cell r="AE288" t="str">
            <v>М201БМИЭФ304</v>
          </cell>
        </row>
        <row r="289">
          <cell r="A289">
            <v>286</v>
          </cell>
          <cell r="B289">
            <v>275</v>
          </cell>
          <cell r="C289">
            <v>0.95973154362416102</v>
          </cell>
          <cell r="D289" t="str">
            <v>М201БМИЭФ182</v>
          </cell>
          <cell r="E289" t="str">
            <v>Насуханова Ясмина Шаамановна</v>
          </cell>
          <cell r="F289">
            <v>4</v>
          </cell>
          <cell r="G289">
            <v>5</v>
          </cell>
          <cell r="H289">
            <v>17.852756410256411</v>
          </cell>
          <cell r="I289">
            <v>2</v>
          </cell>
          <cell r="J289">
            <v>2</v>
          </cell>
          <cell r="K289">
            <v>22.85780566280566</v>
          </cell>
          <cell r="L289">
            <v>3</v>
          </cell>
          <cell r="M289">
            <v>2</v>
          </cell>
          <cell r="N289">
            <v>15.935666666666666</v>
          </cell>
          <cell r="O289">
            <v>2</v>
          </cell>
          <cell r="P289">
            <v>2</v>
          </cell>
          <cell r="Q289">
            <v>25</v>
          </cell>
          <cell r="R289">
            <v>2</v>
          </cell>
          <cell r="S289">
            <v>2</v>
          </cell>
          <cell r="Z289">
            <v>44.703703703703695</v>
          </cell>
          <cell r="AB289">
            <v>41</v>
          </cell>
          <cell r="AC289">
            <v>5.5</v>
          </cell>
          <cell r="AD289">
            <v>28.154533171533171</v>
          </cell>
          <cell r="AE289" t="str">
            <v>М201БМИЭФ182</v>
          </cell>
        </row>
        <row r="290">
          <cell r="A290">
            <v>287</v>
          </cell>
          <cell r="B290">
            <v>276</v>
          </cell>
          <cell r="C290">
            <v>0.96308724832214765</v>
          </cell>
          <cell r="D290" t="str">
            <v>М201БМИЭФ286</v>
          </cell>
          <cell r="E290" t="str">
            <v>Киселев Георгий</v>
          </cell>
          <cell r="F290">
            <v>4</v>
          </cell>
          <cell r="G290">
            <v>6</v>
          </cell>
          <cell r="H290">
            <v>13.745064102564104</v>
          </cell>
          <cell r="I290">
            <v>2</v>
          </cell>
          <cell r="J290">
            <v>2</v>
          </cell>
          <cell r="K290">
            <v>19.30388897420147</v>
          </cell>
          <cell r="L290">
            <v>3</v>
          </cell>
          <cell r="M290">
            <v>2</v>
          </cell>
          <cell r="N290">
            <v>15.466944444444454</v>
          </cell>
          <cell r="O290">
            <v>2</v>
          </cell>
          <cell r="P290">
            <v>2</v>
          </cell>
          <cell r="T290">
            <v>57</v>
          </cell>
          <cell r="U290">
            <v>6</v>
          </cell>
          <cell r="V290">
            <v>4</v>
          </cell>
          <cell r="Z290">
            <v>31.481481481481485</v>
          </cell>
          <cell r="AB290">
            <v>42.3</v>
          </cell>
          <cell r="AC290">
            <v>5.5</v>
          </cell>
          <cell r="AD290">
            <v>27.41770527321664</v>
          </cell>
          <cell r="AE290" t="str">
            <v>М201БМИЭФ286</v>
          </cell>
        </row>
        <row r="291">
          <cell r="A291">
            <v>288</v>
          </cell>
          <cell r="B291">
            <v>277</v>
          </cell>
          <cell r="C291">
            <v>0.96644295302013428</v>
          </cell>
          <cell r="D291" t="str">
            <v>М191БМИЭФ300</v>
          </cell>
          <cell r="E291" t="str">
            <v>Цзян Хаоюнь</v>
          </cell>
          <cell r="F291">
            <v>1</v>
          </cell>
          <cell r="G291">
            <v>3</v>
          </cell>
          <cell r="H291">
            <v>39.824230769230766</v>
          </cell>
          <cell r="I291">
            <v>4</v>
          </cell>
          <cell r="J291">
            <v>3</v>
          </cell>
          <cell r="N291">
            <v>48.48655555555554</v>
          </cell>
          <cell r="O291">
            <v>5</v>
          </cell>
          <cell r="P291">
            <v>3</v>
          </cell>
          <cell r="Z291">
            <v>0</v>
          </cell>
          <cell r="AA291">
            <v>17</v>
          </cell>
          <cell r="AC291">
            <v>4</v>
          </cell>
          <cell r="AD291">
            <v>26.327696581196577</v>
          </cell>
          <cell r="AE291" t="str">
            <v>М191БМИЭФ300</v>
          </cell>
        </row>
        <row r="292">
          <cell r="A292">
            <v>289</v>
          </cell>
          <cell r="B292">
            <v>278</v>
          </cell>
          <cell r="C292">
            <v>0.96979865771812079</v>
          </cell>
          <cell r="D292" t="str">
            <v>М201БМИЭФ065</v>
          </cell>
          <cell r="E292" t="str">
            <v>Виноградов Дмитрий Борисович</v>
          </cell>
          <cell r="F292">
            <v>6</v>
          </cell>
          <cell r="G292">
            <v>9</v>
          </cell>
          <cell r="H292">
            <v>10.894871794871795</v>
          </cell>
          <cell r="I292">
            <v>1</v>
          </cell>
          <cell r="J292">
            <v>2</v>
          </cell>
          <cell r="K292">
            <v>22.351156223114423</v>
          </cell>
          <cell r="L292">
            <v>3</v>
          </cell>
          <cell r="M292">
            <v>2</v>
          </cell>
          <cell r="N292">
            <v>15.177499999999995</v>
          </cell>
          <cell r="O292">
            <v>2</v>
          </cell>
          <cell r="P292">
            <v>2</v>
          </cell>
          <cell r="Q292">
            <v>5</v>
          </cell>
          <cell r="R292">
            <v>1</v>
          </cell>
          <cell r="S292">
            <v>2</v>
          </cell>
          <cell r="Z292">
            <v>40.888888888888886</v>
          </cell>
          <cell r="AB292">
            <v>50</v>
          </cell>
          <cell r="AC292">
            <v>5.5</v>
          </cell>
          <cell r="AD292">
            <v>25.784075801250022</v>
          </cell>
          <cell r="AE292" t="str">
            <v>М201БМИЭФ065</v>
          </cell>
        </row>
        <row r="293">
          <cell r="A293">
            <v>290</v>
          </cell>
          <cell r="B293">
            <v>279</v>
          </cell>
          <cell r="C293">
            <v>0.97315436241610742</v>
          </cell>
          <cell r="D293" t="str">
            <v>М201БМИЭФ081</v>
          </cell>
          <cell r="E293" t="str">
            <v>Гольм Юлия Вадимовна</v>
          </cell>
          <cell r="F293">
            <v>11</v>
          </cell>
          <cell r="G293">
            <v>12</v>
          </cell>
          <cell r="H293">
            <v>10.043333333333335</v>
          </cell>
          <cell r="I293">
            <v>1</v>
          </cell>
          <cell r="J293">
            <v>2</v>
          </cell>
          <cell r="K293">
            <v>19.427269590313067</v>
          </cell>
          <cell r="L293">
            <v>3</v>
          </cell>
          <cell r="M293">
            <v>2</v>
          </cell>
          <cell r="N293">
            <v>19.284222222222244</v>
          </cell>
          <cell r="O293">
            <v>2</v>
          </cell>
          <cell r="P293">
            <v>2</v>
          </cell>
          <cell r="Q293">
            <v>12</v>
          </cell>
          <cell r="R293">
            <v>1</v>
          </cell>
          <cell r="S293">
            <v>2</v>
          </cell>
          <cell r="Z293">
            <v>32.222222222222221</v>
          </cell>
          <cell r="AB293">
            <v>47.8</v>
          </cell>
          <cell r="AC293">
            <v>5.5</v>
          </cell>
          <cell r="AD293">
            <v>24.504917703289244</v>
          </cell>
          <cell r="AE293" t="str">
            <v>М201БМИЭФ081</v>
          </cell>
        </row>
        <row r="294">
          <cell r="A294">
            <v>291</v>
          </cell>
          <cell r="B294">
            <v>280</v>
          </cell>
          <cell r="C294">
            <v>0.97651006711409394</v>
          </cell>
          <cell r="D294" t="str">
            <v>М201БМИЭФ299</v>
          </cell>
          <cell r="E294" t="str">
            <v>Кабылбеков Алихан</v>
          </cell>
          <cell r="F294" t="str">
            <v>12 online</v>
          </cell>
          <cell r="G294" t="str">
            <v>17 online</v>
          </cell>
          <cell r="H294">
            <v>15.418333333333333</v>
          </cell>
          <cell r="I294">
            <v>2</v>
          </cell>
          <cell r="J294">
            <v>2</v>
          </cell>
          <cell r="K294">
            <v>32.925276169026169</v>
          </cell>
          <cell r="L294">
            <v>4</v>
          </cell>
          <cell r="M294">
            <v>3</v>
          </cell>
          <cell r="N294">
            <v>15.03566666666665</v>
          </cell>
          <cell r="O294">
            <v>2</v>
          </cell>
          <cell r="P294">
            <v>2</v>
          </cell>
          <cell r="Q294">
            <v>3</v>
          </cell>
          <cell r="R294">
            <v>1</v>
          </cell>
          <cell r="S294">
            <v>2</v>
          </cell>
          <cell r="Z294">
            <v>32.777777777777779</v>
          </cell>
          <cell r="AA294">
            <v>28.666666666666668</v>
          </cell>
          <cell r="AC294">
            <v>5.5</v>
          </cell>
          <cell r="AD294">
            <v>22.967949202449201</v>
          </cell>
          <cell r="AE294" t="str">
            <v>М201БМИЭФ299</v>
          </cell>
        </row>
        <row r="295">
          <cell r="A295">
            <v>292</v>
          </cell>
          <cell r="B295">
            <v>281</v>
          </cell>
          <cell r="C295">
            <v>0.97986577181208057</v>
          </cell>
          <cell r="D295" t="str">
            <v>М201БМИЭФ294</v>
          </cell>
          <cell r="E295" t="str">
            <v>Казыханов Ален</v>
          </cell>
          <cell r="F295" t="str">
            <v>12 online</v>
          </cell>
          <cell r="G295" t="str">
            <v>17 online</v>
          </cell>
          <cell r="H295">
            <v>16.6525</v>
          </cell>
          <cell r="I295">
            <v>2</v>
          </cell>
          <cell r="J295">
            <v>2</v>
          </cell>
          <cell r="K295">
            <v>28.323561386061385</v>
          </cell>
          <cell r="L295">
            <v>4</v>
          </cell>
          <cell r="M295">
            <v>3</v>
          </cell>
          <cell r="N295">
            <v>17.7777777777778</v>
          </cell>
          <cell r="O295">
            <v>2</v>
          </cell>
          <cell r="P295">
            <v>2</v>
          </cell>
          <cell r="Q295">
            <v>5</v>
          </cell>
          <cell r="R295">
            <v>1</v>
          </cell>
          <cell r="S295">
            <v>2</v>
          </cell>
          <cell r="Z295">
            <v>32.777777777777779</v>
          </cell>
          <cell r="AA295">
            <v>22</v>
          </cell>
          <cell r="AC295">
            <v>5.5</v>
          </cell>
          <cell r="AD295">
            <v>21.823930353021264</v>
          </cell>
          <cell r="AE295" t="str">
            <v>М201БМИЭФ294</v>
          </cell>
        </row>
        <row r="296">
          <cell r="A296">
            <v>293</v>
          </cell>
          <cell r="B296">
            <v>282</v>
          </cell>
          <cell r="C296">
            <v>0.98322147651006708</v>
          </cell>
          <cell r="D296" t="str">
            <v>М201БМИЭФ017</v>
          </cell>
          <cell r="E296" t="str">
            <v>Яо Юймо</v>
          </cell>
          <cell r="F296" t="str">
            <v>12 online</v>
          </cell>
          <cell r="G296" t="str">
            <v>17 online</v>
          </cell>
          <cell r="H296">
            <v>39.783333333333331</v>
          </cell>
          <cell r="I296">
            <v>4</v>
          </cell>
          <cell r="J296">
            <v>3</v>
          </cell>
          <cell r="K296">
            <v>0</v>
          </cell>
          <cell r="L296">
            <v>1</v>
          </cell>
          <cell r="M296">
            <v>2</v>
          </cell>
          <cell r="N296">
            <v>36.267833333333343</v>
          </cell>
          <cell r="O296">
            <v>4</v>
          </cell>
          <cell r="P296">
            <v>3</v>
          </cell>
          <cell r="T296">
            <v>32</v>
          </cell>
          <cell r="U296">
            <v>3</v>
          </cell>
          <cell r="V296">
            <v>2</v>
          </cell>
          <cell r="Z296">
            <v>0</v>
          </cell>
          <cell r="AA296">
            <v>15</v>
          </cell>
          <cell r="AC296">
            <v>5.5</v>
          </cell>
          <cell r="AD296">
            <v>19.463848484848487</v>
          </cell>
          <cell r="AE296" t="str">
            <v>М201БМИЭФ017</v>
          </cell>
        </row>
        <row r="297">
          <cell r="A297">
            <v>294</v>
          </cell>
          <cell r="B297">
            <v>283</v>
          </cell>
          <cell r="C297">
            <v>0.98657718120805371</v>
          </cell>
          <cell r="D297" t="str">
            <v>М201БМИЭФ008</v>
          </cell>
          <cell r="E297" t="str">
            <v>Ван Юйцзе</v>
          </cell>
          <cell r="F297">
            <v>11</v>
          </cell>
          <cell r="G297">
            <v>13</v>
          </cell>
          <cell r="H297">
            <v>19.101025641025643</v>
          </cell>
          <cell r="I297">
            <v>2</v>
          </cell>
          <cell r="J297">
            <v>2</v>
          </cell>
          <cell r="K297">
            <v>16.292387759583413</v>
          </cell>
          <cell r="L297">
            <v>3</v>
          </cell>
          <cell r="M297">
            <v>2</v>
          </cell>
          <cell r="N297">
            <v>9.9206111111110999</v>
          </cell>
          <cell r="O297">
            <v>1</v>
          </cell>
          <cell r="P297">
            <v>2</v>
          </cell>
          <cell r="T297">
            <v>11</v>
          </cell>
          <cell r="U297">
            <v>1</v>
          </cell>
          <cell r="V297">
            <v>2</v>
          </cell>
          <cell r="Z297">
            <v>28.518518518518519</v>
          </cell>
          <cell r="AA297">
            <v>25</v>
          </cell>
          <cell r="AC297">
            <v>5.5</v>
          </cell>
          <cell r="AD297">
            <v>18.969553278225213</v>
          </cell>
          <cell r="AE297" t="str">
            <v>М201БМИЭФ008</v>
          </cell>
        </row>
        <row r="298">
          <cell r="A298">
            <v>295</v>
          </cell>
          <cell r="B298">
            <v>284</v>
          </cell>
          <cell r="C298">
            <v>0.98993288590604023</v>
          </cell>
          <cell r="D298" t="str">
            <v>М201БМИЭФ090</v>
          </cell>
          <cell r="E298" t="str">
            <v>Дубинина Ксения Михайловна</v>
          </cell>
          <cell r="F298">
            <v>9</v>
          </cell>
          <cell r="G298">
            <v>16</v>
          </cell>
          <cell r="H298">
            <v>14.340833333333334</v>
          </cell>
          <cell r="I298">
            <v>2</v>
          </cell>
          <cell r="J298">
            <v>2</v>
          </cell>
          <cell r="K298">
            <v>2.88</v>
          </cell>
          <cell r="L298">
            <v>1</v>
          </cell>
          <cell r="M298">
            <v>2</v>
          </cell>
          <cell r="N298">
            <v>1.7201666666666653</v>
          </cell>
          <cell r="O298">
            <v>1</v>
          </cell>
          <cell r="P298">
            <v>2</v>
          </cell>
          <cell r="Q298">
            <v>22</v>
          </cell>
          <cell r="R298">
            <v>2</v>
          </cell>
          <cell r="S298">
            <v>2</v>
          </cell>
          <cell r="Z298">
            <v>44.074074074074076</v>
          </cell>
          <cell r="AB298">
            <v>24</v>
          </cell>
          <cell r="AC298">
            <v>5.5</v>
          </cell>
          <cell r="AD298">
            <v>17.820922558922561</v>
          </cell>
          <cell r="AE298" t="str">
            <v>М201БМИЭФ090</v>
          </cell>
        </row>
        <row r="299">
          <cell r="A299">
            <v>296</v>
          </cell>
          <cell r="B299">
            <v>285</v>
          </cell>
          <cell r="C299">
            <v>0.99328859060402686</v>
          </cell>
          <cell r="D299" t="str">
            <v>М191БМИЭФ292</v>
          </cell>
          <cell r="E299" t="str">
            <v>Зайнобиддинов Хожиакбар Мухаммаджон</v>
          </cell>
          <cell r="F299" t="str">
            <v>12 online</v>
          </cell>
          <cell r="G299" t="str">
            <v>17 online</v>
          </cell>
          <cell r="H299">
            <v>5.0175000000000001</v>
          </cell>
          <cell r="I299">
            <v>1</v>
          </cell>
          <cell r="J299">
            <v>2</v>
          </cell>
          <cell r="K299">
            <v>0</v>
          </cell>
          <cell r="L299">
            <v>0</v>
          </cell>
          <cell r="M299">
            <v>2</v>
          </cell>
          <cell r="N299">
            <v>2.6666666666666652</v>
          </cell>
          <cell r="O299">
            <v>1</v>
          </cell>
          <cell r="P299">
            <v>2</v>
          </cell>
          <cell r="Q299">
            <v>27</v>
          </cell>
          <cell r="R299">
            <v>1</v>
          </cell>
          <cell r="S299">
            <v>2</v>
          </cell>
          <cell r="Z299">
            <v>39.25925925925926</v>
          </cell>
          <cell r="AB299">
            <v>21.5</v>
          </cell>
          <cell r="AC299">
            <v>5.5</v>
          </cell>
          <cell r="AD299">
            <v>14.898804713804713</v>
          </cell>
          <cell r="AE299" t="str">
            <v>М191БМИЭФ292</v>
          </cell>
        </row>
        <row r="300">
          <cell r="A300">
            <v>297</v>
          </cell>
          <cell r="B300">
            <v>286</v>
          </cell>
          <cell r="C300">
            <v>0.99664429530201337</v>
          </cell>
          <cell r="D300" t="str">
            <v>М201БМИЭФ255</v>
          </cell>
          <cell r="E300" t="str">
            <v>Ходырев Александр Евгеньевич</v>
          </cell>
          <cell r="F300">
            <v>11</v>
          </cell>
          <cell r="G300">
            <v>16</v>
          </cell>
          <cell r="H300">
            <v>11.777564102564103</v>
          </cell>
          <cell r="I300">
            <v>2</v>
          </cell>
          <cell r="J300">
            <v>2</v>
          </cell>
          <cell r="K300">
            <v>0</v>
          </cell>
          <cell r="L300">
            <v>1</v>
          </cell>
          <cell r="M300">
            <v>2</v>
          </cell>
          <cell r="N300">
            <v>8.3736666666666562</v>
          </cell>
          <cell r="O300">
            <v>1</v>
          </cell>
          <cell r="P300">
            <v>2</v>
          </cell>
          <cell r="Q300">
            <v>19</v>
          </cell>
          <cell r="R300">
            <v>1</v>
          </cell>
          <cell r="S300">
            <v>2</v>
          </cell>
          <cell r="Z300">
            <v>39.166666666666664</v>
          </cell>
          <cell r="AB300">
            <v>12</v>
          </cell>
          <cell r="AC300">
            <v>5.5</v>
          </cell>
          <cell r="AD300">
            <v>14.694163170163167</v>
          </cell>
          <cell r="AE300" t="str">
            <v>М201БМИЭФ255</v>
          </cell>
        </row>
        <row r="301">
          <cell r="A301">
            <v>298</v>
          </cell>
          <cell r="B301">
            <v>287</v>
          </cell>
          <cell r="C301">
            <v>1</v>
          </cell>
          <cell r="D301" t="str">
            <v>М201БМИЭФ022</v>
          </cell>
          <cell r="E301" t="str">
            <v>Чжао Хэннань</v>
          </cell>
          <cell r="F301" t="str">
            <v>12 online</v>
          </cell>
          <cell r="G301" t="str">
            <v>17 online</v>
          </cell>
          <cell r="H301">
            <v>0</v>
          </cell>
          <cell r="I301">
            <v>1</v>
          </cell>
          <cell r="J301">
            <v>2</v>
          </cell>
          <cell r="K301">
            <v>0</v>
          </cell>
          <cell r="L301">
            <v>1</v>
          </cell>
          <cell r="M301">
            <v>2</v>
          </cell>
          <cell r="N301">
            <v>0</v>
          </cell>
          <cell r="O301">
            <v>1</v>
          </cell>
          <cell r="P301">
            <v>2</v>
          </cell>
          <cell r="T301">
            <v>0</v>
          </cell>
          <cell r="U301">
            <v>1</v>
          </cell>
          <cell r="V301">
            <v>2</v>
          </cell>
          <cell r="Z301">
            <v>0</v>
          </cell>
          <cell r="AA301">
            <v>0</v>
          </cell>
          <cell r="AC301">
            <v>5.5</v>
          </cell>
          <cell r="AD301">
            <v>0</v>
          </cell>
          <cell r="AE301" t="str">
            <v>М201БМИЭФ022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des"/>
      <sheetName val="Schema"/>
      <sheetName val="Detail"/>
    </sheetNames>
    <sheetDataSet>
      <sheetData sheetId="0" refreshError="1"/>
      <sheetData sheetId="1" refreshError="1"/>
      <sheetData sheetId="2">
        <row r="1">
          <cell r="C1" t="str">
            <v>Omelchenko</v>
          </cell>
          <cell r="D1" t="str">
            <v>de Vlieger</v>
          </cell>
          <cell r="E1" t="str">
            <v>Ottens</v>
          </cell>
          <cell r="F1" t="str">
            <v>Glazkov</v>
          </cell>
          <cell r="G1" t="str">
            <v>Aslanova</v>
          </cell>
          <cell r="H1" t="str">
            <v>Mironova</v>
          </cell>
          <cell r="I1" t="str">
            <v>Kalyapin</v>
          </cell>
          <cell r="J1" t="str">
            <v>Overdick</v>
          </cell>
          <cell r="K1" t="str">
            <v>Silina</v>
          </cell>
          <cell r="L1" t="str">
            <v>Makarov</v>
          </cell>
          <cell r="M1" t="str">
            <v>Chiriac</v>
          </cell>
          <cell r="N1" t="str">
            <v>Shoniya</v>
          </cell>
          <cell r="O1" t="str">
            <v>Dergachev</v>
          </cell>
          <cell r="P1" t="str">
            <v>Sukasyan</v>
          </cell>
          <cell r="Q1" t="str">
            <v>Pyankov</v>
          </cell>
          <cell r="R1" t="str">
            <v>Popova</v>
          </cell>
          <cell r="S1" t="str">
            <v>Shisharin</v>
          </cell>
          <cell r="T1" t="str">
            <v>Smirnov</v>
          </cell>
        </row>
        <row r="2">
          <cell r="C2">
            <v>2</v>
          </cell>
          <cell r="D2">
            <v>2</v>
          </cell>
          <cell r="E2">
            <v>2</v>
          </cell>
          <cell r="F2">
            <v>1.3</v>
          </cell>
          <cell r="G2">
            <v>2</v>
          </cell>
          <cell r="H2">
            <v>2</v>
          </cell>
          <cell r="I2">
            <v>1.3</v>
          </cell>
          <cell r="J2">
            <v>1.4</v>
          </cell>
          <cell r="K2">
            <v>2</v>
          </cell>
          <cell r="L2">
            <v>2</v>
          </cell>
          <cell r="M2">
            <v>2</v>
          </cell>
          <cell r="N2">
            <v>1.3</v>
          </cell>
          <cell r="O2">
            <v>2</v>
          </cell>
          <cell r="P2">
            <v>2</v>
          </cell>
          <cell r="Q2">
            <v>2</v>
          </cell>
          <cell r="R2">
            <v>1.4</v>
          </cell>
          <cell r="S2">
            <v>1.4</v>
          </cell>
          <cell r="T2">
            <v>1.4</v>
          </cell>
        </row>
        <row r="3">
          <cell r="C3">
            <v>1.2</v>
          </cell>
          <cell r="D3">
            <v>2</v>
          </cell>
          <cell r="E3">
            <v>2</v>
          </cell>
          <cell r="F3">
            <v>2</v>
          </cell>
          <cell r="G3">
            <v>2</v>
          </cell>
          <cell r="H3">
            <v>2</v>
          </cell>
          <cell r="I3">
            <v>2</v>
          </cell>
          <cell r="J3">
            <v>2</v>
          </cell>
          <cell r="K3">
            <v>2</v>
          </cell>
          <cell r="L3">
            <v>2</v>
          </cell>
          <cell r="M3">
            <v>1.2</v>
          </cell>
          <cell r="N3">
            <v>2</v>
          </cell>
          <cell r="O3">
            <v>1.6</v>
          </cell>
          <cell r="P3">
            <v>2</v>
          </cell>
          <cell r="Q3">
            <v>2</v>
          </cell>
          <cell r="R3">
            <v>2</v>
          </cell>
          <cell r="S3">
            <v>2</v>
          </cell>
          <cell r="T3">
            <v>2</v>
          </cell>
        </row>
        <row r="4">
          <cell r="C4">
            <v>1</v>
          </cell>
          <cell r="D4">
            <v>1</v>
          </cell>
          <cell r="E4">
            <v>0</v>
          </cell>
          <cell r="F4">
            <v>1</v>
          </cell>
          <cell r="G4">
            <v>1</v>
          </cell>
          <cell r="H4">
            <v>0</v>
          </cell>
          <cell r="I4">
            <v>0</v>
          </cell>
          <cell r="J4">
            <v>1</v>
          </cell>
          <cell r="K4">
            <v>0</v>
          </cell>
          <cell r="L4">
            <v>1</v>
          </cell>
          <cell r="M4">
            <v>0</v>
          </cell>
          <cell r="N4">
            <v>1</v>
          </cell>
          <cell r="O4">
            <v>1</v>
          </cell>
          <cell r="P4">
            <v>0</v>
          </cell>
          <cell r="Q4">
            <v>0</v>
          </cell>
          <cell r="R4">
            <v>0</v>
          </cell>
          <cell r="S4">
            <v>1</v>
          </cell>
          <cell r="T4">
            <v>1</v>
          </cell>
        </row>
        <row r="5">
          <cell r="C5">
            <v>1</v>
          </cell>
          <cell r="D5">
            <v>2</v>
          </cell>
          <cell r="E5">
            <v>1</v>
          </cell>
          <cell r="F5">
            <v>1</v>
          </cell>
          <cell r="G5">
            <v>2</v>
          </cell>
          <cell r="H5">
            <v>1</v>
          </cell>
          <cell r="I5">
            <v>1</v>
          </cell>
          <cell r="J5">
            <v>2</v>
          </cell>
          <cell r="K5">
            <v>2</v>
          </cell>
          <cell r="L5">
            <v>2</v>
          </cell>
          <cell r="M5">
            <v>1</v>
          </cell>
          <cell r="N5">
            <v>2</v>
          </cell>
          <cell r="O5">
            <v>1</v>
          </cell>
          <cell r="P5">
            <v>1.5</v>
          </cell>
          <cell r="Q5">
            <v>2</v>
          </cell>
          <cell r="R5">
            <v>2</v>
          </cell>
          <cell r="S5">
            <v>2</v>
          </cell>
          <cell r="T5">
            <v>2</v>
          </cell>
        </row>
        <row r="6">
          <cell r="C6">
            <v>2</v>
          </cell>
          <cell r="D6">
            <v>2</v>
          </cell>
          <cell r="E6">
            <v>2</v>
          </cell>
          <cell r="F6">
            <v>2</v>
          </cell>
          <cell r="G6">
            <v>2</v>
          </cell>
          <cell r="H6">
            <v>2</v>
          </cell>
          <cell r="I6">
            <v>2</v>
          </cell>
          <cell r="J6">
            <v>2</v>
          </cell>
          <cell r="K6">
            <v>2</v>
          </cell>
          <cell r="L6">
            <v>2</v>
          </cell>
          <cell r="M6">
            <v>2</v>
          </cell>
          <cell r="N6">
            <v>2</v>
          </cell>
          <cell r="O6">
            <v>2</v>
          </cell>
          <cell r="P6">
            <v>2</v>
          </cell>
          <cell r="Q6">
            <v>2</v>
          </cell>
          <cell r="R6">
            <v>2</v>
          </cell>
          <cell r="S6">
            <v>1</v>
          </cell>
          <cell r="T6">
            <v>2</v>
          </cell>
        </row>
        <row r="7">
          <cell r="C7">
            <v>0</v>
          </cell>
          <cell r="D7">
            <v>1</v>
          </cell>
          <cell r="E7">
            <v>1</v>
          </cell>
          <cell r="F7">
            <v>1</v>
          </cell>
          <cell r="G7">
            <v>0</v>
          </cell>
          <cell r="H7">
            <v>1</v>
          </cell>
          <cell r="I7">
            <v>1</v>
          </cell>
          <cell r="J7">
            <v>1</v>
          </cell>
          <cell r="K7">
            <v>1</v>
          </cell>
          <cell r="L7">
            <v>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S7">
            <v>1</v>
          </cell>
          <cell r="T7">
            <v>1</v>
          </cell>
        </row>
        <row r="8">
          <cell r="C8">
            <v>2</v>
          </cell>
          <cell r="D8">
            <v>1</v>
          </cell>
          <cell r="E8">
            <v>1</v>
          </cell>
          <cell r="F8">
            <v>1</v>
          </cell>
          <cell r="G8">
            <v>2</v>
          </cell>
          <cell r="H8">
            <v>1</v>
          </cell>
          <cell r="I8">
            <v>2</v>
          </cell>
          <cell r="J8">
            <v>1</v>
          </cell>
          <cell r="K8">
            <v>1</v>
          </cell>
          <cell r="L8">
            <v>2</v>
          </cell>
          <cell r="M8">
            <v>1.5</v>
          </cell>
          <cell r="N8">
            <v>2</v>
          </cell>
          <cell r="O8">
            <v>2</v>
          </cell>
          <cell r="P8">
            <v>2</v>
          </cell>
          <cell r="Q8">
            <v>1.5</v>
          </cell>
          <cell r="R8">
            <v>1.5</v>
          </cell>
          <cell r="S8">
            <v>1.5</v>
          </cell>
          <cell r="T8">
            <v>1.4</v>
          </cell>
        </row>
        <row r="9">
          <cell r="C9">
            <v>2</v>
          </cell>
          <cell r="D9">
            <v>1</v>
          </cell>
          <cell r="E9">
            <v>1</v>
          </cell>
          <cell r="F9">
            <v>2</v>
          </cell>
          <cell r="G9">
            <v>1</v>
          </cell>
          <cell r="H9">
            <v>1</v>
          </cell>
          <cell r="I9">
            <v>2</v>
          </cell>
          <cell r="J9">
            <v>2</v>
          </cell>
          <cell r="K9">
            <v>2</v>
          </cell>
          <cell r="L9">
            <v>2</v>
          </cell>
          <cell r="M9">
            <v>2</v>
          </cell>
          <cell r="N9">
            <v>2</v>
          </cell>
          <cell r="O9">
            <v>2</v>
          </cell>
          <cell r="P9">
            <v>2</v>
          </cell>
          <cell r="Q9">
            <v>2</v>
          </cell>
          <cell r="R9">
            <v>1</v>
          </cell>
          <cell r="S9">
            <v>2</v>
          </cell>
          <cell r="T9">
            <v>1</v>
          </cell>
        </row>
        <row r="10">
          <cell r="C10">
            <v>1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1</v>
          </cell>
          <cell r="S10">
            <v>1</v>
          </cell>
          <cell r="T10">
            <v>1</v>
          </cell>
        </row>
        <row r="11">
          <cell r="C11">
            <v>1.5</v>
          </cell>
          <cell r="D11">
            <v>1.5</v>
          </cell>
          <cell r="E11">
            <v>0</v>
          </cell>
          <cell r="F11">
            <v>1.5</v>
          </cell>
          <cell r="G11">
            <v>1.5</v>
          </cell>
          <cell r="H11">
            <v>1.5</v>
          </cell>
          <cell r="I11">
            <v>1.5</v>
          </cell>
          <cell r="J11">
            <v>1</v>
          </cell>
          <cell r="K11">
            <v>1.5</v>
          </cell>
          <cell r="L11">
            <v>1.5</v>
          </cell>
          <cell r="M11">
            <v>1</v>
          </cell>
          <cell r="N11">
            <v>0.75</v>
          </cell>
          <cell r="O11">
            <v>1.5</v>
          </cell>
          <cell r="P11">
            <v>1.5</v>
          </cell>
          <cell r="Q11">
            <v>0.75</v>
          </cell>
          <cell r="R11">
            <v>0.75</v>
          </cell>
          <cell r="S11">
            <v>1.5</v>
          </cell>
          <cell r="T11">
            <v>0.75</v>
          </cell>
        </row>
        <row r="12">
          <cell r="C12">
            <v>1</v>
          </cell>
          <cell r="D12">
            <v>1</v>
          </cell>
          <cell r="E12">
            <v>1</v>
          </cell>
          <cell r="F12">
            <v>1.5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L12">
            <v>1</v>
          </cell>
          <cell r="M12">
            <v>0.5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1</v>
          </cell>
          <cell r="S12">
            <v>0.5</v>
          </cell>
          <cell r="T12">
            <v>1</v>
          </cell>
        </row>
        <row r="13">
          <cell r="C13">
            <v>1.5</v>
          </cell>
          <cell r="D13">
            <v>1.2</v>
          </cell>
          <cell r="E13">
            <v>0.9</v>
          </cell>
          <cell r="F13">
            <v>1.2</v>
          </cell>
          <cell r="G13">
            <v>1.5</v>
          </cell>
          <cell r="H13">
            <v>1.5</v>
          </cell>
          <cell r="I13">
            <v>1.2</v>
          </cell>
          <cell r="J13">
            <v>0.9</v>
          </cell>
          <cell r="K13">
            <v>1.5</v>
          </cell>
          <cell r="L13">
            <v>1.8</v>
          </cell>
          <cell r="M13">
            <v>1.8</v>
          </cell>
          <cell r="N13">
            <v>0.9</v>
          </cell>
          <cell r="O13">
            <v>1.5</v>
          </cell>
          <cell r="P13">
            <v>1.5</v>
          </cell>
          <cell r="Q13">
            <v>1.2</v>
          </cell>
          <cell r="R13">
            <v>1.2</v>
          </cell>
          <cell r="S13">
            <v>0.9</v>
          </cell>
          <cell r="T13">
            <v>1.2</v>
          </cell>
        </row>
        <row r="14">
          <cell r="C14">
            <v>0</v>
          </cell>
          <cell r="D14">
            <v>1</v>
          </cell>
          <cell r="E14">
            <v>0</v>
          </cell>
          <cell r="F14">
            <v>1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</v>
          </cell>
          <cell r="M14">
            <v>0</v>
          </cell>
          <cell r="N14">
            <v>1</v>
          </cell>
          <cell r="O14">
            <v>0</v>
          </cell>
          <cell r="P14">
            <v>1</v>
          </cell>
          <cell r="Q14">
            <v>0</v>
          </cell>
          <cell r="R14">
            <v>0</v>
          </cell>
          <cell r="S14">
            <v>1</v>
          </cell>
          <cell r="T14">
            <v>0.3</v>
          </cell>
        </row>
        <row r="15">
          <cell r="C15">
            <v>2</v>
          </cell>
          <cell r="D15">
            <v>2</v>
          </cell>
          <cell r="E15">
            <v>0</v>
          </cell>
          <cell r="F15">
            <v>2</v>
          </cell>
          <cell r="G15">
            <v>1.5</v>
          </cell>
          <cell r="H15">
            <v>2</v>
          </cell>
          <cell r="I15">
            <v>2</v>
          </cell>
          <cell r="J15">
            <v>2</v>
          </cell>
          <cell r="K15">
            <v>2</v>
          </cell>
          <cell r="L15">
            <v>2</v>
          </cell>
          <cell r="M15">
            <v>2</v>
          </cell>
          <cell r="N15">
            <v>0.5</v>
          </cell>
          <cell r="O15">
            <v>2</v>
          </cell>
          <cell r="P15">
            <v>2</v>
          </cell>
          <cell r="Q15">
            <v>2</v>
          </cell>
          <cell r="R15">
            <v>2</v>
          </cell>
          <cell r="S15">
            <v>2</v>
          </cell>
          <cell r="T15">
            <v>2</v>
          </cell>
        </row>
        <row r="16">
          <cell r="C16">
            <v>0</v>
          </cell>
          <cell r="D16">
            <v>1.2</v>
          </cell>
          <cell r="E16">
            <v>0.4</v>
          </cell>
          <cell r="F16">
            <v>1.2</v>
          </cell>
          <cell r="G16">
            <v>0.8</v>
          </cell>
          <cell r="H16">
            <v>0</v>
          </cell>
          <cell r="I16">
            <v>1.2</v>
          </cell>
          <cell r="J16">
            <v>0.4</v>
          </cell>
          <cell r="K16">
            <v>0.8</v>
          </cell>
          <cell r="L16">
            <v>1.2</v>
          </cell>
          <cell r="M16">
            <v>0.4</v>
          </cell>
          <cell r="N16">
            <v>0</v>
          </cell>
          <cell r="O16">
            <v>1.2</v>
          </cell>
          <cell r="P16">
            <v>0.8</v>
          </cell>
          <cell r="Q16">
            <v>1.2</v>
          </cell>
          <cell r="R16">
            <v>0.4</v>
          </cell>
          <cell r="S16">
            <v>1.2</v>
          </cell>
          <cell r="T16">
            <v>0.8</v>
          </cell>
        </row>
        <row r="17">
          <cell r="C17">
            <v>1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0</v>
          </cell>
          <cell r="I17">
            <v>1</v>
          </cell>
          <cell r="J17">
            <v>1</v>
          </cell>
          <cell r="K17">
            <v>1</v>
          </cell>
          <cell r="L17">
            <v>1</v>
          </cell>
          <cell r="M17">
            <v>1</v>
          </cell>
          <cell r="N17">
            <v>0</v>
          </cell>
          <cell r="O17">
            <v>1</v>
          </cell>
          <cell r="P17">
            <v>1</v>
          </cell>
          <cell r="Q17">
            <v>1</v>
          </cell>
          <cell r="R17">
            <v>1</v>
          </cell>
          <cell r="S17">
            <v>1</v>
          </cell>
          <cell r="T17">
            <v>0</v>
          </cell>
        </row>
        <row r="18">
          <cell r="C18">
            <v>1</v>
          </cell>
          <cell r="D18">
            <v>0</v>
          </cell>
          <cell r="E18">
            <v>0</v>
          </cell>
          <cell r="F18">
            <v>1</v>
          </cell>
          <cell r="G18">
            <v>1</v>
          </cell>
          <cell r="H18">
            <v>0</v>
          </cell>
          <cell r="I18">
            <v>0</v>
          </cell>
          <cell r="J18">
            <v>1</v>
          </cell>
          <cell r="K18">
            <v>1</v>
          </cell>
          <cell r="L18">
            <v>1</v>
          </cell>
          <cell r="M18">
            <v>1</v>
          </cell>
          <cell r="N18">
            <v>0</v>
          </cell>
          <cell r="O18">
            <v>0</v>
          </cell>
          <cell r="P18">
            <v>1</v>
          </cell>
          <cell r="Q18">
            <v>1</v>
          </cell>
          <cell r="R18">
            <v>1</v>
          </cell>
          <cell r="S18">
            <v>1</v>
          </cell>
          <cell r="T18">
            <v>1</v>
          </cell>
        </row>
        <row r="19">
          <cell r="C19">
            <v>1</v>
          </cell>
          <cell r="D19">
            <v>1</v>
          </cell>
          <cell r="E19">
            <v>1</v>
          </cell>
          <cell r="F19">
            <v>1</v>
          </cell>
          <cell r="G19">
            <v>0</v>
          </cell>
          <cell r="H19">
            <v>1</v>
          </cell>
          <cell r="I19">
            <v>1</v>
          </cell>
          <cell r="J19">
            <v>1</v>
          </cell>
          <cell r="K19">
            <v>0</v>
          </cell>
          <cell r="L19">
            <v>1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0</v>
          </cell>
          <cell r="S19">
            <v>1</v>
          </cell>
          <cell r="T19">
            <v>1</v>
          </cell>
        </row>
        <row r="20">
          <cell r="C20">
            <v>1</v>
          </cell>
          <cell r="D20">
            <v>2</v>
          </cell>
          <cell r="E20">
            <v>0.5</v>
          </cell>
          <cell r="F20">
            <v>1</v>
          </cell>
          <cell r="G20">
            <v>2</v>
          </cell>
          <cell r="H20">
            <v>1.8</v>
          </cell>
          <cell r="I20">
            <v>2</v>
          </cell>
          <cell r="J20">
            <v>2</v>
          </cell>
          <cell r="K20">
            <v>2</v>
          </cell>
          <cell r="L20">
            <v>2</v>
          </cell>
          <cell r="M20">
            <v>1.5</v>
          </cell>
          <cell r="N20">
            <v>2</v>
          </cell>
          <cell r="O20">
            <v>2</v>
          </cell>
          <cell r="P20">
            <v>2</v>
          </cell>
          <cell r="Q20">
            <v>2</v>
          </cell>
          <cell r="R20">
            <v>1.7</v>
          </cell>
          <cell r="S20">
            <v>2</v>
          </cell>
          <cell r="T20">
            <v>2</v>
          </cell>
        </row>
        <row r="21">
          <cell r="C21">
            <v>0.8</v>
          </cell>
          <cell r="D21">
            <v>0.8</v>
          </cell>
          <cell r="E21">
            <v>2</v>
          </cell>
          <cell r="F21">
            <v>2</v>
          </cell>
          <cell r="G21">
            <v>2</v>
          </cell>
          <cell r="H21">
            <v>1.2</v>
          </cell>
          <cell r="I21">
            <v>2</v>
          </cell>
          <cell r="J21">
            <v>2</v>
          </cell>
          <cell r="K21">
            <v>2</v>
          </cell>
          <cell r="L21">
            <v>2</v>
          </cell>
          <cell r="M21">
            <v>2</v>
          </cell>
          <cell r="N21">
            <v>0</v>
          </cell>
          <cell r="O21">
            <v>2</v>
          </cell>
          <cell r="P21">
            <v>2</v>
          </cell>
          <cell r="Q21">
            <v>1.6</v>
          </cell>
          <cell r="R21">
            <v>1.6</v>
          </cell>
          <cell r="S21">
            <v>2</v>
          </cell>
          <cell r="T21">
            <v>0</v>
          </cell>
        </row>
        <row r="22">
          <cell r="C22">
            <v>1</v>
          </cell>
          <cell r="D22">
            <v>1</v>
          </cell>
          <cell r="E22">
            <v>1</v>
          </cell>
          <cell r="F22">
            <v>1</v>
          </cell>
          <cell r="G22">
            <v>1</v>
          </cell>
          <cell r="H22">
            <v>1</v>
          </cell>
          <cell r="I22">
            <v>0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0</v>
          </cell>
          <cell r="O22">
            <v>0.5</v>
          </cell>
          <cell r="P22">
            <v>1</v>
          </cell>
          <cell r="Q22">
            <v>1</v>
          </cell>
          <cell r="R22">
            <v>1</v>
          </cell>
          <cell r="S22">
            <v>1</v>
          </cell>
          <cell r="T22">
            <v>1</v>
          </cell>
        </row>
        <row r="23">
          <cell r="C23">
            <v>1</v>
          </cell>
          <cell r="D23">
            <v>1</v>
          </cell>
          <cell r="E23">
            <v>0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0</v>
          </cell>
          <cell r="O23">
            <v>1</v>
          </cell>
          <cell r="P23">
            <v>1</v>
          </cell>
          <cell r="Q23">
            <v>1</v>
          </cell>
          <cell r="R23">
            <v>0</v>
          </cell>
          <cell r="S23">
            <v>1</v>
          </cell>
          <cell r="T23">
            <v>1</v>
          </cell>
        </row>
        <row r="24">
          <cell r="C24">
            <v>1</v>
          </cell>
          <cell r="D24">
            <v>1</v>
          </cell>
          <cell r="E24">
            <v>1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J24">
            <v>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0</v>
          </cell>
          <cell r="S24">
            <v>0</v>
          </cell>
          <cell r="T24">
            <v>1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1</v>
          </cell>
          <cell r="M25">
            <v>1</v>
          </cell>
          <cell r="N25">
            <v>1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1</v>
          </cell>
        </row>
        <row r="26">
          <cell r="C26">
            <v>1.5</v>
          </cell>
          <cell r="D26">
            <v>1.5</v>
          </cell>
          <cell r="E26">
            <v>1</v>
          </cell>
          <cell r="F26">
            <v>1.5</v>
          </cell>
          <cell r="G26">
            <v>1.5</v>
          </cell>
          <cell r="H26">
            <v>1.5</v>
          </cell>
          <cell r="I26">
            <v>1.5</v>
          </cell>
          <cell r="J26">
            <v>1.5</v>
          </cell>
          <cell r="K26">
            <v>1.5</v>
          </cell>
          <cell r="L26">
            <v>1.5</v>
          </cell>
          <cell r="M26">
            <v>1.5</v>
          </cell>
          <cell r="N26">
            <v>1</v>
          </cell>
          <cell r="O26">
            <v>1.5</v>
          </cell>
          <cell r="P26">
            <v>1.5</v>
          </cell>
          <cell r="Q26">
            <v>1.5</v>
          </cell>
          <cell r="R26">
            <v>1</v>
          </cell>
          <cell r="S26">
            <v>1.5</v>
          </cell>
          <cell r="T26">
            <v>1.5</v>
          </cell>
        </row>
        <row r="27">
          <cell r="C27">
            <v>0</v>
          </cell>
          <cell r="D27">
            <v>1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</v>
          </cell>
          <cell r="K27">
            <v>0</v>
          </cell>
          <cell r="L27">
            <v>1</v>
          </cell>
          <cell r="M27">
            <v>0</v>
          </cell>
          <cell r="N27">
            <v>0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  <cell r="S27">
            <v>0</v>
          </cell>
          <cell r="T27">
            <v>0</v>
          </cell>
        </row>
        <row r="28">
          <cell r="C28">
            <v>2</v>
          </cell>
          <cell r="D28">
            <v>2</v>
          </cell>
          <cell r="E28">
            <v>2</v>
          </cell>
          <cell r="F28">
            <v>2</v>
          </cell>
          <cell r="G28">
            <v>2</v>
          </cell>
          <cell r="H28">
            <v>0</v>
          </cell>
          <cell r="I28">
            <v>0</v>
          </cell>
          <cell r="J28">
            <v>2</v>
          </cell>
          <cell r="K28">
            <v>2</v>
          </cell>
          <cell r="L28">
            <v>2</v>
          </cell>
          <cell r="M28">
            <v>2</v>
          </cell>
          <cell r="N28">
            <v>2</v>
          </cell>
          <cell r="O28">
            <v>1</v>
          </cell>
          <cell r="P28">
            <v>2</v>
          </cell>
          <cell r="Q28">
            <v>2</v>
          </cell>
          <cell r="R28">
            <v>2</v>
          </cell>
          <cell r="S28">
            <v>2</v>
          </cell>
          <cell r="T28">
            <v>1</v>
          </cell>
        </row>
        <row r="29">
          <cell r="C29">
            <v>0</v>
          </cell>
          <cell r="D29">
            <v>2</v>
          </cell>
          <cell r="E29">
            <v>0.4</v>
          </cell>
          <cell r="F29">
            <v>1.5</v>
          </cell>
          <cell r="G29">
            <v>1</v>
          </cell>
          <cell r="H29">
            <v>0</v>
          </cell>
          <cell r="I29">
            <v>1</v>
          </cell>
          <cell r="J29">
            <v>1</v>
          </cell>
          <cell r="K29">
            <v>1.5</v>
          </cell>
          <cell r="L29">
            <v>2</v>
          </cell>
          <cell r="M29">
            <v>0.5</v>
          </cell>
          <cell r="N29">
            <v>0</v>
          </cell>
          <cell r="O29">
            <v>2</v>
          </cell>
          <cell r="P29">
            <v>2</v>
          </cell>
          <cell r="Q29">
            <v>0.5</v>
          </cell>
          <cell r="R29">
            <v>0</v>
          </cell>
          <cell r="S29">
            <v>0.5</v>
          </cell>
          <cell r="T29">
            <v>0.5</v>
          </cell>
        </row>
        <row r="30">
          <cell r="C30">
            <v>0.5</v>
          </cell>
          <cell r="D30">
            <v>1</v>
          </cell>
          <cell r="E30">
            <v>0</v>
          </cell>
          <cell r="F30">
            <v>0</v>
          </cell>
          <cell r="G30">
            <v>1</v>
          </cell>
          <cell r="H30">
            <v>0</v>
          </cell>
          <cell r="I30">
            <v>0</v>
          </cell>
          <cell r="J30">
            <v>1</v>
          </cell>
          <cell r="K30">
            <v>2</v>
          </cell>
          <cell r="L30">
            <v>3</v>
          </cell>
          <cell r="M30">
            <v>0.5</v>
          </cell>
          <cell r="N30">
            <v>0</v>
          </cell>
          <cell r="O30">
            <v>2</v>
          </cell>
          <cell r="P30">
            <v>2</v>
          </cell>
          <cell r="Q30">
            <v>0.5</v>
          </cell>
          <cell r="R30">
            <v>2</v>
          </cell>
          <cell r="S30">
            <v>0.5</v>
          </cell>
          <cell r="T30">
            <v>2</v>
          </cell>
        </row>
        <row r="31">
          <cell r="C31">
            <v>1.5</v>
          </cell>
          <cell r="D31">
            <v>0.75</v>
          </cell>
          <cell r="E31">
            <v>0.75</v>
          </cell>
          <cell r="F31">
            <v>0</v>
          </cell>
          <cell r="G31">
            <v>1.5</v>
          </cell>
          <cell r="H31">
            <v>0.75</v>
          </cell>
          <cell r="I31">
            <v>0.75</v>
          </cell>
          <cell r="J31">
            <v>1.5</v>
          </cell>
          <cell r="K31">
            <v>1.5</v>
          </cell>
          <cell r="L31">
            <v>0.75</v>
          </cell>
          <cell r="M31">
            <v>0.75</v>
          </cell>
          <cell r="N31">
            <v>0.75</v>
          </cell>
          <cell r="O31">
            <v>1.5</v>
          </cell>
          <cell r="P31">
            <v>1.5</v>
          </cell>
          <cell r="Q31">
            <v>0.75</v>
          </cell>
          <cell r="R31">
            <v>1.5</v>
          </cell>
          <cell r="S31">
            <v>1.5</v>
          </cell>
          <cell r="T31">
            <v>0.75</v>
          </cell>
        </row>
        <row r="32">
          <cell r="C32">
            <v>0.3</v>
          </cell>
          <cell r="D32">
            <v>0.5</v>
          </cell>
          <cell r="E32">
            <v>0</v>
          </cell>
          <cell r="F32">
            <v>1.5</v>
          </cell>
          <cell r="G32">
            <v>2</v>
          </cell>
          <cell r="H32">
            <v>0.2</v>
          </cell>
          <cell r="I32">
            <v>0.3</v>
          </cell>
          <cell r="J32">
            <v>2</v>
          </cell>
          <cell r="K32">
            <v>1.8</v>
          </cell>
          <cell r="L32">
            <v>1.8</v>
          </cell>
          <cell r="M32">
            <v>1</v>
          </cell>
          <cell r="N32">
            <v>0</v>
          </cell>
          <cell r="O32">
            <v>1</v>
          </cell>
          <cell r="P32">
            <v>2</v>
          </cell>
          <cell r="Q32">
            <v>2</v>
          </cell>
          <cell r="R32">
            <v>0.3</v>
          </cell>
          <cell r="S32">
            <v>1</v>
          </cell>
          <cell r="T32">
            <v>0.5</v>
          </cell>
        </row>
        <row r="33">
          <cell r="C33">
            <v>2</v>
          </cell>
          <cell r="D33">
            <v>2</v>
          </cell>
          <cell r="E33">
            <v>2</v>
          </cell>
          <cell r="F33">
            <v>2</v>
          </cell>
          <cell r="G33">
            <v>2</v>
          </cell>
          <cell r="H33">
            <v>2</v>
          </cell>
          <cell r="I33">
            <v>2</v>
          </cell>
          <cell r="J33">
            <v>2</v>
          </cell>
          <cell r="K33">
            <v>2</v>
          </cell>
          <cell r="L33">
            <v>2</v>
          </cell>
          <cell r="M33">
            <v>2</v>
          </cell>
          <cell r="N33">
            <v>0</v>
          </cell>
          <cell r="O33">
            <v>2</v>
          </cell>
          <cell r="P33">
            <v>0</v>
          </cell>
          <cell r="Q33">
            <v>0</v>
          </cell>
          <cell r="R33">
            <v>0</v>
          </cell>
          <cell r="S33">
            <v>2</v>
          </cell>
          <cell r="T33">
            <v>0</v>
          </cell>
        </row>
        <row r="34">
          <cell r="C34">
            <v>0.5</v>
          </cell>
          <cell r="D34">
            <v>1.5</v>
          </cell>
          <cell r="E34">
            <v>0</v>
          </cell>
          <cell r="F34">
            <v>1</v>
          </cell>
          <cell r="G34">
            <v>1</v>
          </cell>
          <cell r="H34">
            <v>0</v>
          </cell>
          <cell r="I34">
            <v>1</v>
          </cell>
          <cell r="J34">
            <v>1</v>
          </cell>
          <cell r="K34">
            <v>2</v>
          </cell>
          <cell r="L34">
            <v>0</v>
          </cell>
          <cell r="M34">
            <v>0</v>
          </cell>
          <cell r="N34">
            <v>0</v>
          </cell>
          <cell r="O34">
            <v>1</v>
          </cell>
          <cell r="P34">
            <v>2</v>
          </cell>
          <cell r="Q34">
            <v>2</v>
          </cell>
          <cell r="R34">
            <v>1</v>
          </cell>
          <cell r="S34">
            <v>1</v>
          </cell>
          <cell r="T34">
            <v>1</v>
          </cell>
        </row>
        <row r="35">
          <cell r="C35">
            <v>0.64716981132075468</v>
          </cell>
          <cell r="D35">
            <v>0.77264150943396237</v>
          </cell>
          <cell r="E35">
            <v>0.48962264150943396</v>
          </cell>
          <cell r="F35">
            <v>0.73962264150943402</v>
          </cell>
          <cell r="G35">
            <v>0.76037735849056598</v>
          </cell>
          <cell r="H35">
            <v>0.5556603773584905</v>
          </cell>
          <cell r="I35">
            <v>0.6367924528301887</v>
          </cell>
          <cell r="J35">
            <v>0.78679245283018873</v>
          </cell>
          <cell r="K35">
            <v>0.81320754716981125</v>
          </cell>
          <cell r="L35">
            <v>0.89716981132075468</v>
          </cell>
          <cell r="M35">
            <v>0.68207547169811322</v>
          </cell>
          <cell r="N35">
            <v>0.51320754716981132</v>
          </cell>
          <cell r="O35">
            <v>0.79811320754716975</v>
          </cell>
          <cell r="P35">
            <v>0.85471698113207539</v>
          </cell>
          <cell r="Q35">
            <v>0.74528301886792447</v>
          </cell>
          <cell r="R35">
            <v>0.61037735849056607</v>
          </cell>
          <cell r="S35">
            <v>0.73584905660377353</v>
          </cell>
          <cell r="T35">
            <v>0.64339622641509442</v>
          </cell>
        </row>
        <row r="36">
          <cell r="C36">
            <v>6</v>
          </cell>
          <cell r="D36">
            <v>8</v>
          </cell>
          <cell r="E36">
            <v>4</v>
          </cell>
          <cell r="F36">
            <v>7</v>
          </cell>
          <cell r="G36">
            <v>8</v>
          </cell>
          <cell r="H36">
            <v>5</v>
          </cell>
          <cell r="I36">
            <v>6</v>
          </cell>
          <cell r="J36">
            <v>8</v>
          </cell>
          <cell r="K36">
            <v>8</v>
          </cell>
          <cell r="L36">
            <v>9</v>
          </cell>
          <cell r="M36">
            <v>6</v>
          </cell>
          <cell r="N36">
            <v>4</v>
          </cell>
          <cell r="O36">
            <v>8</v>
          </cell>
          <cell r="P36">
            <v>9</v>
          </cell>
          <cell r="Q36">
            <v>7</v>
          </cell>
          <cell r="R36">
            <v>5</v>
          </cell>
          <cell r="S36">
            <v>7</v>
          </cell>
          <cell r="T36">
            <v>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des"/>
      <sheetName val="Grade conversion scale"/>
    </sheetNames>
    <sheetDataSet>
      <sheetData sheetId="0"/>
      <sheetData sheetId="1">
        <row r="2">
          <cell r="A2">
            <v>1</v>
          </cell>
          <cell r="B2">
            <v>1</v>
          </cell>
        </row>
        <row r="3">
          <cell r="A3">
            <v>18</v>
          </cell>
          <cell r="B3">
            <v>2</v>
          </cell>
        </row>
        <row r="4">
          <cell r="A4">
            <v>26</v>
          </cell>
          <cell r="B4">
            <v>3</v>
          </cell>
        </row>
        <row r="5">
          <cell r="A5">
            <v>34</v>
          </cell>
          <cell r="B5">
            <v>4</v>
          </cell>
        </row>
        <row r="6">
          <cell r="A6">
            <v>42</v>
          </cell>
          <cell r="B6">
            <v>5</v>
          </cell>
        </row>
        <row r="7">
          <cell r="A7">
            <v>50</v>
          </cell>
          <cell r="B7">
            <v>6</v>
          </cell>
        </row>
        <row r="8">
          <cell r="A8">
            <v>60</v>
          </cell>
          <cell r="B8">
            <v>7</v>
          </cell>
        </row>
        <row r="9">
          <cell r="A9">
            <v>70</v>
          </cell>
          <cell r="B9">
            <v>8</v>
          </cell>
        </row>
        <row r="10">
          <cell r="A10">
            <v>80</v>
          </cell>
          <cell r="B10">
            <v>9</v>
          </cell>
        </row>
        <row r="11">
          <cell r="A11">
            <v>90</v>
          </cell>
          <cell r="B11">
            <v>10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des"/>
      <sheetName val="Grade conversion scale"/>
    </sheetNames>
    <sheetDataSet>
      <sheetData sheetId="0"/>
      <sheetData sheetId="1">
        <row r="2">
          <cell r="A2">
            <v>1</v>
          </cell>
          <cell r="B2">
            <v>1</v>
          </cell>
        </row>
        <row r="3">
          <cell r="A3">
            <v>18</v>
          </cell>
          <cell r="B3">
            <v>2</v>
          </cell>
        </row>
        <row r="4">
          <cell r="A4">
            <v>26</v>
          </cell>
          <cell r="B4">
            <v>3</v>
          </cell>
        </row>
        <row r="5">
          <cell r="A5">
            <v>34</v>
          </cell>
          <cell r="B5">
            <v>4</v>
          </cell>
        </row>
        <row r="6">
          <cell r="A6">
            <v>42</v>
          </cell>
          <cell r="B6">
            <v>5</v>
          </cell>
        </row>
        <row r="7">
          <cell r="A7">
            <v>50</v>
          </cell>
          <cell r="B7">
            <v>6</v>
          </cell>
        </row>
        <row r="8">
          <cell r="A8">
            <v>60</v>
          </cell>
          <cell r="B8">
            <v>7</v>
          </cell>
        </row>
        <row r="9">
          <cell r="A9">
            <v>70</v>
          </cell>
          <cell r="B9">
            <v>8</v>
          </cell>
        </row>
        <row r="10">
          <cell r="A10">
            <v>80</v>
          </cell>
          <cell r="B10">
            <v>9</v>
          </cell>
        </row>
        <row r="11">
          <cell r="A11">
            <v>90</v>
          </cell>
          <cell r="B11">
            <v>10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6:O301"/>
  <sheetViews>
    <sheetView tabSelected="1" topLeftCell="G1" zoomScale="125" workbookViewId="0">
      <selection activeCell="B3" sqref="B3"/>
    </sheetView>
  </sheetViews>
  <sheetFormatPr baseColWidth="10" defaultColWidth="8.83203125" defaultRowHeight="15"/>
  <cols>
    <col min="1" max="1" width="18.5" bestFit="1" customWidth="1"/>
    <col min="2" max="2" width="14.5" bestFit="1" customWidth="1"/>
    <col min="3" max="3" width="11.1640625" bestFit="1" customWidth="1"/>
    <col min="4" max="4" width="18.6640625" bestFit="1" customWidth="1"/>
    <col min="5" max="5" width="35.1640625" bestFit="1" customWidth="1"/>
    <col min="6" max="6" width="21.5" bestFit="1" customWidth="1"/>
    <col min="7" max="7" width="17.83203125" bestFit="1" customWidth="1"/>
    <col min="8" max="8" width="11.83203125" bestFit="1" customWidth="1"/>
    <col min="9" max="9" width="12.33203125" bestFit="1" customWidth="1"/>
    <col min="10" max="10" width="18.6640625" bestFit="1" customWidth="1"/>
    <col min="11" max="11" width="19.6640625" bestFit="1" customWidth="1"/>
    <col min="12" max="12" width="20.83203125" bestFit="1" customWidth="1"/>
    <col min="13" max="13" width="18.1640625" bestFit="1" customWidth="1"/>
    <col min="14" max="15" width="10.83203125" bestFit="1" customWidth="1"/>
  </cols>
  <sheetData>
    <row r="6" spans="1:15">
      <c r="A6" s="292" t="s">
        <v>2093</v>
      </c>
      <c r="B6" s="292" t="s">
        <v>2092</v>
      </c>
      <c r="C6" s="292" t="s">
        <v>2029</v>
      </c>
      <c r="D6" s="292" t="s">
        <v>2102</v>
      </c>
      <c r="E6" s="293" t="s">
        <v>9</v>
      </c>
      <c r="F6" s="292" t="s">
        <v>2090</v>
      </c>
      <c r="G6" s="292" t="s">
        <v>2091</v>
      </c>
      <c r="H6" s="292" t="s">
        <v>2094</v>
      </c>
      <c r="I6" s="292" t="s">
        <v>2095</v>
      </c>
      <c r="J6" s="292" t="s">
        <v>2096</v>
      </c>
      <c r="K6" s="292" t="s">
        <v>2097</v>
      </c>
      <c r="L6" s="292" t="s">
        <v>2098</v>
      </c>
      <c r="M6" s="292" t="s">
        <v>2099</v>
      </c>
      <c r="N6" s="292" t="s">
        <v>2100</v>
      </c>
      <c r="O6" s="295" t="s">
        <v>2101</v>
      </c>
    </row>
    <row r="7" spans="1:15">
      <c r="A7" s="220">
        <v>1</v>
      </c>
      <c r="B7" s="220" t="s">
        <v>1993</v>
      </c>
      <c r="C7" s="221">
        <f>A7/295</f>
        <v>3.3898305084745762E-3</v>
      </c>
      <c r="D7" s="280" t="s">
        <v>109</v>
      </c>
      <c r="E7" s="281" t="s">
        <v>107</v>
      </c>
      <c r="F7" s="271">
        <v>1</v>
      </c>
      <c r="G7" s="271">
        <v>2</v>
      </c>
      <c r="H7" s="291">
        <f t="shared" ref="H7:H70" si="0">((VLOOKUP(D7, ВПРдек, 8, FALSE))*(0.4) + VLOOKUP(D7, матанВесна, 4,FALSE)*0.317*0.6) / (40+0.6*0.317*100) * 100</f>
        <v>88.469236514831238</v>
      </c>
      <c r="I7" s="291">
        <f t="shared" ref="I7:I70" si="1">(VLOOKUP(D7,ВПРдек, 11,FALSE) * 0.2 + VLOOKUP(E7, StatSpring, 18,FALSE) * 0.2) * 2.5</f>
        <v>97.447583333333341</v>
      </c>
      <c r="J7" s="291">
        <f t="shared" ref="J7:J70" si="2">VLOOKUP(D7, ВПРдек, 5, FALSE)</f>
        <v>90.317179487179487</v>
      </c>
      <c r="K7" s="291">
        <f t="shared" ref="K7:K70" si="3">VLOOKUP(E7, MacroSpring1, 8,FALSE)</f>
        <v>86.037561576354676</v>
      </c>
      <c r="L7" s="291">
        <f>VLOOKUP(D7,ВПРдек, 24,FALSE)</f>
        <v>94.666666666666657</v>
      </c>
      <c r="M7" s="294">
        <v>89.4</v>
      </c>
      <c r="N7" s="291">
        <f t="shared" ref="N7:N70" si="4">(VLOOKUP(D7, ВПРдек, 23,FALSE) * 0.25 + VLOOKUP(D7,EngMarch,2,FALSE) / 9 * 100 * 0.2) / 45 * 100</f>
        <v>74.012345679012341</v>
      </c>
      <c r="O7" s="296">
        <f t="shared" ref="O7:O70" si="5">(H7 +I7+J7+K7+L7+M7*0.5+N7)/6.5</f>
        <v>88.561626654981183</v>
      </c>
    </row>
    <row r="8" spans="1:15">
      <c r="A8" s="220">
        <v>2</v>
      </c>
      <c r="B8" s="220" t="s">
        <v>1993</v>
      </c>
      <c r="C8" s="221">
        <f t="shared" ref="C8:C71" si="6">A8/295</f>
        <v>6.7796610169491523E-3</v>
      </c>
      <c r="D8" s="280" t="s">
        <v>896</v>
      </c>
      <c r="E8" s="281" t="s">
        <v>894</v>
      </c>
      <c r="F8" s="271">
        <v>2</v>
      </c>
      <c r="G8" s="271">
        <v>1</v>
      </c>
      <c r="H8" s="291">
        <f>((VLOOKUP(D8, ВПРдек, 8, FALSE))*(0.4) + VLOOKUP(D8, матанВесна, 4,FALSE)*0.317*0.6) / (40+0.6*0.317*100) * 100</f>
        <v>81.171623080786077</v>
      </c>
      <c r="I8" s="291">
        <f t="shared" si="1"/>
        <v>93.733333333333348</v>
      </c>
      <c r="J8" s="291">
        <f t="shared" si="2"/>
        <v>92.427390109890112</v>
      </c>
      <c r="K8" s="291">
        <f t="shared" si="3"/>
        <v>89.886083743842363</v>
      </c>
      <c r="L8" s="291">
        <f>VLOOKUP(D8,ВПРдек, 24,FALSE)</f>
        <v>83</v>
      </c>
      <c r="M8" s="294">
        <v>92</v>
      </c>
      <c r="N8" s="291">
        <f t="shared" si="4"/>
        <v>86.790123456790127</v>
      </c>
      <c r="O8" s="296">
        <f t="shared" si="5"/>
        <v>88.155162111483392</v>
      </c>
    </row>
    <row r="9" spans="1:15">
      <c r="A9" s="220">
        <v>3</v>
      </c>
      <c r="B9" s="220">
        <v>1</v>
      </c>
      <c r="C9" s="221">
        <f t="shared" si="6"/>
        <v>1.0169491525423728E-2</v>
      </c>
      <c r="D9" s="280" t="s">
        <v>85</v>
      </c>
      <c r="E9" s="281" t="s">
        <v>83</v>
      </c>
      <c r="F9" s="271">
        <v>3</v>
      </c>
      <c r="G9" s="271">
        <v>4</v>
      </c>
      <c r="H9" s="291">
        <f t="shared" si="0"/>
        <v>87.481401872963289</v>
      </c>
      <c r="I9" s="291">
        <f t="shared" si="1"/>
        <v>94.041666666666657</v>
      </c>
      <c r="J9" s="291">
        <f t="shared" si="2"/>
        <v>77.282564102564095</v>
      </c>
      <c r="K9" s="291">
        <f t="shared" si="3"/>
        <v>87.792487684729053</v>
      </c>
      <c r="L9" s="291">
        <f>VLOOKUP(D9,ВПРдек, 25,FALSE)</f>
        <v>76.2</v>
      </c>
      <c r="M9" s="294">
        <v>97</v>
      </c>
      <c r="N9" s="291">
        <f t="shared" si="4"/>
        <v>88.024691358024697</v>
      </c>
      <c r="O9" s="296">
        <f t="shared" si="5"/>
        <v>86.049663336145812</v>
      </c>
    </row>
    <row r="10" spans="1:15">
      <c r="A10" s="220">
        <v>4</v>
      </c>
      <c r="B10" s="220" t="s">
        <v>1993</v>
      </c>
      <c r="C10" s="221">
        <f t="shared" si="6"/>
        <v>1.3559322033898305E-2</v>
      </c>
      <c r="D10" s="280" t="s">
        <v>711</v>
      </c>
      <c r="E10" s="281" t="s">
        <v>709</v>
      </c>
      <c r="F10" s="271">
        <v>3</v>
      </c>
      <c r="G10" s="271">
        <v>4</v>
      </c>
      <c r="H10" s="291">
        <f t="shared" si="0"/>
        <v>98.442592909457218</v>
      </c>
      <c r="I10" s="291">
        <f t="shared" si="1"/>
        <v>93.505555555555588</v>
      </c>
      <c r="J10" s="291">
        <f t="shared" si="2"/>
        <v>83.808269230769241</v>
      </c>
      <c r="K10" s="291">
        <f t="shared" si="3"/>
        <v>73.506773399014776</v>
      </c>
      <c r="L10" s="291">
        <f>VLOOKUP(D10,ВПРдек, 24,FALSE)</f>
        <v>83.333333333333343</v>
      </c>
      <c r="M10" s="294">
        <v>70.5</v>
      </c>
      <c r="N10" s="291">
        <f t="shared" si="4"/>
        <v>82.119341563786023</v>
      </c>
      <c r="O10" s="296">
        <f t="shared" si="5"/>
        <v>84.610133229525573</v>
      </c>
    </row>
    <row r="11" spans="1:15">
      <c r="A11" s="220">
        <v>5</v>
      </c>
      <c r="B11" s="220">
        <v>2</v>
      </c>
      <c r="C11" s="221">
        <f t="shared" si="6"/>
        <v>1.6949152542372881E-2</v>
      </c>
      <c r="D11" s="280" t="s">
        <v>178</v>
      </c>
      <c r="E11" s="281" t="s">
        <v>176</v>
      </c>
      <c r="F11" s="271">
        <v>1</v>
      </c>
      <c r="G11" s="271">
        <v>1</v>
      </c>
      <c r="H11" s="291">
        <f t="shared" si="0"/>
        <v>71.816279608790637</v>
      </c>
      <c r="I11" s="291">
        <f t="shared" si="1"/>
        <v>90.318194444444444</v>
      </c>
      <c r="J11" s="291">
        <f t="shared" si="2"/>
        <v>77.01711538461538</v>
      </c>
      <c r="K11" s="291">
        <f t="shared" si="3"/>
        <v>81.410098522167488</v>
      </c>
      <c r="L11" s="291">
        <f>VLOOKUP(D11,ВПРдек, 25,FALSE)</f>
        <v>84</v>
      </c>
      <c r="M11" s="294">
        <v>93.100000000000009</v>
      </c>
      <c r="N11" s="291">
        <f t="shared" si="4"/>
        <v>84.300411522633752</v>
      </c>
      <c r="O11" s="296">
        <f t="shared" si="5"/>
        <v>82.371092228100252</v>
      </c>
    </row>
    <row r="12" spans="1:15">
      <c r="A12" s="220">
        <v>6</v>
      </c>
      <c r="B12" s="220">
        <v>3</v>
      </c>
      <c r="C12" s="221">
        <f t="shared" si="6"/>
        <v>2.0338983050847456E-2</v>
      </c>
      <c r="D12" s="280" t="s">
        <v>664</v>
      </c>
      <c r="E12" s="281" t="s">
        <v>662</v>
      </c>
      <c r="F12" s="271">
        <v>3</v>
      </c>
      <c r="G12" s="271">
        <v>4</v>
      </c>
      <c r="H12" s="291">
        <f t="shared" si="0"/>
        <v>59.392137529786417</v>
      </c>
      <c r="I12" s="291">
        <f t="shared" si="1"/>
        <v>83.972222222222229</v>
      </c>
      <c r="J12" s="291">
        <f t="shared" si="2"/>
        <v>83.172499999999985</v>
      </c>
      <c r="K12" s="291">
        <f t="shared" si="3"/>
        <v>86.653325123152712</v>
      </c>
      <c r="L12" s="291">
        <f>VLOOKUP(D12,ВПРдек, 24,FALSE)</f>
        <v>86.666666666666657</v>
      </c>
      <c r="M12" s="294">
        <v>85</v>
      </c>
      <c r="N12" s="291">
        <f t="shared" si="4"/>
        <v>84.609053497942384</v>
      </c>
      <c r="O12" s="296">
        <f t="shared" si="5"/>
        <v>81.0716776984262</v>
      </c>
    </row>
    <row r="13" spans="1:15">
      <c r="A13" s="220">
        <v>7</v>
      </c>
      <c r="B13" s="220">
        <v>4</v>
      </c>
      <c r="C13" s="221">
        <f t="shared" si="6"/>
        <v>2.3728813559322035E-2</v>
      </c>
      <c r="D13" s="280" t="s">
        <v>699</v>
      </c>
      <c r="E13" s="281" t="s">
        <v>697</v>
      </c>
      <c r="F13" s="271">
        <v>1</v>
      </c>
      <c r="G13" s="271">
        <v>2</v>
      </c>
      <c r="H13" s="291">
        <f t="shared" si="0"/>
        <v>79.726120458102841</v>
      </c>
      <c r="I13" s="291">
        <f t="shared" si="1"/>
        <v>85.885194444444437</v>
      </c>
      <c r="J13" s="291">
        <f t="shared" si="2"/>
        <v>77.277500000000003</v>
      </c>
      <c r="K13" s="291">
        <f t="shared" si="3"/>
        <v>88.679187192118235</v>
      </c>
      <c r="L13" s="291">
        <f t="shared" ref="L13:L35" si="7">VLOOKUP(D13,ВПРдек, 25,FALSE)</f>
        <v>73</v>
      </c>
      <c r="M13" s="294">
        <v>93</v>
      </c>
      <c r="N13" s="291">
        <f t="shared" si="4"/>
        <v>67.34567901234567</v>
      </c>
      <c r="O13" s="296">
        <f t="shared" si="5"/>
        <v>79.75595093954017</v>
      </c>
    </row>
    <row r="14" spans="1:15">
      <c r="A14" s="220">
        <v>8</v>
      </c>
      <c r="B14" s="220">
        <v>5</v>
      </c>
      <c r="C14" s="221">
        <f t="shared" si="6"/>
        <v>2.7118644067796609E-2</v>
      </c>
      <c r="D14" s="280" t="s">
        <v>473</v>
      </c>
      <c r="E14" s="281" t="s">
        <v>471</v>
      </c>
      <c r="F14" s="271">
        <v>3</v>
      </c>
      <c r="G14" s="271">
        <v>4</v>
      </c>
      <c r="H14" s="291">
        <f t="shared" si="0"/>
        <v>75.819605396317527</v>
      </c>
      <c r="I14" s="291">
        <f t="shared" si="1"/>
        <v>88.808333333333351</v>
      </c>
      <c r="J14" s="291">
        <f t="shared" si="2"/>
        <v>77.185128205128208</v>
      </c>
      <c r="K14" s="291">
        <f t="shared" si="3"/>
        <v>66.708743842364527</v>
      </c>
      <c r="L14" s="291">
        <f t="shared" si="7"/>
        <v>88</v>
      </c>
      <c r="M14" s="294">
        <v>68.400000000000006</v>
      </c>
      <c r="N14" s="291">
        <f t="shared" si="4"/>
        <v>80.02057613168725</v>
      </c>
      <c r="O14" s="296">
        <f t="shared" si="5"/>
        <v>78.575751832127835</v>
      </c>
    </row>
    <row r="15" spans="1:15">
      <c r="A15" s="220">
        <v>9</v>
      </c>
      <c r="B15" s="220" t="s">
        <v>1993</v>
      </c>
      <c r="C15" s="221">
        <f t="shared" si="6"/>
        <v>3.0508474576271188E-2</v>
      </c>
      <c r="D15" s="280" t="s">
        <v>163</v>
      </c>
      <c r="E15" s="281" t="s">
        <v>161</v>
      </c>
      <c r="F15" s="271">
        <v>3</v>
      </c>
      <c r="G15" s="271">
        <v>4</v>
      </c>
      <c r="H15" s="291">
        <f t="shared" si="0"/>
        <v>79.069828294970364</v>
      </c>
      <c r="I15" s="291">
        <f t="shared" si="1"/>
        <v>92.244444444444454</v>
      </c>
      <c r="J15" s="291">
        <f t="shared" si="2"/>
        <v>72.763205128205129</v>
      </c>
      <c r="K15" s="291">
        <f t="shared" si="3"/>
        <v>89.424261083743843</v>
      </c>
      <c r="L15" s="291">
        <f t="shared" si="7"/>
        <v>74</v>
      </c>
      <c r="M15" s="294">
        <v>76</v>
      </c>
      <c r="N15" s="291">
        <f t="shared" si="4"/>
        <v>62.345679012345677</v>
      </c>
      <c r="O15" s="296">
        <f t="shared" si="5"/>
        <v>78.130371994416834</v>
      </c>
    </row>
    <row r="16" spans="1:15">
      <c r="A16" s="220">
        <v>10</v>
      </c>
      <c r="B16" s="220">
        <v>6</v>
      </c>
      <c r="C16" s="221">
        <f t="shared" si="6"/>
        <v>3.3898305084745763E-2</v>
      </c>
      <c r="D16" s="280" t="s">
        <v>160</v>
      </c>
      <c r="E16" s="281" t="s">
        <v>158</v>
      </c>
      <c r="F16" s="271">
        <v>1</v>
      </c>
      <c r="G16" s="271">
        <v>1</v>
      </c>
      <c r="H16" s="291">
        <f t="shared" si="0"/>
        <v>59.821505435338032</v>
      </c>
      <c r="I16" s="291">
        <f t="shared" si="1"/>
        <v>89.650805555555564</v>
      </c>
      <c r="J16" s="291">
        <f t="shared" si="2"/>
        <v>77.788782051282055</v>
      </c>
      <c r="K16" s="291">
        <f t="shared" si="3"/>
        <v>73.577586206896555</v>
      </c>
      <c r="L16" s="291">
        <f t="shared" si="7"/>
        <v>86</v>
      </c>
      <c r="M16" s="294">
        <v>73</v>
      </c>
      <c r="N16" s="291">
        <f t="shared" si="4"/>
        <v>79.79423868312756</v>
      </c>
      <c r="O16" s="296">
        <f t="shared" si="5"/>
        <v>77.405064297261504</v>
      </c>
    </row>
    <row r="17" spans="1:15">
      <c r="A17" s="220">
        <v>11</v>
      </c>
      <c r="B17" s="220">
        <v>7</v>
      </c>
      <c r="C17" s="221">
        <f t="shared" si="6"/>
        <v>3.7288135593220341E-2</v>
      </c>
      <c r="D17" s="280" t="s">
        <v>313</v>
      </c>
      <c r="E17" s="281" t="s">
        <v>311</v>
      </c>
      <c r="F17" s="271">
        <v>3</v>
      </c>
      <c r="G17" s="271">
        <v>4</v>
      </c>
      <c r="H17" s="291">
        <f t="shared" si="0"/>
        <v>56.558035730462599</v>
      </c>
      <c r="I17" s="291">
        <f t="shared" si="1"/>
        <v>82.038888888888906</v>
      </c>
      <c r="J17" s="291">
        <f t="shared" si="2"/>
        <v>76.663333333333327</v>
      </c>
      <c r="K17" s="291">
        <f t="shared" si="3"/>
        <v>84.759852216748769</v>
      </c>
      <c r="L17" s="291">
        <f t="shared" si="7"/>
        <v>74</v>
      </c>
      <c r="M17" s="294">
        <v>86</v>
      </c>
      <c r="N17" s="291">
        <f t="shared" si="4"/>
        <v>79.403292181069958</v>
      </c>
      <c r="O17" s="296">
        <f t="shared" si="5"/>
        <v>76.372831130846706</v>
      </c>
    </row>
    <row r="18" spans="1:15">
      <c r="A18" s="220">
        <v>12</v>
      </c>
      <c r="B18" s="220">
        <v>8</v>
      </c>
      <c r="C18" s="221">
        <f t="shared" si="6"/>
        <v>4.0677966101694912E-2</v>
      </c>
      <c r="D18" s="280" t="s">
        <v>577</v>
      </c>
      <c r="E18" s="281" t="s">
        <v>2058</v>
      </c>
      <c r="F18" s="271">
        <v>1</v>
      </c>
      <c r="G18" s="271">
        <v>1</v>
      </c>
      <c r="H18" s="291">
        <f t="shared" si="0"/>
        <v>47.305959551950735</v>
      </c>
      <c r="I18" s="291">
        <f t="shared" si="1"/>
        <v>83.982083333333321</v>
      </c>
      <c r="J18" s="291">
        <f t="shared" si="2"/>
        <v>73.660192307692313</v>
      </c>
      <c r="K18" s="291">
        <f t="shared" si="3"/>
        <v>86.268472906403943</v>
      </c>
      <c r="L18" s="291">
        <f t="shared" si="7"/>
        <v>84</v>
      </c>
      <c r="M18" s="294">
        <v>76</v>
      </c>
      <c r="N18" s="291">
        <f t="shared" si="4"/>
        <v>81.934156378600818</v>
      </c>
      <c r="O18" s="296">
        <f t="shared" si="5"/>
        <v>76.177056073535567</v>
      </c>
    </row>
    <row r="19" spans="1:15">
      <c r="A19" s="220">
        <v>13</v>
      </c>
      <c r="B19" s="220">
        <v>9</v>
      </c>
      <c r="C19" s="221">
        <f t="shared" si="6"/>
        <v>4.4067796610169491E-2</v>
      </c>
      <c r="D19" s="280" t="s">
        <v>202</v>
      </c>
      <c r="E19" s="281" t="s">
        <v>200</v>
      </c>
      <c r="F19" s="271">
        <v>7</v>
      </c>
      <c r="G19" s="271">
        <v>10</v>
      </c>
      <c r="H19" s="291">
        <f t="shared" si="0"/>
        <v>63.760884812690989</v>
      </c>
      <c r="I19" s="291">
        <f t="shared" si="1"/>
        <v>81.880555555555532</v>
      </c>
      <c r="J19" s="291">
        <f t="shared" si="2"/>
        <v>84.677307692307693</v>
      </c>
      <c r="K19" s="291">
        <f t="shared" si="3"/>
        <v>69.304187192118235</v>
      </c>
      <c r="L19" s="291">
        <f t="shared" si="7"/>
        <v>63</v>
      </c>
      <c r="M19" s="294">
        <v>93</v>
      </c>
      <c r="N19" s="291">
        <f t="shared" si="4"/>
        <v>76.213991769547306</v>
      </c>
      <c r="O19" s="296">
        <f t="shared" si="5"/>
        <v>74.667219541879959</v>
      </c>
    </row>
    <row r="20" spans="1:15">
      <c r="A20" s="220">
        <v>14</v>
      </c>
      <c r="B20" s="220">
        <v>10</v>
      </c>
      <c r="C20" s="221">
        <f t="shared" si="6"/>
        <v>4.7457627118644069E-2</v>
      </c>
      <c r="D20" s="280" t="s">
        <v>634</v>
      </c>
      <c r="E20" s="281" t="s">
        <v>632</v>
      </c>
      <c r="F20" s="271">
        <v>3</v>
      </c>
      <c r="G20" s="271">
        <v>4</v>
      </c>
      <c r="H20" s="291">
        <f t="shared" si="0"/>
        <v>78.02858409815174</v>
      </c>
      <c r="I20" s="291">
        <f t="shared" si="1"/>
        <v>87.241666666666646</v>
      </c>
      <c r="J20" s="291">
        <f t="shared" si="2"/>
        <v>79.075448717948717</v>
      </c>
      <c r="K20" s="291">
        <f t="shared" si="3"/>
        <v>55.680418719211822</v>
      </c>
      <c r="L20" s="291">
        <f t="shared" si="7"/>
        <v>61</v>
      </c>
      <c r="M20" s="294">
        <v>98</v>
      </c>
      <c r="N20" s="291">
        <f t="shared" si="4"/>
        <v>74.053497942386841</v>
      </c>
      <c r="O20" s="296">
        <f t="shared" si="5"/>
        <v>74.473787099133204</v>
      </c>
    </row>
    <row r="21" spans="1:15">
      <c r="A21" s="220">
        <v>15</v>
      </c>
      <c r="B21" s="220">
        <v>11</v>
      </c>
      <c r="C21" s="221">
        <f t="shared" si="6"/>
        <v>5.0847457627118647E-2</v>
      </c>
      <c r="D21" s="280" t="s">
        <v>739</v>
      </c>
      <c r="E21" s="281" t="s">
        <v>737</v>
      </c>
      <c r="F21" s="271">
        <v>5</v>
      </c>
      <c r="G21" s="271">
        <v>7</v>
      </c>
      <c r="H21" s="291">
        <f t="shared" si="0"/>
        <v>55.576146177445111</v>
      </c>
      <c r="I21" s="291">
        <f t="shared" si="1"/>
        <v>76.613638888888886</v>
      </c>
      <c r="J21" s="291">
        <f t="shared" si="2"/>
        <v>76.464166666666671</v>
      </c>
      <c r="K21" s="291">
        <f t="shared" si="3"/>
        <v>69.904556650246292</v>
      </c>
      <c r="L21" s="291">
        <f t="shared" si="7"/>
        <v>79</v>
      </c>
      <c r="M21" s="294">
        <v>86</v>
      </c>
      <c r="N21" s="291">
        <f t="shared" si="4"/>
        <v>83.230452674897137</v>
      </c>
      <c r="O21" s="296">
        <f t="shared" si="5"/>
        <v>74.429070932022171</v>
      </c>
    </row>
    <row r="22" spans="1:15">
      <c r="A22" s="220">
        <v>16</v>
      </c>
      <c r="B22" s="220" t="s">
        <v>1993</v>
      </c>
      <c r="C22" s="221">
        <f t="shared" si="6"/>
        <v>5.4237288135593219E-2</v>
      </c>
      <c r="D22" s="280" t="s">
        <v>962</v>
      </c>
      <c r="E22" s="281" t="s">
        <v>960</v>
      </c>
      <c r="F22" s="271">
        <v>3</v>
      </c>
      <c r="G22" s="271">
        <v>4</v>
      </c>
      <c r="H22" s="291">
        <f t="shared" si="0"/>
        <v>78.524694554586176</v>
      </c>
      <c r="I22" s="291">
        <f t="shared" si="1"/>
        <v>86.819444444444457</v>
      </c>
      <c r="J22" s="291">
        <f t="shared" si="2"/>
        <v>71.112499999999997</v>
      </c>
      <c r="K22" s="291">
        <f t="shared" si="3"/>
        <v>82.056650246305423</v>
      </c>
      <c r="L22" s="291">
        <f t="shared" si="7"/>
        <v>60</v>
      </c>
      <c r="M22" s="294">
        <v>64</v>
      </c>
      <c r="N22" s="291">
        <f t="shared" si="4"/>
        <v>71.851851851851862</v>
      </c>
      <c r="O22" s="296">
        <f t="shared" si="5"/>
        <v>74.210021707259685</v>
      </c>
    </row>
    <row r="23" spans="1:15">
      <c r="A23" s="220">
        <v>17</v>
      </c>
      <c r="B23" s="220">
        <v>12</v>
      </c>
      <c r="C23" s="221">
        <f t="shared" si="6"/>
        <v>5.7627118644067797E-2</v>
      </c>
      <c r="D23" s="280" t="s">
        <v>103</v>
      </c>
      <c r="E23" s="281" t="s">
        <v>1638</v>
      </c>
      <c r="F23" s="271">
        <v>3</v>
      </c>
      <c r="G23" s="271">
        <v>4</v>
      </c>
      <c r="H23" s="291">
        <f t="shared" si="0"/>
        <v>61.101504530631637</v>
      </c>
      <c r="I23" s="291">
        <f t="shared" si="1"/>
        <v>75.841666666666683</v>
      </c>
      <c r="J23" s="291">
        <f t="shared" si="2"/>
        <v>78.536602564102566</v>
      </c>
      <c r="K23" s="291">
        <f t="shared" si="3"/>
        <v>67.110529556650249</v>
      </c>
      <c r="L23" s="291">
        <f t="shared" si="7"/>
        <v>75.5</v>
      </c>
      <c r="M23" s="294">
        <v>90</v>
      </c>
      <c r="N23" s="291">
        <f t="shared" si="4"/>
        <v>78.477366255144034</v>
      </c>
      <c r="O23" s="296">
        <f t="shared" si="5"/>
        <v>74.087333780491562</v>
      </c>
    </row>
    <row r="24" spans="1:15">
      <c r="A24" s="220">
        <v>18</v>
      </c>
      <c r="B24" s="220">
        <v>13</v>
      </c>
      <c r="C24" s="221">
        <f t="shared" si="6"/>
        <v>6.1016949152542375E-2</v>
      </c>
      <c r="D24" s="280" t="s">
        <v>157</v>
      </c>
      <c r="E24" s="281" t="s">
        <v>155</v>
      </c>
      <c r="F24" s="271">
        <v>3</v>
      </c>
      <c r="G24" s="271">
        <v>5</v>
      </c>
      <c r="H24" s="291">
        <f t="shared" si="0"/>
        <v>64.593648377560683</v>
      </c>
      <c r="I24" s="291">
        <f t="shared" si="1"/>
        <v>76.98333333333332</v>
      </c>
      <c r="J24" s="291">
        <f t="shared" si="2"/>
        <v>80.541858974358973</v>
      </c>
      <c r="K24" s="291">
        <f t="shared" si="3"/>
        <v>64.701354679802961</v>
      </c>
      <c r="L24" s="291">
        <f t="shared" si="7"/>
        <v>85</v>
      </c>
      <c r="M24" s="294">
        <v>67</v>
      </c>
      <c r="N24" s="291">
        <f t="shared" si="4"/>
        <v>73.086419753086432</v>
      </c>
      <c r="O24" s="296">
        <f t="shared" si="5"/>
        <v>73.601017710483447</v>
      </c>
    </row>
    <row r="25" spans="1:15">
      <c r="A25" s="220">
        <v>19</v>
      </c>
      <c r="B25" s="220">
        <v>14</v>
      </c>
      <c r="C25" s="221">
        <f t="shared" si="6"/>
        <v>6.4406779661016947E-2</v>
      </c>
      <c r="D25" s="280" t="s">
        <v>51</v>
      </c>
      <c r="E25" s="281" t="s">
        <v>1642</v>
      </c>
      <c r="F25" s="271">
        <v>5</v>
      </c>
      <c r="G25" s="271">
        <v>7</v>
      </c>
      <c r="H25" s="291">
        <f t="shared" si="0"/>
        <v>61.293837830125867</v>
      </c>
      <c r="I25" s="291">
        <f t="shared" si="1"/>
        <v>83.179777777777772</v>
      </c>
      <c r="J25" s="291">
        <f t="shared" si="2"/>
        <v>69.794038461538463</v>
      </c>
      <c r="K25" s="291">
        <f t="shared" si="3"/>
        <v>66.825738916256157</v>
      </c>
      <c r="L25" s="291">
        <f t="shared" si="7"/>
        <v>74.5</v>
      </c>
      <c r="M25" s="294">
        <v>90</v>
      </c>
      <c r="N25" s="291">
        <f t="shared" si="4"/>
        <v>76.851851851851833</v>
      </c>
      <c r="O25" s="296">
        <f t="shared" si="5"/>
        <v>73.453114590392317</v>
      </c>
    </row>
    <row r="26" spans="1:15">
      <c r="A26" s="220">
        <v>20</v>
      </c>
      <c r="B26" s="220">
        <v>15</v>
      </c>
      <c r="C26" s="221">
        <f t="shared" si="6"/>
        <v>6.7796610169491525E-2</v>
      </c>
      <c r="D26" s="280" t="s">
        <v>938</v>
      </c>
      <c r="E26" s="281" t="s">
        <v>936</v>
      </c>
      <c r="F26" s="271">
        <v>3</v>
      </c>
      <c r="G26" s="271">
        <v>5</v>
      </c>
      <c r="H26" s="291">
        <f t="shared" si="0"/>
        <v>64.300691576245967</v>
      </c>
      <c r="I26" s="291">
        <f t="shared" si="1"/>
        <v>77.541666666666657</v>
      </c>
      <c r="J26" s="291">
        <f t="shared" si="2"/>
        <v>77.776410256410259</v>
      </c>
      <c r="K26" s="291">
        <f t="shared" si="3"/>
        <v>79.14100985221674</v>
      </c>
      <c r="L26" s="291">
        <f t="shared" si="7"/>
        <v>65</v>
      </c>
      <c r="M26" s="294">
        <v>90</v>
      </c>
      <c r="N26" s="291">
        <f t="shared" si="4"/>
        <v>67.880658436213992</v>
      </c>
      <c r="O26" s="296">
        <f t="shared" si="5"/>
        <v>73.329297967346704</v>
      </c>
    </row>
    <row r="27" spans="1:15">
      <c r="A27" s="220">
        <v>21</v>
      </c>
      <c r="B27" s="220">
        <v>16</v>
      </c>
      <c r="C27" s="221">
        <f t="shared" si="6"/>
        <v>7.1186440677966104E-2</v>
      </c>
      <c r="D27" s="280" t="s">
        <v>923</v>
      </c>
      <c r="E27" s="281" t="s">
        <v>921</v>
      </c>
      <c r="F27" s="271">
        <v>3</v>
      </c>
      <c r="G27" s="271">
        <v>4</v>
      </c>
      <c r="H27" s="291">
        <f t="shared" si="0"/>
        <v>72.028113828245495</v>
      </c>
      <c r="I27" s="291">
        <f t="shared" si="1"/>
        <v>83.450000000000017</v>
      </c>
      <c r="J27" s="291">
        <f t="shared" si="2"/>
        <v>66.827307692307699</v>
      </c>
      <c r="K27" s="291">
        <f t="shared" si="3"/>
        <v>54.926108374384242</v>
      </c>
      <c r="L27" s="291">
        <f t="shared" si="7"/>
        <v>76</v>
      </c>
      <c r="M27" s="294">
        <v>72</v>
      </c>
      <c r="N27" s="291">
        <f t="shared" si="4"/>
        <v>86.584362139917687</v>
      </c>
      <c r="O27" s="296">
        <f t="shared" si="5"/>
        <v>73.202444928439249</v>
      </c>
    </row>
    <row r="28" spans="1:15">
      <c r="A28" s="220">
        <v>22</v>
      </c>
      <c r="B28" s="220">
        <v>17</v>
      </c>
      <c r="C28" s="221">
        <f t="shared" si="6"/>
        <v>7.4576271186440682E-2</v>
      </c>
      <c r="D28" s="280" t="s">
        <v>298</v>
      </c>
      <c r="E28" s="281" t="s">
        <v>296</v>
      </c>
      <c r="F28" s="271">
        <v>2</v>
      </c>
      <c r="G28" s="271">
        <v>1</v>
      </c>
      <c r="H28" s="291">
        <f t="shared" si="0"/>
        <v>75.310161028398909</v>
      </c>
      <c r="I28" s="291">
        <f t="shared" si="1"/>
        <v>89.422222222222246</v>
      </c>
      <c r="J28" s="291">
        <f t="shared" si="2"/>
        <v>78.778012820512828</v>
      </c>
      <c r="K28" s="291">
        <f t="shared" si="3"/>
        <v>78.61761083743842</v>
      </c>
      <c r="L28" s="291">
        <f t="shared" si="7"/>
        <v>44</v>
      </c>
      <c r="M28" s="294">
        <v>93</v>
      </c>
      <c r="N28" s="291">
        <f t="shared" si="4"/>
        <v>62.407407407407412</v>
      </c>
      <c r="O28" s="296">
        <f t="shared" si="5"/>
        <v>73.082371433227664</v>
      </c>
    </row>
    <row r="29" spans="1:15">
      <c r="A29" s="220">
        <v>23</v>
      </c>
      <c r="B29" s="220">
        <v>18</v>
      </c>
      <c r="C29" s="221">
        <f t="shared" si="6"/>
        <v>7.796610169491526E-2</v>
      </c>
      <c r="D29" s="280" t="s">
        <v>628</v>
      </c>
      <c r="E29" s="281" t="s">
        <v>1610</v>
      </c>
      <c r="F29" s="271">
        <v>3</v>
      </c>
      <c r="G29" s="271">
        <v>5</v>
      </c>
      <c r="H29" s="291">
        <f t="shared" si="0"/>
        <v>66.150136361109489</v>
      </c>
      <c r="I29" s="291">
        <f t="shared" si="1"/>
        <v>81.958333333333371</v>
      </c>
      <c r="J29" s="291">
        <f t="shared" si="2"/>
        <v>67.951153846153844</v>
      </c>
      <c r="K29" s="291">
        <f t="shared" si="3"/>
        <v>84.017857142857139</v>
      </c>
      <c r="L29" s="291">
        <f t="shared" si="7"/>
        <v>65.5</v>
      </c>
      <c r="M29" s="294">
        <v>83</v>
      </c>
      <c r="N29" s="291">
        <f t="shared" si="4"/>
        <v>67.201646090534979</v>
      </c>
      <c r="O29" s="296">
        <f t="shared" si="5"/>
        <v>72.966019503690575</v>
      </c>
    </row>
    <row r="30" spans="1:15">
      <c r="A30" s="220">
        <v>24</v>
      </c>
      <c r="B30" s="220" t="s">
        <v>1993</v>
      </c>
      <c r="C30" s="221">
        <f t="shared" si="6"/>
        <v>8.1355932203389825E-2</v>
      </c>
      <c r="D30" s="280" t="s">
        <v>175</v>
      </c>
      <c r="E30" s="281" t="s">
        <v>173</v>
      </c>
      <c r="F30" s="271">
        <v>1</v>
      </c>
      <c r="G30" s="271">
        <v>1</v>
      </c>
      <c r="H30" s="291">
        <f t="shared" si="0"/>
        <v>69.515413798145062</v>
      </c>
      <c r="I30" s="291">
        <f t="shared" si="1"/>
        <v>88.625</v>
      </c>
      <c r="J30" s="291">
        <f t="shared" si="2"/>
        <v>77.816858974358979</v>
      </c>
      <c r="K30" s="291">
        <f t="shared" si="3"/>
        <v>62.629310344827587</v>
      </c>
      <c r="L30" s="291">
        <f t="shared" si="7"/>
        <v>66</v>
      </c>
      <c r="M30" s="294">
        <v>76</v>
      </c>
      <c r="N30" s="291">
        <f t="shared" si="4"/>
        <v>69.485596707818928</v>
      </c>
      <c r="O30" s="296">
        <f t="shared" si="5"/>
        <v>72.626489203869312</v>
      </c>
    </row>
    <row r="31" spans="1:15">
      <c r="A31" s="220">
        <v>25</v>
      </c>
      <c r="B31" s="220">
        <v>19</v>
      </c>
      <c r="C31" s="221">
        <f t="shared" si="6"/>
        <v>8.4745762711864403E-2</v>
      </c>
      <c r="D31" s="280" t="s">
        <v>733</v>
      </c>
      <c r="E31" s="281" t="s">
        <v>731</v>
      </c>
      <c r="F31" s="271">
        <v>6</v>
      </c>
      <c r="G31" s="271">
        <v>7</v>
      </c>
      <c r="H31" s="291">
        <f t="shared" si="0"/>
        <v>60.179908530272073</v>
      </c>
      <c r="I31" s="291">
        <f t="shared" si="1"/>
        <v>90.915611111111119</v>
      </c>
      <c r="J31" s="291">
        <f t="shared" si="2"/>
        <v>73.269935897435886</v>
      </c>
      <c r="K31" s="291">
        <f t="shared" si="3"/>
        <v>61.856527093596057</v>
      </c>
      <c r="L31" s="291">
        <f t="shared" si="7"/>
        <v>66.8</v>
      </c>
      <c r="M31" s="294">
        <v>89</v>
      </c>
      <c r="N31" s="291">
        <f t="shared" si="4"/>
        <v>67.962962962962962</v>
      </c>
      <c r="O31" s="296">
        <f t="shared" si="5"/>
        <v>71.613068553135093</v>
      </c>
    </row>
    <row r="32" spans="1:15">
      <c r="A32" s="220">
        <v>26</v>
      </c>
      <c r="B32" s="220">
        <v>20</v>
      </c>
      <c r="C32" s="221">
        <f t="shared" si="6"/>
        <v>8.8135593220338981E-2</v>
      </c>
      <c r="D32" s="280" t="s">
        <v>142</v>
      </c>
      <c r="E32" s="281" t="s">
        <v>140</v>
      </c>
      <c r="F32" s="271">
        <v>3</v>
      </c>
      <c r="G32" s="271">
        <v>6</v>
      </c>
      <c r="H32" s="291">
        <f t="shared" si="0"/>
        <v>70.317072107772759</v>
      </c>
      <c r="I32" s="291">
        <f t="shared" si="1"/>
        <v>82.36666666666666</v>
      </c>
      <c r="J32" s="291">
        <f t="shared" si="2"/>
        <v>65.366346153846152</v>
      </c>
      <c r="K32" s="291">
        <f t="shared" si="3"/>
        <v>60.822044334975374</v>
      </c>
      <c r="L32" s="291">
        <f t="shared" si="7"/>
        <v>69.8</v>
      </c>
      <c r="M32" s="294">
        <v>96</v>
      </c>
      <c r="N32" s="291">
        <f t="shared" si="4"/>
        <v>68.621399176954725</v>
      </c>
      <c r="O32" s="296">
        <f t="shared" si="5"/>
        <v>71.583619760033187</v>
      </c>
    </row>
    <row r="33" spans="1:15">
      <c r="A33" s="220">
        <v>27</v>
      </c>
      <c r="B33" s="220">
        <v>21</v>
      </c>
      <c r="C33" s="221">
        <f t="shared" si="6"/>
        <v>9.152542372881356E-2</v>
      </c>
      <c r="D33" s="280" t="s">
        <v>48</v>
      </c>
      <c r="E33" s="281" t="s">
        <v>46</v>
      </c>
      <c r="F33" s="271">
        <v>6</v>
      </c>
      <c r="G33" s="271">
        <v>8</v>
      </c>
      <c r="H33" s="291">
        <f t="shared" si="0"/>
        <v>52.670764614266609</v>
      </c>
      <c r="I33" s="291">
        <f t="shared" si="1"/>
        <v>85.619916666666654</v>
      </c>
      <c r="J33" s="291">
        <f t="shared" si="2"/>
        <v>67.740897435897438</v>
      </c>
      <c r="K33" s="291">
        <f t="shared" si="3"/>
        <v>77.524630541871915</v>
      </c>
      <c r="L33" s="291">
        <f t="shared" si="7"/>
        <v>73</v>
      </c>
      <c r="M33" s="294">
        <v>87</v>
      </c>
      <c r="N33" s="291">
        <f t="shared" si="4"/>
        <v>64.094650205761326</v>
      </c>
      <c r="O33" s="296">
        <f t="shared" si="5"/>
        <v>71.407824532994454</v>
      </c>
    </row>
    <row r="34" spans="1:15">
      <c r="A34" s="220">
        <v>28</v>
      </c>
      <c r="B34" s="220">
        <v>22</v>
      </c>
      <c r="C34" s="221">
        <f t="shared" si="6"/>
        <v>9.4915254237288138E-2</v>
      </c>
      <c r="D34" s="280" t="s">
        <v>361</v>
      </c>
      <c r="E34" s="281" t="s">
        <v>359</v>
      </c>
      <c r="F34" s="271">
        <v>8</v>
      </c>
      <c r="G34" s="271">
        <v>11</v>
      </c>
      <c r="H34" s="291">
        <f t="shared" si="0"/>
        <v>53.779889923911419</v>
      </c>
      <c r="I34" s="291">
        <f t="shared" si="1"/>
        <v>82.708333333333357</v>
      </c>
      <c r="J34" s="291">
        <f t="shared" si="2"/>
        <v>83.945128205128213</v>
      </c>
      <c r="K34" s="291">
        <f t="shared" si="3"/>
        <v>71.305418719211815</v>
      </c>
      <c r="L34" s="291">
        <f t="shared" si="7"/>
        <v>62.8</v>
      </c>
      <c r="M34" s="294">
        <v>69</v>
      </c>
      <c r="N34" s="291">
        <f t="shared" si="4"/>
        <v>71.02880658436213</v>
      </c>
      <c r="O34" s="296">
        <f t="shared" si="5"/>
        <v>70.779627194761076</v>
      </c>
    </row>
    <row r="35" spans="1:15">
      <c r="A35" s="220">
        <v>29</v>
      </c>
      <c r="B35" s="220">
        <v>23</v>
      </c>
      <c r="C35" s="221">
        <f t="shared" si="6"/>
        <v>9.8305084745762716E-2</v>
      </c>
      <c r="D35" s="280" t="s">
        <v>424</v>
      </c>
      <c r="E35" s="281" t="s">
        <v>422</v>
      </c>
      <c r="F35" s="271">
        <v>2</v>
      </c>
      <c r="G35" s="271">
        <v>2</v>
      </c>
      <c r="H35" s="291">
        <f t="shared" si="0"/>
        <v>69.445717141399953</v>
      </c>
      <c r="I35" s="291">
        <f t="shared" si="1"/>
        <v>71.37777777777778</v>
      </c>
      <c r="J35" s="291">
        <f t="shared" si="2"/>
        <v>66.93967948717949</v>
      </c>
      <c r="K35" s="291">
        <f t="shared" si="3"/>
        <v>56.180726600985224</v>
      </c>
      <c r="L35" s="291">
        <f t="shared" si="7"/>
        <v>89.3</v>
      </c>
      <c r="M35" s="294">
        <v>84</v>
      </c>
      <c r="N35" s="291">
        <f t="shared" si="4"/>
        <v>64.053497942386841</v>
      </c>
      <c r="O35" s="296">
        <f t="shared" si="5"/>
        <v>70.661138299958353</v>
      </c>
    </row>
    <row r="36" spans="1:15">
      <c r="A36" s="220">
        <v>30</v>
      </c>
      <c r="B36" s="220">
        <v>24</v>
      </c>
      <c r="C36" s="221">
        <f t="shared" si="6"/>
        <v>0.10169491525423729</v>
      </c>
      <c r="D36" s="280" t="s">
        <v>878</v>
      </c>
      <c r="E36" s="281" t="s">
        <v>876</v>
      </c>
      <c r="F36" s="271">
        <v>5</v>
      </c>
      <c r="G36" s="271">
        <v>8</v>
      </c>
      <c r="H36" s="291">
        <f t="shared" si="0"/>
        <v>53.05398050333082</v>
      </c>
      <c r="I36" s="291">
        <f t="shared" si="1"/>
        <v>77.421416666666659</v>
      </c>
      <c r="J36" s="291">
        <f t="shared" si="2"/>
        <v>73.447435897435895</v>
      </c>
      <c r="K36" s="291">
        <f t="shared" si="3"/>
        <v>71.677955665024626</v>
      </c>
      <c r="L36" s="291">
        <f>VLOOKUP(D36,ВПРдек, 24,FALSE)</f>
        <v>71</v>
      </c>
      <c r="M36" s="294">
        <v>77</v>
      </c>
      <c r="N36" s="291">
        <f t="shared" si="4"/>
        <v>73.888888888888886</v>
      </c>
      <c r="O36" s="296">
        <f t="shared" si="5"/>
        <v>70.6137965571303</v>
      </c>
    </row>
    <row r="37" spans="1:15">
      <c r="A37" s="220">
        <v>31</v>
      </c>
      <c r="B37" s="220">
        <v>25</v>
      </c>
      <c r="C37" s="221">
        <f t="shared" si="6"/>
        <v>0.10508474576271186</v>
      </c>
      <c r="D37" s="280" t="s">
        <v>307</v>
      </c>
      <c r="E37" s="281" t="s">
        <v>305</v>
      </c>
      <c r="F37" s="271">
        <v>1</v>
      </c>
      <c r="G37" s="271">
        <v>3</v>
      </c>
      <c r="H37" s="291">
        <f t="shared" si="0"/>
        <v>79.156925296925309</v>
      </c>
      <c r="I37" s="291">
        <f t="shared" si="1"/>
        <v>88.35899999999998</v>
      </c>
      <c r="J37" s="291">
        <f t="shared" si="2"/>
        <v>79.992435897435897</v>
      </c>
      <c r="K37" s="291">
        <f t="shared" si="3"/>
        <v>47.652401477832512</v>
      </c>
      <c r="L37" s="291">
        <f>VLOOKUP(D37,ВПРдек, 25,FALSE)</f>
        <v>53</v>
      </c>
      <c r="M37" s="294">
        <v>88</v>
      </c>
      <c r="N37" s="291">
        <f t="shared" si="4"/>
        <v>66.666666666666657</v>
      </c>
      <c r="O37" s="296">
        <f t="shared" si="5"/>
        <v>70.588835282901584</v>
      </c>
    </row>
    <row r="38" spans="1:15">
      <c r="A38" s="220">
        <v>32</v>
      </c>
      <c r="B38" s="220">
        <v>26</v>
      </c>
      <c r="C38" s="221">
        <f t="shared" si="6"/>
        <v>0.10847457627118644</v>
      </c>
      <c r="D38" s="280" t="s">
        <v>461</v>
      </c>
      <c r="E38" s="281" t="s">
        <v>459</v>
      </c>
      <c r="F38" s="271">
        <v>2</v>
      </c>
      <c r="G38" s="271">
        <v>3</v>
      </c>
      <c r="H38" s="291">
        <f t="shared" si="0"/>
        <v>80.128977278228376</v>
      </c>
      <c r="I38" s="291">
        <f t="shared" si="1"/>
        <v>85.308333333333337</v>
      </c>
      <c r="J38" s="291">
        <f t="shared" si="2"/>
        <v>72.430128205128199</v>
      </c>
      <c r="K38" s="291">
        <f t="shared" si="3"/>
        <v>58.743842364532014</v>
      </c>
      <c r="L38" s="291">
        <f>VLOOKUP(D38,ВПРдек, 25,FALSE)</f>
        <v>49.3</v>
      </c>
      <c r="M38" s="294">
        <v>91</v>
      </c>
      <c r="N38" s="291">
        <f t="shared" si="4"/>
        <v>67.386831275720169</v>
      </c>
      <c r="O38" s="296">
        <f t="shared" si="5"/>
        <v>70.584324993375702</v>
      </c>
    </row>
    <row r="39" spans="1:15">
      <c r="A39" s="220">
        <v>33</v>
      </c>
      <c r="B39" s="220">
        <v>27</v>
      </c>
      <c r="C39" s="221">
        <f t="shared" si="6"/>
        <v>0.11186440677966102</v>
      </c>
      <c r="D39" s="280" t="s">
        <v>145</v>
      </c>
      <c r="E39" s="281" t="s">
        <v>143</v>
      </c>
      <c r="F39" s="271">
        <v>1</v>
      </c>
      <c r="G39" s="271">
        <v>1</v>
      </c>
      <c r="H39" s="291">
        <f t="shared" si="0"/>
        <v>58.236797788603958</v>
      </c>
      <c r="I39" s="291">
        <f t="shared" si="1"/>
        <v>73.185527777777793</v>
      </c>
      <c r="J39" s="291">
        <f t="shared" si="2"/>
        <v>73.792243589743578</v>
      </c>
      <c r="K39" s="291">
        <f t="shared" si="3"/>
        <v>64.162561576354676</v>
      </c>
      <c r="L39" s="291">
        <f>VLOOKUP(D39,ВПРдек, 25,FALSE)</f>
        <v>78</v>
      </c>
      <c r="M39" s="294">
        <v>65</v>
      </c>
      <c r="N39" s="291">
        <f t="shared" si="4"/>
        <v>78.353909465020578</v>
      </c>
      <c r="O39" s="296">
        <f t="shared" si="5"/>
        <v>70.497083107307787</v>
      </c>
    </row>
    <row r="40" spans="1:15">
      <c r="A40" s="220">
        <v>34</v>
      </c>
      <c r="B40" s="220">
        <v>28</v>
      </c>
      <c r="C40" s="221">
        <f t="shared" si="6"/>
        <v>0.11525423728813559</v>
      </c>
      <c r="D40" s="280" t="s">
        <v>754</v>
      </c>
      <c r="E40" s="281" t="s">
        <v>752</v>
      </c>
      <c r="F40" s="271">
        <v>2</v>
      </c>
      <c r="G40" s="271">
        <v>2</v>
      </c>
      <c r="H40" s="291">
        <f t="shared" si="0"/>
        <v>52.772782352253721</v>
      </c>
      <c r="I40" s="291">
        <f t="shared" si="1"/>
        <v>77.638888888888886</v>
      </c>
      <c r="J40" s="291">
        <f t="shared" si="2"/>
        <v>69.379358974358979</v>
      </c>
      <c r="K40" s="291">
        <f t="shared" si="3"/>
        <v>71.505541871921181</v>
      </c>
      <c r="L40" s="291">
        <f>VLOOKUP(D40,ВПРдек, 25,FALSE)</f>
        <v>83.7</v>
      </c>
      <c r="M40" s="294">
        <v>67</v>
      </c>
      <c r="N40" s="291">
        <f t="shared" si="4"/>
        <v>64.567901234567898</v>
      </c>
      <c r="O40" s="296">
        <f t="shared" si="5"/>
        <v>69.702226664921639</v>
      </c>
    </row>
    <row r="41" spans="1:15">
      <c r="A41" s="220">
        <v>35</v>
      </c>
      <c r="B41" s="220">
        <v>29</v>
      </c>
      <c r="C41" s="221">
        <f t="shared" si="6"/>
        <v>0.11864406779661017</v>
      </c>
      <c r="D41" s="280" t="s">
        <v>673</v>
      </c>
      <c r="E41" s="281" t="s">
        <v>1615</v>
      </c>
      <c r="F41" s="271">
        <v>5</v>
      </c>
      <c r="G41" s="271">
        <v>8</v>
      </c>
      <c r="H41" s="291">
        <f t="shared" si="0"/>
        <v>59.043434646837831</v>
      </c>
      <c r="I41" s="291">
        <f t="shared" si="1"/>
        <v>81.344444444444434</v>
      </c>
      <c r="J41" s="291">
        <f t="shared" si="2"/>
        <v>70.63326923076923</v>
      </c>
      <c r="K41" s="291">
        <f t="shared" si="3"/>
        <v>79.842980295566491</v>
      </c>
      <c r="L41" s="291">
        <f>VLOOKUP(D41,ВПРдек, 25,FALSE)</f>
        <v>66.2</v>
      </c>
      <c r="M41" s="294">
        <v>69</v>
      </c>
      <c r="N41" s="291">
        <f t="shared" si="4"/>
        <v>61.481481481481481</v>
      </c>
      <c r="O41" s="296">
        <f t="shared" si="5"/>
        <v>69.699324630630684</v>
      </c>
    </row>
    <row r="42" spans="1:15">
      <c r="A42" s="220">
        <v>36</v>
      </c>
      <c r="B42" s="220">
        <v>30</v>
      </c>
      <c r="C42" s="221">
        <f t="shared" si="6"/>
        <v>0.12203389830508475</v>
      </c>
      <c r="D42" s="280" t="s">
        <v>193</v>
      </c>
      <c r="E42" s="281" t="s">
        <v>191</v>
      </c>
      <c r="F42" s="271">
        <v>1</v>
      </c>
      <c r="G42" s="271">
        <v>1</v>
      </c>
      <c r="H42" s="291">
        <f t="shared" si="0"/>
        <v>73.361824895613438</v>
      </c>
      <c r="I42" s="291">
        <f t="shared" si="1"/>
        <v>83.231611111111107</v>
      </c>
      <c r="J42" s="291">
        <f t="shared" si="2"/>
        <v>63.852179487179484</v>
      </c>
      <c r="K42" s="291">
        <f t="shared" si="3"/>
        <v>30.694273399014779</v>
      </c>
      <c r="L42" s="291">
        <f>VLOOKUP(D42,ВПРдек, 24,FALSE)</f>
        <v>89.333333333333343</v>
      </c>
      <c r="M42" s="294">
        <v>82</v>
      </c>
      <c r="N42" s="291">
        <f t="shared" si="4"/>
        <v>70.946502057613159</v>
      </c>
      <c r="O42" s="296">
        <f t="shared" si="5"/>
        <v>69.603034505210047</v>
      </c>
    </row>
    <row r="43" spans="1:15">
      <c r="A43" s="220">
        <v>37</v>
      </c>
      <c r="B43" s="220">
        <v>31</v>
      </c>
      <c r="C43" s="221">
        <f t="shared" si="6"/>
        <v>0.12542372881355932</v>
      </c>
      <c r="D43" s="280" t="s">
        <v>130</v>
      </c>
      <c r="E43" s="281" t="s">
        <v>128</v>
      </c>
      <c r="F43" s="271">
        <v>1</v>
      </c>
      <c r="G43" s="271">
        <v>2</v>
      </c>
      <c r="H43" s="291">
        <f t="shared" si="0"/>
        <v>54.753772140732494</v>
      </c>
      <c r="I43" s="291">
        <f t="shared" si="1"/>
        <v>75.523027777777799</v>
      </c>
      <c r="J43" s="291">
        <f t="shared" si="2"/>
        <v>63.305192307692309</v>
      </c>
      <c r="K43" s="291">
        <f t="shared" si="3"/>
        <v>72.188423645320199</v>
      </c>
      <c r="L43" s="291">
        <f t="shared" ref="L43:L60" si="8">VLOOKUP(D43,ВПРдек, 25,FALSE)</f>
        <v>79</v>
      </c>
      <c r="M43" s="294">
        <v>74</v>
      </c>
      <c r="N43" s="291">
        <f t="shared" si="4"/>
        <v>66.522633744855966</v>
      </c>
      <c r="O43" s="296">
        <f t="shared" si="5"/>
        <v>68.968161479442884</v>
      </c>
    </row>
    <row r="44" spans="1:15">
      <c r="A44" s="220">
        <v>38</v>
      </c>
      <c r="B44" s="220">
        <v>32</v>
      </c>
      <c r="C44" s="221">
        <f t="shared" si="6"/>
        <v>0.12881355932203389</v>
      </c>
      <c r="D44" s="280" t="s">
        <v>820</v>
      </c>
      <c r="E44" s="281" t="s">
        <v>818</v>
      </c>
      <c r="F44" s="271">
        <v>10</v>
      </c>
      <c r="G44" s="271">
        <v>13</v>
      </c>
      <c r="H44" s="291">
        <f t="shared" si="0"/>
        <v>57.097088848498544</v>
      </c>
      <c r="I44" s="291">
        <f t="shared" si="1"/>
        <v>75.015638888888887</v>
      </c>
      <c r="J44" s="291">
        <f t="shared" si="2"/>
        <v>67.330769230769221</v>
      </c>
      <c r="K44" s="291">
        <f t="shared" si="3"/>
        <v>70.504926108374377</v>
      </c>
      <c r="L44" s="291">
        <f t="shared" si="8"/>
        <v>68.5</v>
      </c>
      <c r="M44" s="294">
        <v>65</v>
      </c>
      <c r="N44" s="291">
        <f t="shared" si="4"/>
        <v>76.028806584362144</v>
      </c>
      <c r="O44" s="296">
        <f t="shared" si="5"/>
        <v>68.765727640137413</v>
      </c>
    </row>
    <row r="45" spans="1:15">
      <c r="A45" s="220">
        <v>39</v>
      </c>
      <c r="B45" s="220">
        <v>33</v>
      </c>
      <c r="C45" s="221">
        <f t="shared" si="6"/>
        <v>0.13220338983050847</v>
      </c>
      <c r="D45" s="280" t="s">
        <v>406</v>
      </c>
      <c r="E45" s="281" t="s">
        <v>404</v>
      </c>
      <c r="F45" s="271">
        <v>7</v>
      </c>
      <c r="G45" s="271">
        <v>10</v>
      </c>
      <c r="H45" s="291">
        <f t="shared" si="0"/>
        <v>53.048820704503527</v>
      </c>
      <c r="I45" s="291">
        <f t="shared" si="1"/>
        <v>82.861111111111114</v>
      </c>
      <c r="J45" s="291">
        <f t="shared" si="2"/>
        <v>66.123012820512827</v>
      </c>
      <c r="K45" s="291">
        <f t="shared" si="3"/>
        <v>67.118226600985224</v>
      </c>
      <c r="L45" s="291">
        <f t="shared" si="8"/>
        <v>69</v>
      </c>
      <c r="M45" s="294">
        <v>73</v>
      </c>
      <c r="N45" s="291">
        <f t="shared" si="4"/>
        <v>71.913580246913568</v>
      </c>
      <c r="O45" s="296">
        <f t="shared" si="5"/>
        <v>68.702269459080966</v>
      </c>
    </row>
    <row r="46" spans="1:15">
      <c r="A46" s="220">
        <v>40</v>
      </c>
      <c r="B46" s="220">
        <v>34</v>
      </c>
      <c r="C46" s="221">
        <f t="shared" si="6"/>
        <v>0.13559322033898305</v>
      </c>
      <c r="D46" s="280" t="s">
        <v>238</v>
      </c>
      <c r="E46" s="281" t="s">
        <v>236</v>
      </c>
      <c r="F46" s="271">
        <v>1</v>
      </c>
      <c r="G46" s="271">
        <v>14</v>
      </c>
      <c r="H46" s="291">
        <f t="shared" si="0"/>
        <v>58.388629715854378</v>
      </c>
      <c r="I46" s="291">
        <f t="shared" si="1"/>
        <v>74.135305555555547</v>
      </c>
      <c r="J46" s="291">
        <f t="shared" si="2"/>
        <v>67.538397435897437</v>
      </c>
      <c r="K46" s="291">
        <f t="shared" si="3"/>
        <v>67.050492610837438</v>
      </c>
      <c r="L46" s="291">
        <f t="shared" si="8"/>
        <v>76</v>
      </c>
      <c r="M46" s="294">
        <v>69</v>
      </c>
      <c r="N46" s="291">
        <f t="shared" si="4"/>
        <v>67.716049382716051</v>
      </c>
      <c r="O46" s="296">
        <f t="shared" si="5"/>
        <v>68.512134569363212</v>
      </c>
    </row>
    <row r="47" spans="1:15">
      <c r="A47" s="220">
        <v>41</v>
      </c>
      <c r="B47" s="220">
        <v>35</v>
      </c>
      <c r="C47" s="221">
        <f t="shared" si="6"/>
        <v>0.13898305084745763</v>
      </c>
      <c r="D47" s="280" t="s">
        <v>464</v>
      </c>
      <c r="E47" s="281" t="s">
        <v>462</v>
      </c>
      <c r="F47" s="271">
        <v>11</v>
      </c>
      <c r="G47" s="271">
        <v>13</v>
      </c>
      <c r="H47" s="291">
        <f t="shared" si="0"/>
        <v>51.192365054341693</v>
      </c>
      <c r="I47" s="291">
        <f t="shared" si="1"/>
        <v>79.333694444444433</v>
      </c>
      <c r="J47" s="291">
        <f t="shared" si="2"/>
        <v>69.596346153846156</v>
      </c>
      <c r="K47" s="291">
        <f t="shared" si="3"/>
        <v>65.917487684729068</v>
      </c>
      <c r="L47" s="291">
        <f t="shared" si="8"/>
        <v>71.400000000000006</v>
      </c>
      <c r="M47" s="294">
        <v>81</v>
      </c>
      <c r="N47" s="291">
        <f t="shared" si="4"/>
        <v>66.563786008230466</v>
      </c>
      <c r="O47" s="296">
        <f t="shared" si="5"/>
        <v>68.385181437783359</v>
      </c>
    </row>
    <row r="48" spans="1:15">
      <c r="A48" s="220">
        <v>42</v>
      </c>
      <c r="B48" s="220">
        <v>36</v>
      </c>
      <c r="C48" s="221">
        <f t="shared" si="6"/>
        <v>0.14237288135593221</v>
      </c>
      <c r="D48" s="280" t="s">
        <v>319</v>
      </c>
      <c r="E48" s="281" t="s">
        <v>317</v>
      </c>
      <c r="F48" s="271">
        <v>7</v>
      </c>
      <c r="G48" s="271">
        <v>10</v>
      </c>
      <c r="H48" s="291">
        <f t="shared" si="0"/>
        <v>66.680903785397177</v>
      </c>
      <c r="I48" s="291">
        <f t="shared" si="1"/>
        <v>77.436111111111103</v>
      </c>
      <c r="J48" s="291">
        <f t="shared" si="2"/>
        <v>58.846153846153854</v>
      </c>
      <c r="K48" s="291">
        <f t="shared" si="3"/>
        <v>70.712746305418719</v>
      </c>
      <c r="L48" s="291">
        <f t="shared" si="8"/>
        <v>67</v>
      </c>
      <c r="M48" s="294">
        <v>75</v>
      </c>
      <c r="N48" s="291">
        <f t="shared" si="4"/>
        <v>64.465020576131693</v>
      </c>
      <c r="O48" s="296">
        <f t="shared" si="5"/>
        <v>68.098605480648089</v>
      </c>
    </row>
    <row r="49" spans="1:15">
      <c r="A49" s="220">
        <v>43</v>
      </c>
      <c r="B49" s="220">
        <v>37</v>
      </c>
      <c r="C49" s="221">
        <f t="shared" si="6"/>
        <v>0.14576271186440679</v>
      </c>
      <c r="D49" s="280" t="s">
        <v>409</v>
      </c>
      <c r="E49" s="281" t="s">
        <v>407</v>
      </c>
      <c r="F49" s="271">
        <v>2</v>
      </c>
      <c r="G49" s="271">
        <v>1</v>
      </c>
      <c r="H49" s="291">
        <f t="shared" si="0"/>
        <v>54.850087430924432</v>
      </c>
      <c r="I49" s="291">
        <f t="shared" si="1"/>
        <v>73.544444444444451</v>
      </c>
      <c r="J49" s="291">
        <f t="shared" si="2"/>
        <v>70.405576923076922</v>
      </c>
      <c r="K49" s="291">
        <f t="shared" si="3"/>
        <v>49.22721674876847</v>
      </c>
      <c r="L49" s="291">
        <f t="shared" si="8"/>
        <v>76.3</v>
      </c>
      <c r="M49" s="294">
        <v>85</v>
      </c>
      <c r="N49" s="291">
        <f t="shared" si="4"/>
        <v>74.855967078189295</v>
      </c>
      <c r="O49" s="296">
        <f t="shared" si="5"/>
        <v>67.951275788523631</v>
      </c>
    </row>
    <row r="50" spans="1:15">
      <c r="A50" s="220">
        <v>44</v>
      </c>
      <c r="B50" s="220">
        <v>38</v>
      </c>
      <c r="C50" s="221">
        <f t="shared" si="6"/>
        <v>0.14915254237288136</v>
      </c>
      <c r="D50" s="280" t="s">
        <v>443</v>
      </c>
      <c r="E50" s="281" t="s">
        <v>441</v>
      </c>
      <c r="F50" s="271">
        <v>1</v>
      </c>
      <c r="G50" s="271">
        <v>1</v>
      </c>
      <c r="H50" s="291">
        <f t="shared" si="0"/>
        <v>50.443251843604266</v>
      </c>
      <c r="I50" s="291">
        <f t="shared" si="1"/>
        <v>74.025138888888904</v>
      </c>
      <c r="J50" s="291">
        <f t="shared" si="2"/>
        <v>71.905576923076922</v>
      </c>
      <c r="K50" s="291">
        <f t="shared" si="3"/>
        <v>67.841748768472911</v>
      </c>
      <c r="L50" s="291">
        <f t="shared" si="8"/>
        <v>64.2</v>
      </c>
      <c r="M50" s="294">
        <v>70</v>
      </c>
      <c r="N50" s="291">
        <f t="shared" si="4"/>
        <v>75.967078189300409</v>
      </c>
      <c r="O50" s="296">
        <f t="shared" si="5"/>
        <v>67.597353017437442</v>
      </c>
    </row>
    <row r="51" spans="1:15">
      <c r="A51" s="220">
        <v>45</v>
      </c>
      <c r="B51" s="220" t="s">
        <v>1993</v>
      </c>
      <c r="C51" s="221">
        <f t="shared" si="6"/>
        <v>0.15254237288135594</v>
      </c>
      <c r="D51" s="280" t="s">
        <v>688</v>
      </c>
      <c r="E51" s="281" t="s">
        <v>686</v>
      </c>
      <c r="F51" s="271">
        <v>2</v>
      </c>
      <c r="G51" s="271">
        <v>1</v>
      </c>
      <c r="H51" s="291">
        <f t="shared" si="0"/>
        <v>43.701586744141814</v>
      </c>
      <c r="I51" s="291">
        <f t="shared" si="1"/>
        <v>73.833333333333343</v>
      </c>
      <c r="J51" s="291">
        <f t="shared" si="2"/>
        <v>73.024743589743593</v>
      </c>
      <c r="K51" s="291">
        <f t="shared" si="3"/>
        <v>59.929187192118235</v>
      </c>
      <c r="L51" s="291">
        <f t="shared" si="8"/>
        <v>64</v>
      </c>
      <c r="M51" s="294">
        <v>85</v>
      </c>
      <c r="N51" s="291">
        <f t="shared" si="4"/>
        <v>80.720164609053498</v>
      </c>
      <c r="O51" s="296">
        <f t="shared" si="5"/>
        <v>67.339848533598541</v>
      </c>
    </row>
    <row r="52" spans="1:15">
      <c r="A52" s="220">
        <v>46</v>
      </c>
      <c r="B52" s="220">
        <v>39</v>
      </c>
      <c r="C52" s="221">
        <f t="shared" si="6"/>
        <v>0.15593220338983052</v>
      </c>
      <c r="D52" s="280" t="s">
        <v>905</v>
      </c>
      <c r="E52" s="281" t="s">
        <v>903</v>
      </c>
      <c r="F52" s="271">
        <v>3</v>
      </c>
      <c r="G52" s="271">
        <v>4</v>
      </c>
      <c r="H52" s="291">
        <f t="shared" si="0"/>
        <v>58.36455580102318</v>
      </c>
      <c r="I52" s="291">
        <f t="shared" si="1"/>
        <v>76.2361111111111</v>
      </c>
      <c r="J52" s="291">
        <f t="shared" si="2"/>
        <v>61.845320512820507</v>
      </c>
      <c r="K52" s="291">
        <f t="shared" si="3"/>
        <v>72.259852216748769</v>
      </c>
      <c r="L52" s="291">
        <f t="shared" si="8"/>
        <v>59.5</v>
      </c>
      <c r="M52" s="294">
        <v>90</v>
      </c>
      <c r="N52" s="291">
        <f t="shared" si="4"/>
        <v>64.115226337448561</v>
      </c>
      <c r="O52" s="296">
        <f t="shared" si="5"/>
        <v>67.280163996792638</v>
      </c>
    </row>
    <row r="53" spans="1:15">
      <c r="A53" s="220">
        <v>47</v>
      </c>
      <c r="B53" s="220">
        <v>40</v>
      </c>
      <c r="C53" s="221">
        <f t="shared" si="6"/>
        <v>0.15932203389830507</v>
      </c>
      <c r="D53" s="280" t="s">
        <v>829</v>
      </c>
      <c r="E53" s="281" t="s">
        <v>827</v>
      </c>
      <c r="F53" s="271">
        <v>1</v>
      </c>
      <c r="G53" s="271">
        <v>3</v>
      </c>
      <c r="H53" s="291">
        <f t="shared" si="0"/>
        <v>62.440075230691974</v>
      </c>
      <c r="I53" s="291">
        <f t="shared" si="1"/>
        <v>87.157277777777779</v>
      </c>
      <c r="J53" s="291">
        <f t="shared" si="2"/>
        <v>71.503589743589743</v>
      </c>
      <c r="K53" s="291">
        <f t="shared" si="3"/>
        <v>55.511083743842363</v>
      </c>
      <c r="L53" s="291">
        <f t="shared" si="8"/>
        <v>59.2</v>
      </c>
      <c r="M53" s="294">
        <v>86</v>
      </c>
      <c r="N53" s="291">
        <f t="shared" si="4"/>
        <v>56.152263374485599</v>
      </c>
      <c r="O53" s="296">
        <f t="shared" si="5"/>
        <v>66.917583056982693</v>
      </c>
    </row>
    <row r="54" spans="1:15">
      <c r="A54" s="220">
        <v>48</v>
      </c>
      <c r="B54" s="220">
        <v>41</v>
      </c>
      <c r="C54" s="221">
        <f t="shared" si="6"/>
        <v>0.16271186440677965</v>
      </c>
      <c r="D54" s="280" t="s">
        <v>196</v>
      </c>
      <c r="E54" s="281" t="s">
        <v>194</v>
      </c>
      <c r="F54" s="271">
        <v>10</v>
      </c>
      <c r="G54" s="271">
        <v>13</v>
      </c>
      <c r="H54" s="291">
        <f t="shared" si="0"/>
        <v>50.261551268115156</v>
      </c>
      <c r="I54" s="291">
        <f t="shared" si="1"/>
        <v>76.894194444444452</v>
      </c>
      <c r="J54" s="291">
        <f t="shared" si="2"/>
        <v>64.337243589743593</v>
      </c>
      <c r="K54" s="291">
        <f t="shared" si="3"/>
        <v>76.408559113300498</v>
      </c>
      <c r="L54" s="291">
        <f t="shared" si="8"/>
        <v>67</v>
      </c>
      <c r="M54" s="294">
        <v>59</v>
      </c>
      <c r="N54" s="291">
        <f t="shared" si="4"/>
        <v>69.032921810699591</v>
      </c>
      <c r="O54" s="296">
        <f t="shared" si="5"/>
        <v>66.682226188662042</v>
      </c>
    </row>
    <row r="55" spans="1:15">
      <c r="A55" s="220">
        <v>49</v>
      </c>
      <c r="B55" s="220" t="s">
        <v>1993</v>
      </c>
      <c r="C55" s="221">
        <f t="shared" si="6"/>
        <v>0.16610169491525423</v>
      </c>
      <c r="D55" s="280" t="s">
        <v>586</v>
      </c>
      <c r="E55" s="281" t="s">
        <v>584</v>
      </c>
      <c r="F55" s="271">
        <v>1</v>
      </c>
      <c r="G55" s="271">
        <v>1</v>
      </c>
      <c r="H55" s="291">
        <f t="shared" si="0"/>
        <v>63.338770128549868</v>
      </c>
      <c r="I55" s="291">
        <f t="shared" si="1"/>
        <v>72.691305555555573</v>
      </c>
      <c r="J55" s="291">
        <f t="shared" si="2"/>
        <v>79.732500000000002</v>
      </c>
      <c r="K55" s="291">
        <f t="shared" si="3"/>
        <v>59.024014778325125</v>
      </c>
      <c r="L55" s="291">
        <f t="shared" si="8"/>
        <v>67</v>
      </c>
      <c r="M55" s="294">
        <v>79</v>
      </c>
      <c r="N55" s="291">
        <f t="shared" si="4"/>
        <v>51.851851851851862</v>
      </c>
      <c r="O55" s="296">
        <f t="shared" si="5"/>
        <v>66.636683432966521</v>
      </c>
    </row>
    <row r="56" spans="1:15">
      <c r="A56" s="220">
        <v>50</v>
      </c>
      <c r="B56" s="220">
        <v>42</v>
      </c>
      <c r="C56" s="221">
        <f t="shared" si="6"/>
        <v>0.16949152542372881</v>
      </c>
      <c r="D56" s="280" t="s">
        <v>695</v>
      </c>
      <c r="E56" s="281" t="s">
        <v>693</v>
      </c>
      <c r="F56" s="271">
        <v>2</v>
      </c>
      <c r="G56" s="271">
        <v>2</v>
      </c>
      <c r="H56" s="291">
        <f t="shared" si="0"/>
        <v>43.45218566553369</v>
      </c>
      <c r="I56" s="291">
        <f t="shared" si="1"/>
        <v>70.966666666666669</v>
      </c>
      <c r="J56" s="291">
        <f t="shared" si="2"/>
        <v>60.538333333333334</v>
      </c>
      <c r="K56" s="291">
        <f t="shared" si="3"/>
        <v>62.044334975369459</v>
      </c>
      <c r="L56" s="291">
        <f t="shared" si="8"/>
        <v>85</v>
      </c>
      <c r="M56" s="294">
        <v>80</v>
      </c>
      <c r="N56" s="291">
        <f t="shared" si="4"/>
        <v>67.407407407407405</v>
      </c>
      <c r="O56" s="296">
        <f t="shared" si="5"/>
        <v>66.062912007432388</v>
      </c>
    </row>
    <row r="57" spans="1:15">
      <c r="A57" s="220">
        <v>51</v>
      </c>
      <c r="B57" s="220">
        <v>43</v>
      </c>
      <c r="C57" s="221">
        <f t="shared" si="6"/>
        <v>0.17288135593220338</v>
      </c>
      <c r="D57" s="280" t="s">
        <v>773</v>
      </c>
      <c r="E57" s="281" t="s">
        <v>771</v>
      </c>
      <c r="F57" s="271">
        <v>2</v>
      </c>
      <c r="G57" s="271">
        <v>1</v>
      </c>
      <c r="H57" s="291">
        <f t="shared" si="0"/>
        <v>57.332016206994176</v>
      </c>
      <c r="I57" s="291">
        <f t="shared" si="1"/>
        <v>81.150000000000006</v>
      </c>
      <c r="J57" s="291">
        <f t="shared" si="2"/>
        <v>66.174807692307695</v>
      </c>
      <c r="K57" s="291">
        <f t="shared" si="3"/>
        <v>43.126539408866996</v>
      </c>
      <c r="L57" s="291">
        <f t="shared" si="8"/>
        <v>72</v>
      </c>
      <c r="M57" s="294">
        <v>81</v>
      </c>
      <c r="N57" s="291">
        <f t="shared" si="4"/>
        <v>68.58024691358024</v>
      </c>
      <c r="O57" s="296">
        <f t="shared" si="5"/>
        <v>65.979016957192172</v>
      </c>
    </row>
    <row r="58" spans="1:15">
      <c r="A58" s="220">
        <v>52</v>
      </c>
      <c r="B58" s="220">
        <v>44</v>
      </c>
      <c r="C58" s="221">
        <f t="shared" si="6"/>
        <v>0.17627118644067796</v>
      </c>
      <c r="D58" s="280" t="s">
        <v>208</v>
      </c>
      <c r="E58" s="285" t="s">
        <v>206</v>
      </c>
      <c r="F58" s="271">
        <v>2</v>
      </c>
      <c r="G58" s="271">
        <v>2</v>
      </c>
      <c r="H58" s="291">
        <f t="shared" si="0"/>
        <v>51.850573895023231</v>
      </c>
      <c r="I58" s="291">
        <f t="shared" si="1"/>
        <v>77.552777777777763</v>
      </c>
      <c r="J58" s="291">
        <f t="shared" si="2"/>
        <v>60.20750000000001</v>
      </c>
      <c r="K58" s="291">
        <f t="shared" si="3"/>
        <v>69.919950738916256</v>
      </c>
      <c r="L58" s="291">
        <f t="shared" si="8"/>
        <v>69.3</v>
      </c>
      <c r="M58" s="294">
        <v>66</v>
      </c>
      <c r="N58" s="291">
        <f t="shared" si="4"/>
        <v>65.679012345679013</v>
      </c>
      <c r="O58" s="296">
        <f t="shared" si="5"/>
        <v>65.770740731907125</v>
      </c>
    </row>
    <row r="59" spans="1:15">
      <c r="A59" s="220">
        <v>53</v>
      </c>
      <c r="B59" s="220">
        <v>45</v>
      </c>
      <c r="C59" s="221">
        <f t="shared" si="6"/>
        <v>0.17966101694915254</v>
      </c>
      <c r="D59" s="280" t="s">
        <v>199</v>
      </c>
      <c r="E59" s="281" t="s">
        <v>197</v>
      </c>
      <c r="F59" s="271">
        <v>3</v>
      </c>
      <c r="G59" s="271">
        <v>5</v>
      </c>
      <c r="H59" s="291">
        <f t="shared" si="0"/>
        <v>60.547449631702719</v>
      </c>
      <c r="I59" s="291">
        <f t="shared" si="1"/>
        <v>77.580555555555563</v>
      </c>
      <c r="J59" s="291">
        <f t="shared" si="2"/>
        <v>64.381346153846152</v>
      </c>
      <c r="K59" s="291">
        <f t="shared" si="3"/>
        <v>63.192733990147786</v>
      </c>
      <c r="L59" s="291">
        <f t="shared" si="8"/>
        <v>60</v>
      </c>
      <c r="M59" s="294">
        <v>61</v>
      </c>
      <c r="N59" s="291">
        <f t="shared" si="4"/>
        <v>68.744855967078195</v>
      </c>
      <c r="O59" s="296">
        <f t="shared" si="5"/>
        <v>65.376452507435445</v>
      </c>
    </row>
    <row r="60" spans="1:15">
      <c r="A60" s="220">
        <v>54</v>
      </c>
      <c r="B60" s="220">
        <v>46</v>
      </c>
      <c r="C60" s="221">
        <f t="shared" si="6"/>
        <v>0.18305084745762712</v>
      </c>
      <c r="D60" s="280" t="s">
        <v>376</v>
      </c>
      <c r="E60" s="281" t="s">
        <v>374</v>
      </c>
      <c r="F60" s="271">
        <v>9</v>
      </c>
      <c r="G60" s="271">
        <v>15</v>
      </c>
      <c r="H60" s="291">
        <f t="shared" si="0"/>
        <v>45.653340433428539</v>
      </c>
      <c r="I60" s="291">
        <f t="shared" si="1"/>
        <v>76.834055555555565</v>
      </c>
      <c r="J60" s="291">
        <f t="shared" si="2"/>
        <v>50.678333333333342</v>
      </c>
      <c r="K60" s="291">
        <f t="shared" si="3"/>
        <v>79.919950738916256</v>
      </c>
      <c r="L60" s="291">
        <f t="shared" si="8"/>
        <v>72</v>
      </c>
      <c r="M60" s="294">
        <v>60</v>
      </c>
      <c r="N60" s="291">
        <f t="shared" si="4"/>
        <v>67.633744855967066</v>
      </c>
      <c r="O60" s="296">
        <f t="shared" si="5"/>
        <v>65.033757679569348</v>
      </c>
    </row>
    <row r="61" spans="1:15">
      <c r="A61" s="220">
        <v>55</v>
      </c>
      <c r="B61" s="220">
        <v>47</v>
      </c>
      <c r="C61" s="221">
        <f t="shared" si="6"/>
        <v>0.1864406779661017</v>
      </c>
      <c r="D61" s="280" t="s">
        <v>214</v>
      </c>
      <c r="E61" s="281" t="s">
        <v>212</v>
      </c>
      <c r="F61" s="271">
        <v>4</v>
      </c>
      <c r="G61" s="271">
        <v>5</v>
      </c>
      <c r="H61" s="291">
        <f t="shared" si="0"/>
        <v>49.744929860921054</v>
      </c>
      <c r="I61" s="291">
        <f t="shared" si="1"/>
        <v>73.09063888888889</v>
      </c>
      <c r="J61" s="291">
        <f t="shared" si="2"/>
        <v>60.173269230769229</v>
      </c>
      <c r="K61" s="291">
        <f t="shared" si="3"/>
        <v>61.530172413793103</v>
      </c>
      <c r="L61" s="291">
        <f>VLOOKUP(D61,ВПРдек, 24,FALSE)</f>
        <v>75</v>
      </c>
      <c r="M61" s="294">
        <v>61</v>
      </c>
      <c r="N61" s="291">
        <f t="shared" si="4"/>
        <v>71.625514403292172</v>
      </c>
      <c r="O61" s="296">
        <f t="shared" si="5"/>
        <v>64.87146535348684</v>
      </c>
    </row>
    <row r="62" spans="1:15">
      <c r="A62" s="220">
        <v>56</v>
      </c>
      <c r="B62" s="220">
        <v>48</v>
      </c>
      <c r="C62" s="221">
        <f t="shared" si="6"/>
        <v>0.18983050847457628</v>
      </c>
      <c r="D62" s="280" t="s">
        <v>807</v>
      </c>
      <c r="E62" s="281" t="s">
        <v>1714</v>
      </c>
      <c r="F62" s="271">
        <v>2</v>
      </c>
      <c r="G62" s="271">
        <v>2</v>
      </c>
      <c r="H62" s="291">
        <f t="shared" si="0"/>
        <v>61.352887997954078</v>
      </c>
      <c r="I62" s="291">
        <f t="shared" si="1"/>
        <v>79.505555555555546</v>
      </c>
      <c r="J62" s="291">
        <f t="shared" si="2"/>
        <v>59.237820512820512</v>
      </c>
      <c r="K62" s="291">
        <f t="shared" si="3"/>
        <v>44.895320197044335</v>
      </c>
      <c r="L62" s="291">
        <f>VLOOKUP(D62,ВПРдек, 24,FALSE)</f>
        <v>70</v>
      </c>
      <c r="M62" s="294">
        <v>85</v>
      </c>
      <c r="N62" s="291">
        <f t="shared" si="4"/>
        <v>63.251028806584365</v>
      </c>
      <c r="O62" s="296">
        <f t="shared" si="5"/>
        <v>64.729632779993665</v>
      </c>
    </row>
    <row r="63" spans="1:15">
      <c r="A63" s="220">
        <v>57</v>
      </c>
      <c r="B63" s="220">
        <v>49</v>
      </c>
      <c r="C63" s="221">
        <f t="shared" si="6"/>
        <v>0.19322033898305085</v>
      </c>
      <c r="D63" s="280" t="s">
        <v>941</v>
      </c>
      <c r="E63" s="281" t="s">
        <v>939</v>
      </c>
      <c r="F63" s="271">
        <v>7</v>
      </c>
      <c r="G63" s="271">
        <v>11</v>
      </c>
      <c r="H63" s="291">
        <f t="shared" si="0"/>
        <v>58.662944715587898</v>
      </c>
      <c r="I63" s="291">
        <f t="shared" si="1"/>
        <v>73.374999999999986</v>
      </c>
      <c r="J63" s="291">
        <f t="shared" si="2"/>
        <v>63.141410256410254</v>
      </c>
      <c r="K63" s="291">
        <f t="shared" si="3"/>
        <v>62.053571428571431</v>
      </c>
      <c r="L63" s="291">
        <f t="shared" ref="L63:L71" si="9">VLOOKUP(D63,ВПРдек, 25,FALSE)</f>
        <v>66</v>
      </c>
      <c r="M63" s="294">
        <v>64.8</v>
      </c>
      <c r="N63" s="291">
        <f t="shared" si="4"/>
        <v>61.584362139917694</v>
      </c>
      <c r="O63" s="296">
        <f t="shared" si="5"/>
        <v>64.187275160074961</v>
      </c>
    </row>
    <row r="64" spans="1:15">
      <c r="A64" s="220">
        <v>58</v>
      </c>
      <c r="B64" s="220">
        <v>50</v>
      </c>
      <c r="C64" s="221">
        <f t="shared" si="6"/>
        <v>0.19661016949152543</v>
      </c>
      <c r="D64" s="280" t="s">
        <v>893</v>
      </c>
      <c r="E64" s="281" t="s">
        <v>891</v>
      </c>
      <c r="F64" s="271">
        <v>1</v>
      </c>
      <c r="G64" s="271">
        <v>2</v>
      </c>
      <c r="H64" s="291">
        <f t="shared" si="0"/>
        <v>53.357026566189568</v>
      </c>
      <c r="I64" s="291">
        <f t="shared" si="1"/>
        <v>79.422916666666652</v>
      </c>
      <c r="J64" s="291">
        <f t="shared" si="2"/>
        <v>76.319551282051293</v>
      </c>
      <c r="K64" s="291">
        <f t="shared" si="3"/>
        <v>39.156403940886698</v>
      </c>
      <c r="L64" s="291">
        <f t="shared" si="9"/>
        <v>60</v>
      </c>
      <c r="M64" s="294">
        <v>84</v>
      </c>
      <c r="N64" s="291">
        <f t="shared" si="4"/>
        <v>65.925925925925938</v>
      </c>
      <c r="O64" s="296">
        <f t="shared" si="5"/>
        <v>64.027972981803089</v>
      </c>
    </row>
    <row r="65" spans="1:15">
      <c r="A65" s="220">
        <v>59</v>
      </c>
      <c r="B65" s="220">
        <v>51</v>
      </c>
      <c r="C65" s="221">
        <f t="shared" si="6"/>
        <v>0.2</v>
      </c>
      <c r="D65" s="280" t="s">
        <v>139</v>
      </c>
      <c r="E65" s="281" t="s">
        <v>137</v>
      </c>
      <c r="F65" s="271">
        <v>5</v>
      </c>
      <c r="G65" s="271">
        <v>7</v>
      </c>
      <c r="H65" s="291">
        <f t="shared" si="0"/>
        <v>46.135510975989583</v>
      </c>
      <c r="I65" s="291">
        <f t="shared" si="1"/>
        <v>74.346083333333326</v>
      </c>
      <c r="J65" s="291">
        <f t="shared" si="2"/>
        <v>64.865384615384613</v>
      </c>
      <c r="K65" s="291">
        <f t="shared" si="3"/>
        <v>60.628078817733993</v>
      </c>
      <c r="L65" s="291">
        <f t="shared" si="9"/>
        <v>74.2</v>
      </c>
      <c r="M65" s="294">
        <v>53</v>
      </c>
      <c r="N65" s="291">
        <f t="shared" si="4"/>
        <v>67.777777777777771</v>
      </c>
      <c r="O65" s="296">
        <f t="shared" si="5"/>
        <v>63.761974695418346</v>
      </c>
    </row>
    <row r="66" spans="1:15">
      <c r="A66" s="220">
        <v>60</v>
      </c>
      <c r="B66" s="220">
        <v>52</v>
      </c>
      <c r="C66" s="221">
        <f t="shared" si="6"/>
        <v>0.20338983050847459</v>
      </c>
      <c r="D66" s="280" t="s">
        <v>385</v>
      </c>
      <c r="E66" s="281" t="s">
        <v>383</v>
      </c>
      <c r="F66" s="271">
        <v>3</v>
      </c>
      <c r="G66" s="271">
        <v>5</v>
      </c>
      <c r="H66" s="291">
        <f t="shared" si="0"/>
        <v>56.372274024308155</v>
      </c>
      <c r="I66" s="291">
        <f t="shared" si="1"/>
        <v>70.5</v>
      </c>
      <c r="J66" s="291">
        <f t="shared" si="2"/>
        <v>71.108846153846144</v>
      </c>
      <c r="K66" s="291">
        <f t="shared" si="3"/>
        <v>53.585283251231523</v>
      </c>
      <c r="L66" s="291">
        <f t="shared" si="9"/>
        <v>60</v>
      </c>
      <c r="M66" s="294">
        <v>66</v>
      </c>
      <c r="N66" s="291">
        <f t="shared" si="4"/>
        <v>69.567901234567898</v>
      </c>
      <c r="O66" s="296">
        <f t="shared" si="5"/>
        <v>63.712969948300568</v>
      </c>
    </row>
    <row r="67" spans="1:15">
      <c r="A67" s="220">
        <v>61</v>
      </c>
      <c r="B67" s="220" t="s">
        <v>1993</v>
      </c>
      <c r="C67" s="221">
        <f t="shared" si="6"/>
        <v>0.20677966101694914</v>
      </c>
      <c r="D67" s="280" t="s">
        <v>545</v>
      </c>
      <c r="E67" s="281" t="s">
        <v>543</v>
      </c>
      <c r="F67" s="271" t="s">
        <v>1002</v>
      </c>
      <c r="G67" s="271" t="s">
        <v>2059</v>
      </c>
      <c r="H67" s="291">
        <f t="shared" si="0"/>
        <v>92.583137919349383</v>
      </c>
      <c r="I67" s="291">
        <f t="shared" si="1"/>
        <v>68.052777777777777</v>
      </c>
      <c r="J67" s="291">
        <f t="shared" si="2"/>
        <v>63.897756410256406</v>
      </c>
      <c r="K67" s="291">
        <f t="shared" si="3"/>
        <v>29.187192118226601</v>
      </c>
      <c r="L67" s="291">
        <f t="shared" si="9"/>
        <v>56.7</v>
      </c>
      <c r="M67" s="294">
        <v>68</v>
      </c>
      <c r="N67" s="291">
        <f t="shared" si="4"/>
        <v>69.403292181069958</v>
      </c>
      <c r="O67" s="296">
        <f t="shared" si="5"/>
        <v>63.665254831796943</v>
      </c>
    </row>
    <row r="68" spans="1:15">
      <c r="A68" s="220">
        <v>62</v>
      </c>
      <c r="B68" s="220">
        <v>53</v>
      </c>
      <c r="C68" s="221">
        <f t="shared" si="6"/>
        <v>0.21016949152542372</v>
      </c>
      <c r="D68" s="280" t="s">
        <v>622</v>
      </c>
      <c r="E68" s="281" t="s">
        <v>620</v>
      </c>
      <c r="F68" s="271">
        <v>9</v>
      </c>
      <c r="G68" s="271">
        <v>14</v>
      </c>
      <c r="H68" s="291">
        <f t="shared" si="0"/>
        <v>51.729617470146103</v>
      </c>
      <c r="I68" s="291">
        <f t="shared" si="1"/>
        <v>73.04458333333335</v>
      </c>
      <c r="J68" s="291">
        <f t="shared" si="2"/>
        <v>60.009807692307689</v>
      </c>
      <c r="K68" s="291">
        <f t="shared" si="3"/>
        <v>52.778633004926107</v>
      </c>
      <c r="L68" s="291">
        <f t="shared" si="9"/>
        <v>75</v>
      </c>
      <c r="M68" s="294">
        <v>69</v>
      </c>
      <c r="N68" s="291">
        <f t="shared" si="4"/>
        <v>65.493827160493822</v>
      </c>
      <c r="O68" s="296">
        <f t="shared" si="5"/>
        <v>63.470225947878014</v>
      </c>
    </row>
    <row r="69" spans="1:15">
      <c r="A69" s="220">
        <v>63</v>
      </c>
      <c r="B69" s="220">
        <v>54</v>
      </c>
      <c r="C69" s="221">
        <f t="shared" si="6"/>
        <v>0.2135593220338983</v>
      </c>
      <c r="D69" s="280" t="s">
        <v>748</v>
      </c>
      <c r="E69" s="281" t="s">
        <v>746</v>
      </c>
      <c r="F69" s="271">
        <v>3</v>
      </c>
      <c r="G69" s="271">
        <v>6</v>
      </c>
      <c r="H69" s="291">
        <f t="shared" si="0"/>
        <v>65.480752019882843</v>
      </c>
      <c r="I69" s="291">
        <f t="shared" si="1"/>
        <v>78.597222222222229</v>
      </c>
      <c r="J69" s="291">
        <f t="shared" si="2"/>
        <v>66.34128205128205</v>
      </c>
      <c r="K69" s="291">
        <f t="shared" si="3"/>
        <v>65.224753694581281</v>
      </c>
      <c r="L69" s="291">
        <f t="shared" si="9"/>
        <v>33.299999999999997</v>
      </c>
      <c r="M69" s="294">
        <v>74</v>
      </c>
      <c r="N69" s="291">
        <f t="shared" si="4"/>
        <v>65.02057613168725</v>
      </c>
      <c r="O69" s="296">
        <f t="shared" si="5"/>
        <v>63.225320941485492</v>
      </c>
    </row>
    <row r="70" spans="1:15">
      <c r="A70" s="220">
        <v>64</v>
      </c>
      <c r="B70" s="220">
        <v>55</v>
      </c>
      <c r="C70" s="221">
        <f t="shared" si="6"/>
        <v>0.21694915254237288</v>
      </c>
      <c r="D70" s="280" t="s">
        <v>418</v>
      </c>
      <c r="E70" s="281" t="s">
        <v>416</v>
      </c>
      <c r="F70" s="271">
        <v>6</v>
      </c>
      <c r="G70" s="271">
        <v>7</v>
      </c>
      <c r="H70" s="291">
        <f t="shared" si="0"/>
        <v>45.721996618395409</v>
      </c>
      <c r="I70" s="291">
        <f t="shared" si="1"/>
        <v>62.050694444444467</v>
      </c>
      <c r="J70" s="291">
        <f t="shared" si="2"/>
        <v>63.843141025641025</v>
      </c>
      <c r="K70" s="291">
        <f t="shared" si="3"/>
        <v>62.23830049261084</v>
      </c>
      <c r="L70" s="291">
        <f t="shared" si="9"/>
        <v>74</v>
      </c>
      <c r="M70" s="294">
        <v>58</v>
      </c>
      <c r="N70" s="291">
        <f t="shared" si="4"/>
        <v>73.271604938271608</v>
      </c>
      <c r="O70" s="296">
        <f t="shared" si="5"/>
        <v>63.09626731067128</v>
      </c>
    </row>
    <row r="71" spans="1:15">
      <c r="A71" s="220">
        <v>65</v>
      </c>
      <c r="B71" s="220">
        <v>56</v>
      </c>
      <c r="C71" s="221">
        <f t="shared" si="6"/>
        <v>0.22033898305084745</v>
      </c>
      <c r="D71" s="280" t="s">
        <v>920</v>
      </c>
      <c r="E71" s="281" t="s">
        <v>918</v>
      </c>
      <c r="F71" s="271">
        <v>3</v>
      </c>
      <c r="G71" s="271">
        <v>4</v>
      </c>
      <c r="H71" s="291">
        <f t="shared" ref="H71:H134" si="10">((VLOOKUP(D71, ВПРдек, 8, FALSE))*(0.4) + VLOOKUP(D71, матанВесна, 4,FALSE)*0.317*0.6) / (40+0.6*0.317*100) * 100</f>
        <v>50.512107014941996</v>
      </c>
      <c r="I71" s="291">
        <f t="shared" ref="I71:I134" si="11">(VLOOKUP(D71,ВПРдек, 11,FALSE) * 0.2 + VLOOKUP(E71, StatSpring, 18,FALSE) * 0.2) * 2.5</f>
        <v>76.391666666666666</v>
      </c>
      <c r="J71" s="291">
        <f t="shared" ref="J71:J134" si="12">VLOOKUP(D71, ВПРдек, 5, FALSE)</f>
        <v>65.483910256410255</v>
      </c>
      <c r="K71" s="291">
        <f t="shared" ref="K71:K134" si="13">VLOOKUP(E71, MacroSpring1, 8,FALSE)</f>
        <v>34.83682266009852</v>
      </c>
      <c r="L71" s="291">
        <f t="shared" si="9"/>
        <v>71.5</v>
      </c>
      <c r="M71" s="294">
        <v>66</v>
      </c>
      <c r="N71" s="291">
        <f t="shared" ref="N71:N134" si="14">(VLOOKUP(D71, ВПРдек, 23,FALSE) * 0.25 + VLOOKUP(D71,EngMarch,2,FALSE) / 9 * 100 * 0.2) / 45 * 100</f>
        <v>77.63374485596708</v>
      </c>
      <c r="O71" s="296">
        <f t="shared" ref="O71:O134" si="15">(H71 +I71+J71+K71+L71+M71*0.5+N71)/6.5</f>
        <v>62.978192531397625</v>
      </c>
    </row>
    <row r="72" spans="1:15">
      <c r="A72" s="220">
        <v>66</v>
      </c>
      <c r="B72" s="220">
        <v>57</v>
      </c>
      <c r="C72" s="221">
        <f t="shared" ref="C72:C135" si="16">A72/295</f>
        <v>0.22372881355932203</v>
      </c>
      <c r="D72" s="280" t="s">
        <v>364</v>
      </c>
      <c r="E72" s="281" t="s">
        <v>362</v>
      </c>
      <c r="F72" s="271">
        <v>1</v>
      </c>
      <c r="G72" s="271">
        <v>3</v>
      </c>
      <c r="H72" s="291">
        <f t="shared" si="10"/>
        <v>80.5152178658346</v>
      </c>
      <c r="I72" s="291">
        <f t="shared" si="11"/>
        <v>84.256944444444457</v>
      </c>
      <c r="J72" s="291">
        <f t="shared" si="12"/>
        <v>59.056428571428569</v>
      </c>
      <c r="K72" s="291">
        <f t="shared" si="13"/>
        <v>27.216748768472907</v>
      </c>
      <c r="L72" s="291">
        <f>VLOOKUP(D72,ВПРдек, 24,FALSE)</f>
        <v>49.333333333333336</v>
      </c>
      <c r="M72" s="294">
        <v>91</v>
      </c>
      <c r="N72" s="291">
        <f t="shared" si="14"/>
        <v>62.654320987654323</v>
      </c>
      <c r="O72" s="296">
        <f t="shared" si="15"/>
        <v>62.851229841718187</v>
      </c>
    </row>
    <row r="73" spans="1:15">
      <c r="A73" s="220">
        <v>67</v>
      </c>
      <c r="B73" s="220">
        <v>58</v>
      </c>
      <c r="C73" s="221">
        <f t="shared" si="16"/>
        <v>0.22711864406779661</v>
      </c>
      <c r="D73" s="280" t="s">
        <v>355</v>
      </c>
      <c r="E73" s="281" t="s">
        <v>353</v>
      </c>
      <c r="F73" s="271">
        <v>3</v>
      </c>
      <c r="G73" s="271">
        <v>5</v>
      </c>
      <c r="H73" s="291">
        <f t="shared" si="10"/>
        <v>56.163068627081401</v>
      </c>
      <c r="I73" s="291">
        <f t="shared" si="11"/>
        <v>73.602777777777789</v>
      </c>
      <c r="J73" s="291">
        <f t="shared" si="12"/>
        <v>72.877435897435902</v>
      </c>
      <c r="K73" s="291">
        <f t="shared" si="13"/>
        <v>55.089285714285715</v>
      </c>
      <c r="L73" s="291">
        <f>VLOOKUP(D73,ВПРдек, 24,FALSE)</f>
        <v>58</v>
      </c>
      <c r="M73" s="294">
        <v>50</v>
      </c>
      <c r="N73" s="291">
        <f t="shared" si="14"/>
        <v>67.181069958847743</v>
      </c>
      <c r="O73" s="296">
        <f t="shared" si="15"/>
        <v>62.755944303912081</v>
      </c>
    </row>
    <row r="74" spans="1:15">
      <c r="A74" s="220">
        <v>68</v>
      </c>
      <c r="B74" s="220">
        <v>59</v>
      </c>
      <c r="C74" s="221">
        <f t="shared" si="16"/>
        <v>0.23050847457627119</v>
      </c>
      <c r="D74" s="280" t="s">
        <v>574</v>
      </c>
      <c r="E74" s="281" t="s">
        <v>572</v>
      </c>
      <c r="F74" s="271">
        <v>3</v>
      </c>
      <c r="G74" s="271">
        <v>6</v>
      </c>
      <c r="H74" s="291">
        <f t="shared" si="10"/>
        <v>52.184529356591447</v>
      </c>
      <c r="I74" s="291">
        <f t="shared" si="11"/>
        <v>76.286111111111111</v>
      </c>
      <c r="J74" s="291">
        <f t="shared" si="12"/>
        <v>58.607628205128208</v>
      </c>
      <c r="K74" s="291">
        <f t="shared" si="13"/>
        <v>53.078817733990149</v>
      </c>
      <c r="L74" s="291">
        <f>VLOOKUP(D74,ВПРдек, 24,FALSE)</f>
        <v>53</v>
      </c>
      <c r="M74" s="294">
        <v>93</v>
      </c>
      <c r="N74" s="291">
        <f t="shared" si="14"/>
        <v>65.308641975308632</v>
      </c>
      <c r="O74" s="296">
        <f t="shared" si="15"/>
        <v>62.302419751096856</v>
      </c>
    </row>
    <row r="75" spans="1:15">
      <c r="A75" s="220">
        <v>69</v>
      </c>
      <c r="B75" s="220">
        <v>60</v>
      </c>
      <c r="C75" s="221">
        <f t="shared" si="16"/>
        <v>0.23389830508474577</v>
      </c>
      <c r="D75" s="280" t="s">
        <v>715</v>
      </c>
      <c r="E75" s="281" t="s">
        <v>713</v>
      </c>
      <c r="F75" s="271">
        <v>3</v>
      </c>
      <c r="G75" s="271">
        <v>4</v>
      </c>
      <c r="H75" s="291">
        <f t="shared" si="10"/>
        <v>42.24441000784217</v>
      </c>
      <c r="I75" s="291">
        <f t="shared" si="11"/>
        <v>74.616666666666674</v>
      </c>
      <c r="J75" s="291">
        <f t="shared" si="12"/>
        <v>65.168846153846147</v>
      </c>
      <c r="K75" s="291">
        <f t="shared" si="13"/>
        <v>46.967364532019701</v>
      </c>
      <c r="L75" s="291">
        <f>VLOOKUP(D75,ВПРдек, 25,FALSE)</f>
        <v>61</v>
      </c>
      <c r="M75" s="294">
        <v>77</v>
      </c>
      <c r="N75" s="291">
        <f t="shared" si="14"/>
        <v>76.111111111111114</v>
      </c>
      <c r="O75" s="296">
        <f t="shared" si="15"/>
        <v>62.247445918690119</v>
      </c>
    </row>
    <row r="76" spans="1:15">
      <c r="A76" s="220">
        <v>70</v>
      </c>
      <c r="B76" s="220">
        <v>61</v>
      </c>
      <c r="C76" s="221">
        <f t="shared" si="16"/>
        <v>0.23728813559322035</v>
      </c>
      <c r="D76" s="280" t="s">
        <v>458</v>
      </c>
      <c r="E76" s="281" t="s">
        <v>456</v>
      </c>
      <c r="F76" s="271">
        <v>2</v>
      </c>
      <c r="G76" s="271">
        <v>2</v>
      </c>
      <c r="H76" s="291">
        <f t="shared" si="10"/>
        <v>59.511917954781403</v>
      </c>
      <c r="I76" s="291">
        <f t="shared" si="11"/>
        <v>75.336111111111123</v>
      </c>
      <c r="J76" s="291">
        <f t="shared" si="12"/>
        <v>75.28365384615384</v>
      </c>
      <c r="K76" s="291">
        <f t="shared" si="13"/>
        <v>37.61699507389163</v>
      </c>
      <c r="L76" s="291">
        <f>VLOOKUP(D76,ВПРдек, 25,FALSE)</f>
        <v>52.7</v>
      </c>
      <c r="M76" s="294">
        <v>74</v>
      </c>
      <c r="N76" s="291">
        <f t="shared" si="14"/>
        <v>66.934156378600818</v>
      </c>
      <c r="O76" s="296">
        <f t="shared" si="15"/>
        <v>62.212743748390579</v>
      </c>
    </row>
    <row r="77" spans="1:15">
      <c r="A77" s="220">
        <v>71</v>
      </c>
      <c r="B77" s="220">
        <v>62</v>
      </c>
      <c r="C77" s="221">
        <f t="shared" si="16"/>
        <v>0.24067796610169492</v>
      </c>
      <c r="D77" s="280" t="s">
        <v>643</v>
      </c>
      <c r="E77" s="281" t="s">
        <v>641</v>
      </c>
      <c r="F77" s="271">
        <v>2</v>
      </c>
      <c r="G77" s="271">
        <v>2</v>
      </c>
      <c r="H77" s="291">
        <f t="shared" si="10"/>
        <v>49.158477997773154</v>
      </c>
      <c r="I77" s="291">
        <f t="shared" si="11"/>
        <v>78.783333333333331</v>
      </c>
      <c r="J77" s="291">
        <f t="shared" si="12"/>
        <v>67.582179487179488</v>
      </c>
      <c r="K77" s="291">
        <f t="shared" si="13"/>
        <v>46.343903940886698</v>
      </c>
      <c r="L77" s="291">
        <f>VLOOKUP(D77,ВПРдек, 25,FALSE)</f>
        <v>67</v>
      </c>
      <c r="M77" s="294">
        <v>58</v>
      </c>
      <c r="N77" s="291">
        <f t="shared" si="14"/>
        <v>63.950617283950621</v>
      </c>
      <c r="O77" s="296">
        <f t="shared" si="15"/>
        <v>61.818232622018975</v>
      </c>
    </row>
    <row r="78" spans="1:15">
      <c r="A78" s="220">
        <v>72</v>
      </c>
      <c r="B78" s="220">
        <v>63</v>
      </c>
      <c r="C78" s="221">
        <f t="shared" si="16"/>
        <v>0.2440677966101695</v>
      </c>
      <c r="D78" s="280" t="s">
        <v>853</v>
      </c>
      <c r="E78" s="281" t="s">
        <v>851</v>
      </c>
      <c r="F78" s="271" t="s">
        <v>1002</v>
      </c>
      <c r="G78" s="271" t="s">
        <v>2059</v>
      </c>
      <c r="H78" s="291">
        <f t="shared" si="10"/>
        <v>71.358535413865809</v>
      </c>
      <c r="I78" s="291">
        <f t="shared" si="11"/>
        <v>85.656138888888904</v>
      </c>
      <c r="J78" s="291">
        <f t="shared" si="12"/>
        <v>54.385961538461544</v>
      </c>
      <c r="K78" s="291">
        <f t="shared" si="13"/>
        <v>59.451970443349751</v>
      </c>
      <c r="L78" s="291">
        <f>VLOOKUP(D78,ВПРдек, 25,FALSE)</f>
        <v>21.5</v>
      </c>
      <c r="M78" s="294">
        <v>72</v>
      </c>
      <c r="N78" s="291">
        <f t="shared" si="14"/>
        <v>72.469135802469125</v>
      </c>
      <c r="O78" s="296">
        <f t="shared" si="15"/>
        <v>61.664883398005408</v>
      </c>
    </row>
    <row r="79" spans="1:15">
      <c r="A79" s="220">
        <v>73</v>
      </c>
      <c r="B79" s="220">
        <v>64</v>
      </c>
      <c r="C79" s="221">
        <f t="shared" si="16"/>
        <v>0.24745762711864408</v>
      </c>
      <c r="D79" s="280" t="s">
        <v>452</v>
      </c>
      <c r="E79" s="281" t="s">
        <v>450</v>
      </c>
      <c r="F79" s="271">
        <v>4</v>
      </c>
      <c r="G79" s="271">
        <v>4</v>
      </c>
      <c r="H79" s="291">
        <f t="shared" si="10"/>
        <v>59.78308505652118</v>
      </c>
      <c r="I79" s="291">
        <f t="shared" si="11"/>
        <v>72.216972222222239</v>
      </c>
      <c r="J79" s="291">
        <f t="shared" si="12"/>
        <v>67.927756410256407</v>
      </c>
      <c r="K79" s="291">
        <f t="shared" si="13"/>
        <v>38.254310344827587</v>
      </c>
      <c r="L79" s="291">
        <f>VLOOKUP(D79,ВПРдек, 25,FALSE)</f>
        <v>56</v>
      </c>
      <c r="M79" s="294">
        <v>70</v>
      </c>
      <c r="N79" s="291">
        <f t="shared" si="14"/>
        <v>70.905349794238674</v>
      </c>
      <c r="O79" s="296">
        <f t="shared" si="15"/>
        <v>61.55191905047171</v>
      </c>
    </row>
    <row r="80" spans="1:15">
      <c r="A80" s="220">
        <v>74</v>
      </c>
      <c r="B80" s="220">
        <v>65</v>
      </c>
      <c r="C80" s="221">
        <f t="shared" si="16"/>
        <v>0.25084745762711863</v>
      </c>
      <c r="D80" s="280" t="s">
        <v>887</v>
      </c>
      <c r="E80" s="281" t="s">
        <v>885</v>
      </c>
      <c r="F80" s="271">
        <v>4</v>
      </c>
      <c r="G80" s="271">
        <v>6</v>
      </c>
      <c r="H80" s="291">
        <f t="shared" si="10"/>
        <v>45.619579313940548</v>
      </c>
      <c r="I80" s="291">
        <f t="shared" si="11"/>
        <v>70.835527777777756</v>
      </c>
      <c r="J80" s="291">
        <f t="shared" si="12"/>
        <v>54.026666666666671</v>
      </c>
      <c r="K80" s="291">
        <f t="shared" si="13"/>
        <v>45.09698275862069</v>
      </c>
      <c r="L80" s="291">
        <f>VLOOKUP(D80,ВПРдек, 24,FALSE)</f>
        <v>76</v>
      </c>
      <c r="M80" s="294">
        <v>73</v>
      </c>
      <c r="N80" s="291">
        <f t="shared" si="14"/>
        <v>68.703703703703709</v>
      </c>
      <c r="O80" s="296">
        <f t="shared" si="15"/>
        <v>61.043455418570673</v>
      </c>
    </row>
    <row r="81" spans="1:15">
      <c r="A81" s="220">
        <v>75</v>
      </c>
      <c r="B81" s="220">
        <v>66</v>
      </c>
      <c r="C81" s="221">
        <f t="shared" si="16"/>
        <v>0.25423728813559321</v>
      </c>
      <c r="D81" s="280" t="s">
        <v>289</v>
      </c>
      <c r="E81" s="281" t="s">
        <v>287</v>
      </c>
      <c r="F81" s="271">
        <v>10</v>
      </c>
      <c r="G81" s="271">
        <v>13</v>
      </c>
      <c r="H81" s="291">
        <f t="shared" si="10"/>
        <v>54.287844015993791</v>
      </c>
      <c r="I81" s="291">
        <f t="shared" si="11"/>
        <v>64.849611111111102</v>
      </c>
      <c r="J81" s="291">
        <f t="shared" si="12"/>
        <v>63.81051282051282</v>
      </c>
      <c r="K81" s="291">
        <f t="shared" si="13"/>
        <v>43.983990147783246</v>
      </c>
      <c r="L81" s="291">
        <f>VLOOKUP(D81,ВПРдек, 25,FALSE)</f>
        <v>69</v>
      </c>
      <c r="M81" s="294">
        <v>60</v>
      </c>
      <c r="N81" s="291">
        <f t="shared" si="14"/>
        <v>68.004115226337447</v>
      </c>
      <c r="O81" s="296">
        <f t="shared" si="15"/>
        <v>60.605549741805902</v>
      </c>
    </row>
    <row r="82" spans="1:15">
      <c r="A82" s="220">
        <v>76</v>
      </c>
      <c r="B82" s="220">
        <v>67</v>
      </c>
      <c r="C82" s="221">
        <f t="shared" si="16"/>
        <v>0.25762711864406779</v>
      </c>
      <c r="D82" s="280" t="s">
        <v>956</v>
      </c>
      <c r="E82" s="281" t="s">
        <v>954</v>
      </c>
      <c r="F82" s="271">
        <v>5</v>
      </c>
      <c r="G82" s="271">
        <v>8</v>
      </c>
      <c r="H82" s="291">
        <f t="shared" si="10"/>
        <v>42.857363977419148</v>
      </c>
      <c r="I82" s="291">
        <f t="shared" si="11"/>
        <v>68.722222222222214</v>
      </c>
      <c r="J82" s="291">
        <f t="shared" si="12"/>
        <v>58.507884615384611</v>
      </c>
      <c r="K82" s="291">
        <f t="shared" si="13"/>
        <v>50.177032019704441</v>
      </c>
      <c r="L82" s="291">
        <f>VLOOKUP(D82,ВПРдек, 25,FALSE)</f>
        <v>73.7</v>
      </c>
      <c r="M82" s="294">
        <v>67</v>
      </c>
      <c r="N82" s="291">
        <f t="shared" si="14"/>
        <v>65.164609053497941</v>
      </c>
      <c r="O82" s="296">
        <f t="shared" si="15"/>
        <v>60.404478752035132</v>
      </c>
    </row>
    <row r="83" spans="1:15">
      <c r="A83" s="220">
        <v>77</v>
      </c>
      <c r="B83" s="220">
        <v>68</v>
      </c>
      <c r="C83" s="221">
        <f t="shared" si="16"/>
        <v>0.26101694915254237</v>
      </c>
      <c r="D83" s="280" t="s">
        <v>229</v>
      </c>
      <c r="E83" s="281" t="s">
        <v>1681</v>
      </c>
      <c r="F83" s="271">
        <v>9</v>
      </c>
      <c r="G83" s="271">
        <v>16</v>
      </c>
      <c r="H83" s="291">
        <f t="shared" si="10"/>
        <v>44.661304011700487</v>
      </c>
      <c r="I83" s="291">
        <f t="shared" si="11"/>
        <v>73.819888888888897</v>
      </c>
      <c r="J83" s="291">
        <f t="shared" si="12"/>
        <v>63.97314102564102</v>
      </c>
      <c r="K83" s="291">
        <f t="shared" si="13"/>
        <v>54.827586206896555</v>
      </c>
      <c r="L83" s="291">
        <f>VLOOKUP(D83,ВПРдек, 25,FALSE)</f>
        <v>63</v>
      </c>
      <c r="M83" s="294">
        <v>54</v>
      </c>
      <c r="N83" s="291">
        <f t="shared" si="14"/>
        <v>62.942386831275719</v>
      </c>
      <c r="O83" s="296">
        <f t="shared" si="15"/>
        <v>60.03450876375426</v>
      </c>
    </row>
    <row r="84" spans="1:15">
      <c r="A84" s="220">
        <v>78</v>
      </c>
      <c r="B84" s="220">
        <v>69</v>
      </c>
      <c r="C84" s="221">
        <f t="shared" si="16"/>
        <v>0.26440677966101694</v>
      </c>
      <c r="D84" s="280" t="s">
        <v>872</v>
      </c>
      <c r="E84" s="281" t="s">
        <v>870</v>
      </c>
      <c r="F84" s="271">
        <v>11</v>
      </c>
      <c r="G84" s="271">
        <v>14</v>
      </c>
      <c r="H84" s="291">
        <f t="shared" si="10"/>
        <v>56.843490991121712</v>
      </c>
      <c r="I84" s="291">
        <f t="shared" si="11"/>
        <v>76.83197222222222</v>
      </c>
      <c r="J84" s="291">
        <f t="shared" si="12"/>
        <v>46.408782051282053</v>
      </c>
      <c r="K84" s="291">
        <f t="shared" si="13"/>
        <v>54.036330049261082</v>
      </c>
      <c r="L84" s="291">
        <f>VLOOKUP(D84,ВПРдек, 25,FALSE)</f>
        <v>58.4</v>
      </c>
      <c r="M84" s="294">
        <v>66</v>
      </c>
      <c r="N84" s="291">
        <f t="shared" si="14"/>
        <v>64.588477366255148</v>
      </c>
      <c r="O84" s="296">
        <f t="shared" si="15"/>
        <v>60.016777335406495</v>
      </c>
    </row>
    <row r="85" spans="1:15">
      <c r="A85" s="220">
        <v>79</v>
      </c>
      <c r="B85" s="220">
        <v>70</v>
      </c>
      <c r="C85" s="221">
        <f t="shared" si="16"/>
        <v>0.26779661016949152</v>
      </c>
      <c r="D85" s="280" t="s">
        <v>692</v>
      </c>
      <c r="E85" s="281" t="s">
        <v>689</v>
      </c>
      <c r="F85" s="271">
        <v>6</v>
      </c>
      <c r="G85" s="271">
        <v>7</v>
      </c>
      <c r="H85" s="291">
        <f t="shared" si="10"/>
        <v>43.448199525814694</v>
      </c>
      <c r="I85" s="291">
        <f t="shared" si="11"/>
        <v>69.068388888888904</v>
      </c>
      <c r="J85" s="291">
        <f t="shared" si="12"/>
        <v>56.675641025641028</v>
      </c>
      <c r="K85" s="291">
        <f t="shared" si="13"/>
        <v>49.387315270935964</v>
      </c>
      <c r="L85" s="291">
        <f>VLOOKUP(D85,ВПРдек, 25,FALSE)</f>
        <v>63.8</v>
      </c>
      <c r="M85" s="294">
        <v>68</v>
      </c>
      <c r="N85" s="291">
        <f t="shared" si="14"/>
        <v>72.242798353909464</v>
      </c>
      <c r="O85" s="296">
        <f t="shared" si="15"/>
        <v>59.788052779260006</v>
      </c>
    </row>
    <row r="86" spans="1:15">
      <c r="A86" s="220">
        <v>80</v>
      </c>
      <c r="B86" s="220">
        <v>71</v>
      </c>
      <c r="C86" s="221">
        <f t="shared" si="16"/>
        <v>0.2711864406779661</v>
      </c>
      <c r="D86" s="280" t="s">
        <v>533</v>
      </c>
      <c r="E86" s="281" t="s">
        <v>531</v>
      </c>
      <c r="F86" s="271">
        <v>7</v>
      </c>
      <c r="G86" s="271">
        <v>12</v>
      </c>
      <c r="H86" s="291">
        <f t="shared" si="10"/>
        <v>49.379212852737083</v>
      </c>
      <c r="I86" s="291">
        <f t="shared" si="11"/>
        <v>77.60277777777776</v>
      </c>
      <c r="J86" s="291">
        <f t="shared" si="12"/>
        <v>51.112756410256409</v>
      </c>
      <c r="K86" s="291">
        <f t="shared" si="13"/>
        <v>66.268472906403929</v>
      </c>
      <c r="L86" s="291">
        <f>VLOOKUP(D86,ВПРдек, 24,FALSE)</f>
        <v>69</v>
      </c>
      <c r="M86" s="294">
        <v>59</v>
      </c>
      <c r="N86" s="291">
        <f t="shared" si="14"/>
        <v>44.773662551440331</v>
      </c>
      <c r="O86" s="296">
        <f t="shared" si="15"/>
        <v>59.63644346132547</v>
      </c>
    </row>
    <row r="87" spans="1:15">
      <c r="A87" s="220">
        <v>81</v>
      </c>
      <c r="B87" s="220">
        <v>72</v>
      </c>
      <c r="C87" s="221">
        <f t="shared" si="16"/>
        <v>0.27457627118644068</v>
      </c>
      <c r="D87" s="280" t="s">
        <v>73</v>
      </c>
      <c r="E87" s="281" t="s">
        <v>71</v>
      </c>
      <c r="F87" s="271">
        <v>7</v>
      </c>
      <c r="G87" s="271">
        <v>12</v>
      </c>
      <c r="H87" s="291">
        <f t="shared" si="10"/>
        <v>37.749158496911811</v>
      </c>
      <c r="I87" s="291">
        <f t="shared" si="11"/>
        <v>73.405555555555566</v>
      </c>
      <c r="J87" s="291">
        <f t="shared" si="12"/>
        <v>61.318910256410248</v>
      </c>
      <c r="K87" s="291">
        <f t="shared" si="13"/>
        <v>46.151477832512313</v>
      </c>
      <c r="L87" s="291">
        <f>VLOOKUP(D87,ВПРдек, 25,FALSE)</f>
        <v>71.5</v>
      </c>
      <c r="M87" s="294">
        <v>60</v>
      </c>
      <c r="N87" s="291">
        <f t="shared" si="14"/>
        <v>65.987654320987659</v>
      </c>
      <c r="O87" s="296">
        <f t="shared" si="15"/>
        <v>59.401962532673465</v>
      </c>
    </row>
    <row r="88" spans="1:15">
      <c r="A88" s="220">
        <v>82</v>
      </c>
      <c r="B88" s="220">
        <v>73</v>
      </c>
      <c r="C88" s="221">
        <f t="shared" si="16"/>
        <v>0.27796610169491526</v>
      </c>
      <c r="D88" s="280" t="s">
        <v>512</v>
      </c>
      <c r="E88" s="281" t="s">
        <v>510</v>
      </c>
      <c r="F88" s="271">
        <v>8</v>
      </c>
      <c r="G88" s="271">
        <v>12</v>
      </c>
      <c r="H88" s="291">
        <f t="shared" si="10"/>
        <v>45.939269123757065</v>
      </c>
      <c r="I88" s="291">
        <f t="shared" si="11"/>
        <v>73.111111111111114</v>
      </c>
      <c r="J88" s="291">
        <f t="shared" si="12"/>
        <v>64.038974358974357</v>
      </c>
      <c r="K88" s="291">
        <f t="shared" si="13"/>
        <v>43.405172413793103</v>
      </c>
      <c r="L88" s="291">
        <f>VLOOKUP(D88,ВПРдек, 25,FALSE)</f>
        <v>67.5</v>
      </c>
      <c r="M88" s="294">
        <v>71</v>
      </c>
      <c r="N88" s="291">
        <f t="shared" si="14"/>
        <v>56.358024691358032</v>
      </c>
      <c r="O88" s="296">
        <f t="shared" si="15"/>
        <v>59.361931030614407</v>
      </c>
    </row>
    <row r="89" spans="1:15">
      <c r="A89" s="220">
        <v>83</v>
      </c>
      <c r="B89" s="220">
        <v>74</v>
      </c>
      <c r="C89" s="221">
        <f t="shared" si="16"/>
        <v>0.28135593220338984</v>
      </c>
      <c r="D89" s="280" t="s">
        <v>637</v>
      </c>
      <c r="E89" s="281" t="s">
        <v>635</v>
      </c>
      <c r="F89" s="271">
        <v>6</v>
      </c>
      <c r="G89" s="271">
        <v>8</v>
      </c>
      <c r="H89" s="291">
        <f t="shared" si="10"/>
        <v>35.246339079654163</v>
      </c>
      <c r="I89" s="291">
        <f t="shared" si="11"/>
        <v>70.458111111111094</v>
      </c>
      <c r="J89" s="291">
        <f t="shared" si="12"/>
        <v>54.087499999999999</v>
      </c>
      <c r="K89" s="291">
        <f t="shared" si="13"/>
        <v>68.27432266009852</v>
      </c>
      <c r="L89" s="291">
        <f>VLOOKUP(D89,ВПРдек, 25,FALSE)</f>
        <v>60.5</v>
      </c>
      <c r="M89" s="294">
        <v>60</v>
      </c>
      <c r="N89" s="291">
        <f t="shared" si="14"/>
        <v>64.87654320987653</v>
      </c>
      <c r="O89" s="296">
        <f t="shared" si="15"/>
        <v>58.991202470883117</v>
      </c>
    </row>
    <row r="90" spans="1:15">
      <c r="A90" s="220">
        <v>84</v>
      </c>
      <c r="B90" s="220">
        <v>75</v>
      </c>
      <c r="C90" s="221">
        <f t="shared" si="16"/>
        <v>0.28474576271186441</v>
      </c>
      <c r="D90" s="280" t="s">
        <v>841</v>
      </c>
      <c r="E90" s="281" t="s">
        <v>839</v>
      </c>
      <c r="F90" s="271">
        <v>1</v>
      </c>
      <c r="G90" s="271">
        <v>3</v>
      </c>
      <c r="H90" s="291">
        <f t="shared" si="10"/>
        <v>64.33677832691049</v>
      </c>
      <c r="I90" s="291">
        <f t="shared" si="11"/>
        <v>84.45150000000001</v>
      </c>
      <c r="J90" s="291">
        <f t="shared" si="12"/>
        <v>58.643012820512823</v>
      </c>
      <c r="K90" s="291">
        <f t="shared" si="13"/>
        <v>31.188423645320199</v>
      </c>
      <c r="L90" s="291">
        <f>VLOOKUP(D90,ВПРдек, 25,FALSE)</f>
        <v>42</v>
      </c>
      <c r="M90" s="294">
        <v>67.900000000000006</v>
      </c>
      <c r="N90" s="291">
        <f t="shared" si="14"/>
        <v>68.127572016460903</v>
      </c>
      <c r="O90" s="296">
        <f t="shared" si="15"/>
        <v>58.876505662954528</v>
      </c>
    </row>
    <row r="91" spans="1:15">
      <c r="A91" s="220">
        <v>85</v>
      </c>
      <c r="B91" s="220">
        <v>76</v>
      </c>
      <c r="C91" s="221">
        <f t="shared" si="16"/>
        <v>0.28813559322033899</v>
      </c>
      <c r="D91" s="280" t="s">
        <v>265</v>
      </c>
      <c r="E91" s="281" t="s">
        <v>263</v>
      </c>
      <c r="F91" s="271" t="s">
        <v>1002</v>
      </c>
      <c r="G91" s="271" t="s">
        <v>2059</v>
      </c>
      <c r="H91" s="291">
        <f t="shared" si="10"/>
        <v>54.801847528719783</v>
      </c>
      <c r="I91" s="291">
        <f t="shared" si="11"/>
        <v>73.143722222222237</v>
      </c>
      <c r="J91" s="291">
        <f t="shared" si="12"/>
        <v>49.34955128205128</v>
      </c>
      <c r="K91" s="291">
        <f t="shared" si="13"/>
        <v>18.368226600985224</v>
      </c>
      <c r="L91" s="291">
        <f>VLOOKUP(D91,ВПРдек, 24,FALSE)</f>
        <v>74.333333333333329</v>
      </c>
      <c r="M91" s="294">
        <v>75</v>
      </c>
      <c r="N91" s="291">
        <f t="shared" si="14"/>
        <v>73.086419753086417</v>
      </c>
      <c r="O91" s="296">
        <f t="shared" si="15"/>
        <v>58.551246264676656</v>
      </c>
    </row>
    <row r="92" spans="1:15">
      <c r="A92" s="220">
        <v>86</v>
      </c>
      <c r="B92" s="220">
        <v>77</v>
      </c>
      <c r="C92" s="221">
        <f t="shared" si="16"/>
        <v>0.29152542372881357</v>
      </c>
      <c r="D92" s="280" t="s">
        <v>352</v>
      </c>
      <c r="E92" s="281" t="s">
        <v>350</v>
      </c>
      <c r="F92" s="271">
        <v>7</v>
      </c>
      <c r="G92" s="271">
        <v>12</v>
      </c>
      <c r="H92" s="291">
        <f t="shared" si="10"/>
        <v>44.141192033614942</v>
      </c>
      <c r="I92" s="291">
        <f t="shared" si="11"/>
        <v>65.255555555555574</v>
      </c>
      <c r="J92" s="291">
        <f t="shared" si="12"/>
        <v>61.464423076923083</v>
      </c>
      <c r="K92" s="291">
        <f t="shared" si="13"/>
        <v>45.289408866995075</v>
      </c>
      <c r="L92" s="291">
        <f>VLOOKUP(D92,ВПРдек, 25,FALSE)</f>
        <v>71</v>
      </c>
      <c r="M92" s="294">
        <v>77</v>
      </c>
      <c r="N92" s="291">
        <f t="shared" si="14"/>
        <v>52.469135802469147</v>
      </c>
      <c r="O92" s="296">
        <f t="shared" si="15"/>
        <v>58.17226389777813</v>
      </c>
    </row>
    <row r="93" spans="1:15">
      <c r="A93" s="220">
        <v>87</v>
      </c>
      <c r="B93" s="220" t="s">
        <v>1993</v>
      </c>
      <c r="C93" s="221">
        <f t="shared" si="16"/>
        <v>0.29491525423728815</v>
      </c>
      <c r="D93" s="286" t="s">
        <v>601</v>
      </c>
      <c r="E93" s="285" t="s">
        <v>599</v>
      </c>
      <c r="F93" s="287">
        <v>1</v>
      </c>
      <c r="G93" s="287">
        <v>3</v>
      </c>
      <c r="H93" s="291">
        <f t="shared" si="10"/>
        <v>44.424267533738906</v>
      </c>
      <c r="I93" s="291">
        <f t="shared" si="11"/>
        <v>72.764333333333326</v>
      </c>
      <c r="J93" s="291">
        <f t="shared" si="12"/>
        <v>70.337371794871785</v>
      </c>
      <c r="K93" s="291">
        <f t="shared" si="13"/>
        <v>55.703509852216754</v>
      </c>
      <c r="L93" s="291">
        <f>VLOOKUP(D93,ВПРдек, 25,FALSE)</f>
        <v>58</v>
      </c>
      <c r="M93" s="294">
        <v>62</v>
      </c>
      <c r="N93" s="291">
        <f t="shared" si="14"/>
        <v>45.5761316872428</v>
      </c>
      <c r="O93" s="296">
        <f t="shared" si="15"/>
        <v>58.123940646369789</v>
      </c>
    </row>
    <row r="94" spans="1:15">
      <c r="A94" s="220">
        <v>88</v>
      </c>
      <c r="B94" s="220">
        <v>78</v>
      </c>
      <c r="C94" s="221">
        <f t="shared" si="16"/>
        <v>0.29830508474576273</v>
      </c>
      <c r="D94" s="280" t="s">
        <v>57</v>
      </c>
      <c r="E94" s="281" t="s">
        <v>55</v>
      </c>
      <c r="F94" s="271">
        <v>11</v>
      </c>
      <c r="G94" s="271">
        <v>13</v>
      </c>
      <c r="H94" s="291">
        <f t="shared" si="10"/>
        <v>38.32450392995883</v>
      </c>
      <c r="I94" s="291">
        <f t="shared" si="11"/>
        <v>68.073611111111134</v>
      </c>
      <c r="J94" s="291">
        <f t="shared" si="12"/>
        <v>50.046025641025636</v>
      </c>
      <c r="K94" s="291">
        <f t="shared" si="13"/>
        <v>51.662561576354683</v>
      </c>
      <c r="L94" s="291">
        <f>VLOOKUP(D94,ВПРдек, 25,FALSE)</f>
        <v>66.8</v>
      </c>
      <c r="M94" s="294">
        <v>63</v>
      </c>
      <c r="N94" s="291">
        <f t="shared" si="14"/>
        <v>70.576131687242793</v>
      </c>
      <c r="O94" s="296">
        <f t="shared" si="15"/>
        <v>57.997359068568166</v>
      </c>
    </row>
    <row r="95" spans="1:15">
      <c r="A95" s="220">
        <v>89</v>
      </c>
      <c r="B95" s="220">
        <v>79</v>
      </c>
      <c r="C95" s="221">
        <f t="shared" si="16"/>
        <v>0.30169491525423731</v>
      </c>
      <c r="D95" s="280" t="s">
        <v>154</v>
      </c>
      <c r="E95" s="281" t="s">
        <v>152</v>
      </c>
      <c r="F95" s="271">
        <v>6</v>
      </c>
      <c r="G95" s="271">
        <v>9</v>
      </c>
      <c r="H95" s="291">
        <f t="shared" si="10"/>
        <v>35.172231180006307</v>
      </c>
      <c r="I95" s="291">
        <f t="shared" si="11"/>
        <v>60.399861111111122</v>
      </c>
      <c r="J95" s="291">
        <f t="shared" si="12"/>
        <v>54.542820512820512</v>
      </c>
      <c r="K95" s="291">
        <f t="shared" si="13"/>
        <v>57.358374384236456</v>
      </c>
      <c r="L95" s="291">
        <f>VLOOKUP(D95,ВПРдек, 25,FALSE)</f>
        <v>72</v>
      </c>
      <c r="M95" s="294">
        <v>63</v>
      </c>
      <c r="N95" s="291">
        <f t="shared" si="14"/>
        <v>66.008230452674894</v>
      </c>
      <c r="O95" s="296">
        <f t="shared" si="15"/>
        <v>57.997156560130669</v>
      </c>
    </row>
    <row r="96" spans="1:15">
      <c r="A96" s="220">
        <v>90</v>
      </c>
      <c r="B96" s="220">
        <v>80</v>
      </c>
      <c r="C96" s="221">
        <f t="shared" si="16"/>
        <v>0.30508474576271188</v>
      </c>
      <c r="D96" s="280" t="s">
        <v>682</v>
      </c>
      <c r="E96" s="281" t="s">
        <v>680</v>
      </c>
      <c r="F96" s="271">
        <v>4</v>
      </c>
      <c r="G96" s="271">
        <v>4</v>
      </c>
      <c r="H96" s="291">
        <f t="shared" si="10"/>
        <v>32.596763577864898</v>
      </c>
      <c r="I96" s="291">
        <f t="shared" si="11"/>
        <v>59.137277777777797</v>
      </c>
      <c r="J96" s="291">
        <f t="shared" si="12"/>
        <v>57.491538461538461</v>
      </c>
      <c r="K96" s="291">
        <f t="shared" si="13"/>
        <v>46.490147783251231</v>
      </c>
      <c r="L96" s="291">
        <f>VLOOKUP(D96,ВПРдек, 24,FALSE)</f>
        <v>62.666666666666671</v>
      </c>
      <c r="M96" s="294">
        <v>74</v>
      </c>
      <c r="N96" s="291">
        <f t="shared" si="14"/>
        <v>78.086419753086417</v>
      </c>
      <c r="O96" s="296">
        <f t="shared" si="15"/>
        <v>57.45674061849008</v>
      </c>
    </row>
    <row r="97" spans="1:15">
      <c r="A97" s="220">
        <v>91</v>
      </c>
      <c r="B97" s="220">
        <v>81</v>
      </c>
      <c r="C97" s="221">
        <f t="shared" si="16"/>
        <v>0.30847457627118646</v>
      </c>
      <c r="D97" s="280" t="s">
        <v>100</v>
      </c>
      <c r="E97" s="281" t="s">
        <v>98</v>
      </c>
      <c r="F97" s="271">
        <v>7</v>
      </c>
      <c r="G97" s="271">
        <v>11</v>
      </c>
      <c r="H97" s="291">
        <f t="shared" si="10"/>
        <v>35.139489218564108</v>
      </c>
      <c r="I97" s="291">
        <f t="shared" si="11"/>
        <v>74.924999999999997</v>
      </c>
      <c r="J97" s="291">
        <f t="shared" si="12"/>
        <v>52.0647435897436</v>
      </c>
      <c r="K97" s="291">
        <f t="shared" si="13"/>
        <v>49.781403940886698</v>
      </c>
      <c r="L97" s="291">
        <f>VLOOKUP(D97,ВПРдек, 25,FALSE)</f>
        <v>61</v>
      </c>
      <c r="M97" s="294">
        <v>61</v>
      </c>
      <c r="N97" s="291">
        <f t="shared" si="14"/>
        <v>70</v>
      </c>
      <c r="O97" s="296">
        <f t="shared" si="15"/>
        <v>57.447790269106832</v>
      </c>
    </row>
    <row r="98" spans="1:15">
      <c r="A98" s="220">
        <v>92</v>
      </c>
      <c r="B98" s="220">
        <v>82</v>
      </c>
      <c r="C98" s="221">
        <f t="shared" si="16"/>
        <v>0.31186440677966104</v>
      </c>
      <c r="D98" s="280" t="s">
        <v>343</v>
      </c>
      <c r="E98" s="281" t="s">
        <v>341</v>
      </c>
      <c r="F98" s="271" t="s">
        <v>1002</v>
      </c>
      <c r="G98" s="271" t="s">
        <v>2059</v>
      </c>
      <c r="H98" s="291">
        <f t="shared" si="10"/>
        <v>75.366222461905295</v>
      </c>
      <c r="I98" s="291">
        <f t="shared" si="11"/>
        <v>46.757888888888878</v>
      </c>
      <c r="J98" s="291">
        <f t="shared" si="12"/>
        <v>30.73</v>
      </c>
      <c r="K98" s="291">
        <f t="shared" si="13"/>
        <v>47.010467980295566</v>
      </c>
      <c r="L98" s="291">
        <f>VLOOKUP(D98,ВПРдек, 24,FALSE)</f>
        <v>72.666666666666671</v>
      </c>
      <c r="M98" s="294">
        <v>47</v>
      </c>
      <c r="N98" s="291">
        <f t="shared" si="14"/>
        <v>76.069958847736629</v>
      </c>
      <c r="O98" s="296">
        <f t="shared" si="15"/>
        <v>57.246339206998933</v>
      </c>
    </row>
    <row r="99" spans="1:15">
      <c r="A99" s="220">
        <v>93</v>
      </c>
      <c r="B99" s="220">
        <v>83</v>
      </c>
      <c r="C99" s="221">
        <f t="shared" si="16"/>
        <v>0.31525423728813562</v>
      </c>
      <c r="D99" s="280" t="s">
        <v>536</v>
      </c>
      <c r="E99" s="281" t="s">
        <v>534</v>
      </c>
      <c r="F99" s="271">
        <v>7</v>
      </c>
      <c r="G99" s="271">
        <v>12</v>
      </c>
      <c r="H99" s="291">
        <f t="shared" si="10"/>
        <v>39.819876095514864</v>
      </c>
      <c r="I99" s="291">
        <f t="shared" si="11"/>
        <v>66.35555555555554</v>
      </c>
      <c r="J99" s="291">
        <f t="shared" si="12"/>
        <v>48.48346153846154</v>
      </c>
      <c r="K99" s="291">
        <f t="shared" si="13"/>
        <v>64.439655172413794</v>
      </c>
      <c r="L99" s="291">
        <f>VLOOKUP(D99,ВПРдек, 25,FALSE)</f>
        <v>73</v>
      </c>
      <c r="M99" s="294">
        <v>53</v>
      </c>
      <c r="N99" s="291">
        <f t="shared" si="14"/>
        <v>53.148148148148145</v>
      </c>
      <c r="O99" s="296">
        <f t="shared" si="15"/>
        <v>57.191799463091371</v>
      </c>
    </row>
    <row r="100" spans="1:15">
      <c r="A100" s="220">
        <v>94</v>
      </c>
      <c r="B100" s="220">
        <v>84</v>
      </c>
      <c r="C100" s="221">
        <f t="shared" si="16"/>
        <v>0.31864406779661014</v>
      </c>
      <c r="D100" s="280" t="s">
        <v>455</v>
      </c>
      <c r="E100" s="281" t="s">
        <v>453</v>
      </c>
      <c r="F100" s="271">
        <v>4</v>
      </c>
      <c r="G100" s="271">
        <v>4</v>
      </c>
      <c r="H100" s="291">
        <f t="shared" si="10"/>
        <v>41.105673199549848</v>
      </c>
      <c r="I100" s="291">
        <f t="shared" si="11"/>
        <v>62.854611111111112</v>
      </c>
      <c r="J100" s="291">
        <f t="shared" si="12"/>
        <v>44.843205128205128</v>
      </c>
      <c r="K100" s="291">
        <f t="shared" si="13"/>
        <v>49.415024630541872</v>
      </c>
      <c r="L100" s="291">
        <f>VLOOKUP(D100,ВПРдек, 24,FALSE)</f>
        <v>70.666666666666671</v>
      </c>
      <c r="M100" s="294">
        <v>55</v>
      </c>
      <c r="N100" s="291">
        <f t="shared" si="14"/>
        <v>72.613168724279831</v>
      </c>
      <c r="O100" s="296">
        <f t="shared" si="15"/>
        <v>56.768976840054535</v>
      </c>
    </row>
    <row r="101" spans="1:15">
      <c r="A101" s="220">
        <v>95</v>
      </c>
      <c r="B101" s="220">
        <v>85</v>
      </c>
      <c r="C101" s="221">
        <f t="shared" si="16"/>
        <v>0.32203389830508472</v>
      </c>
      <c r="D101" s="222" t="s">
        <v>268</v>
      </c>
      <c r="E101" s="223" t="s">
        <v>266</v>
      </c>
      <c r="F101" s="220">
        <v>11</v>
      </c>
      <c r="G101" s="220">
        <v>13</v>
      </c>
      <c r="H101" s="291">
        <f t="shared" si="10"/>
        <v>29.099474891874817</v>
      </c>
      <c r="I101" s="291">
        <f t="shared" si="11"/>
        <v>62.51733333333334</v>
      </c>
      <c r="J101" s="291">
        <f t="shared" si="12"/>
        <v>59.527307692307694</v>
      </c>
      <c r="K101" s="291">
        <f t="shared" si="13"/>
        <v>56.502463054187189</v>
      </c>
      <c r="L101" s="291">
        <f>VLOOKUP(D101,ВПРдек, 25,FALSE)</f>
        <v>63</v>
      </c>
      <c r="M101" s="294">
        <v>63</v>
      </c>
      <c r="N101" s="291">
        <f t="shared" si="14"/>
        <v>65.493827160493822</v>
      </c>
      <c r="O101" s="296">
        <f t="shared" si="15"/>
        <v>56.560062481876443</v>
      </c>
    </row>
    <row r="102" spans="1:15">
      <c r="A102" s="220">
        <v>96</v>
      </c>
      <c r="B102" s="220">
        <v>86</v>
      </c>
      <c r="C102" s="221">
        <f t="shared" si="16"/>
        <v>0.3254237288135593</v>
      </c>
      <c r="D102" s="280" t="s">
        <v>394</v>
      </c>
      <c r="E102" s="281" t="s">
        <v>392</v>
      </c>
      <c r="F102" s="271">
        <v>9</v>
      </c>
      <c r="G102" s="271">
        <v>14</v>
      </c>
      <c r="H102" s="291">
        <f t="shared" si="10"/>
        <v>40.502331241934762</v>
      </c>
      <c r="I102" s="291">
        <f t="shared" si="11"/>
        <v>66.770166666666682</v>
      </c>
      <c r="J102" s="291">
        <f t="shared" si="12"/>
        <v>51.110512820512824</v>
      </c>
      <c r="K102" s="291">
        <f t="shared" si="13"/>
        <v>56.52709359605911</v>
      </c>
      <c r="L102" s="291">
        <f>VLOOKUP(D102,ВПРдек, 25,FALSE)</f>
        <v>67</v>
      </c>
      <c r="M102" s="294">
        <v>52</v>
      </c>
      <c r="N102" s="291">
        <f t="shared" si="14"/>
        <v>59.341563786008244</v>
      </c>
      <c r="O102" s="296">
        <f t="shared" si="15"/>
        <v>56.500256632489481</v>
      </c>
    </row>
    <row r="103" spans="1:15">
      <c r="A103" s="220">
        <v>97</v>
      </c>
      <c r="B103" s="220">
        <v>87</v>
      </c>
      <c r="C103" s="221">
        <f t="shared" si="16"/>
        <v>0.32881355932203388</v>
      </c>
      <c r="D103" s="280" t="s">
        <v>944</v>
      </c>
      <c r="E103" s="281" t="s">
        <v>942</v>
      </c>
      <c r="F103" s="271">
        <v>6</v>
      </c>
      <c r="G103" s="271">
        <v>8</v>
      </c>
      <c r="H103" s="291">
        <f t="shared" si="10"/>
        <v>46.620181354905711</v>
      </c>
      <c r="I103" s="291">
        <f t="shared" si="11"/>
        <v>70.87222222222222</v>
      </c>
      <c r="J103" s="291">
        <f t="shared" si="12"/>
        <v>52.233846153846152</v>
      </c>
      <c r="K103" s="291">
        <f t="shared" si="13"/>
        <v>35.698891625615758</v>
      </c>
      <c r="L103" s="291">
        <f>VLOOKUP(D103,ВПРдек, 25,FALSE)</f>
        <v>54.5</v>
      </c>
      <c r="M103" s="294">
        <v>74</v>
      </c>
      <c r="N103" s="291">
        <f t="shared" si="14"/>
        <v>69.835390946502059</v>
      </c>
      <c r="O103" s="296">
        <f t="shared" si="15"/>
        <v>56.424697277398757</v>
      </c>
    </row>
    <row r="104" spans="1:15">
      <c r="A104" s="220">
        <v>98</v>
      </c>
      <c r="B104" s="220">
        <v>88</v>
      </c>
      <c r="C104" s="221">
        <f t="shared" si="16"/>
        <v>0.33220338983050846</v>
      </c>
      <c r="D104" s="280" t="s">
        <v>670</v>
      </c>
      <c r="E104" s="281" t="s">
        <v>668</v>
      </c>
      <c r="F104" s="271">
        <v>10</v>
      </c>
      <c r="G104" s="271">
        <v>13</v>
      </c>
      <c r="H104" s="291">
        <f t="shared" si="10"/>
        <v>50.715411050036607</v>
      </c>
      <c r="I104" s="291">
        <f t="shared" si="11"/>
        <v>55.608583333333321</v>
      </c>
      <c r="J104" s="291">
        <f t="shared" si="12"/>
        <v>56.036217948717947</v>
      </c>
      <c r="K104" s="291">
        <f t="shared" si="13"/>
        <v>23.799261083743843</v>
      </c>
      <c r="L104" s="291">
        <f>VLOOKUP(D104,ВПРдек, 24,FALSE)</f>
        <v>68.666666666666657</v>
      </c>
      <c r="M104" s="294">
        <v>76</v>
      </c>
      <c r="N104" s="291">
        <f t="shared" si="14"/>
        <v>72.839506172839506</v>
      </c>
      <c r="O104" s="296">
        <f t="shared" si="15"/>
        <v>56.256253270051971</v>
      </c>
    </row>
    <row r="105" spans="1:15">
      <c r="A105" s="220">
        <v>99</v>
      </c>
      <c r="B105" s="220">
        <v>89</v>
      </c>
      <c r="C105" s="221">
        <f t="shared" si="16"/>
        <v>0.33559322033898303</v>
      </c>
      <c r="D105" s="280" t="s">
        <v>926</v>
      </c>
      <c r="E105" s="281" t="s">
        <v>924</v>
      </c>
      <c r="F105" s="271">
        <v>1</v>
      </c>
      <c r="G105" s="271">
        <v>3</v>
      </c>
      <c r="H105" s="291">
        <f t="shared" si="10"/>
        <v>54.198744388259811</v>
      </c>
      <c r="I105" s="291">
        <f t="shared" si="11"/>
        <v>65.072694444444465</v>
      </c>
      <c r="J105" s="291">
        <f t="shared" si="12"/>
        <v>48.837499999999999</v>
      </c>
      <c r="K105" s="291">
        <f t="shared" si="13"/>
        <v>26.847290640394093</v>
      </c>
      <c r="L105" s="291">
        <f t="shared" ref="L105:L111" si="17">VLOOKUP(D105,ВПРдек, 25,FALSE)</f>
        <v>72</v>
      </c>
      <c r="M105" s="294">
        <v>76</v>
      </c>
      <c r="N105" s="291">
        <f t="shared" si="14"/>
        <v>60.65843621399177</v>
      </c>
      <c r="O105" s="296">
        <f t="shared" si="15"/>
        <v>56.248410105706171</v>
      </c>
    </row>
    <row r="106" spans="1:15">
      <c r="A106" s="220">
        <v>100</v>
      </c>
      <c r="B106" s="220">
        <v>90</v>
      </c>
      <c r="C106" s="221">
        <f t="shared" si="16"/>
        <v>0.33898305084745761</v>
      </c>
      <c r="D106" s="280" t="s">
        <v>205</v>
      </c>
      <c r="E106" s="281" t="s">
        <v>203</v>
      </c>
      <c r="F106" s="271">
        <v>11</v>
      </c>
      <c r="G106" s="271">
        <v>16</v>
      </c>
      <c r="H106" s="291">
        <f t="shared" si="10"/>
        <v>40.427826310026298</v>
      </c>
      <c r="I106" s="291">
        <f t="shared" si="11"/>
        <v>63.444583333333355</v>
      </c>
      <c r="J106" s="291">
        <f t="shared" si="12"/>
        <v>60.526987179487179</v>
      </c>
      <c r="K106" s="291">
        <f t="shared" si="13"/>
        <v>39.963054187192121</v>
      </c>
      <c r="L106" s="291">
        <f t="shared" si="17"/>
        <v>65.2</v>
      </c>
      <c r="M106" s="294">
        <v>68</v>
      </c>
      <c r="N106" s="291">
        <f t="shared" si="14"/>
        <v>61.954732510288061</v>
      </c>
      <c r="O106" s="296">
        <f t="shared" si="15"/>
        <v>56.233412849281081</v>
      </c>
    </row>
    <row r="107" spans="1:15">
      <c r="A107" s="220">
        <v>101</v>
      </c>
      <c r="B107" s="220">
        <v>91</v>
      </c>
      <c r="C107" s="221">
        <f t="shared" si="16"/>
        <v>0.34237288135593219</v>
      </c>
      <c r="D107" s="280" t="s">
        <v>566</v>
      </c>
      <c r="E107" s="281" t="s">
        <v>564</v>
      </c>
      <c r="F107" s="271">
        <v>9</v>
      </c>
      <c r="G107" s="271">
        <v>13</v>
      </c>
      <c r="H107" s="291">
        <f t="shared" si="10"/>
        <v>40.994475191964177</v>
      </c>
      <c r="I107" s="291">
        <f t="shared" si="11"/>
        <v>66.895472222222224</v>
      </c>
      <c r="J107" s="291">
        <f t="shared" si="12"/>
        <v>52.481346153846154</v>
      </c>
      <c r="K107" s="291">
        <f t="shared" si="13"/>
        <v>34.813731527093594</v>
      </c>
      <c r="L107" s="291">
        <f t="shared" si="17"/>
        <v>59.5</v>
      </c>
      <c r="M107" s="294">
        <v>55</v>
      </c>
      <c r="N107" s="291">
        <f t="shared" si="14"/>
        <v>82.263374485596714</v>
      </c>
      <c r="O107" s="296">
        <f t="shared" si="15"/>
        <v>56.068984550880444</v>
      </c>
    </row>
    <row r="108" spans="1:15">
      <c r="A108" s="220">
        <v>102</v>
      </c>
      <c r="B108" s="220">
        <v>92</v>
      </c>
      <c r="C108" s="221">
        <f t="shared" si="16"/>
        <v>0.34576271186440677</v>
      </c>
      <c r="D108" s="280" t="s">
        <v>557</v>
      </c>
      <c r="E108" s="281" t="s">
        <v>555</v>
      </c>
      <c r="F108" s="271">
        <v>4</v>
      </c>
      <c r="G108" s="271">
        <v>6</v>
      </c>
      <c r="H108" s="291">
        <f t="shared" si="10"/>
        <v>48.792725745897556</v>
      </c>
      <c r="I108" s="291">
        <f t="shared" si="11"/>
        <v>56.59152777777777</v>
      </c>
      <c r="J108" s="291">
        <f t="shared" si="12"/>
        <v>50.976089743589739</v>
      </c>
      <c r="K108" s="291">
        <f t="shared" si="13"/>
        <v>46.443965517241381</v>
      </c>
      <c r="L108" s="291">
        <f t="shared" si="17"/>
        <v>57</v>
      </c>
      <c r="M108" s="294">
        <v>76</v>
      </c>
      <c r="N108" s="291">
        <f t="shared" si="14"/>
        <v>65.905349794238688</v>
      </c>
      <c r="O108" s="296">
        <f t="shared" si="15"/>
        <v>55.955332089037718</v>
      </c>
    </row>
    <row r="109" spans="1:15">
      <c r="A109" s="220">
        <v>103</v>
      </c>
      <c r="B109" s="220">
        <v>93</v>
      </c>
      <c r="C109" s="221">
        <f t="shared" si="16"/>
        <v>0.34915254237288135</v>
      </c>
      <c r="D109" s="280" t="s">
        <v>763</v>
      </c>
      <c r="E109" s="281" t="s">
        <v>761</v>
      </c>
      <c r="F109" s="271">
        <v>11</v>
      </c>
      <c r="G109" s="271">
        <v>14</v>
      </c>
      <c r="H109" s="291">
        <f t="shared" si="10"/>
        <v>29.623204275560155</v>
      </c>
      <c r="I109" s="291">
        <f t="shared" si="11"/>
        <v>66.143416666666667</v>
      </c>
      <c r="J109" s="291">
        <f t="shared" si="12"/>
        <v>59.245769230769227</v>
      </c>
      <c r="K109" s="291">
        <f t="shared" si="13"/>
        <v>20.44334975369458</v>
      </c>
      <c r="L109" s="291">
        <f t="shared" si="17"/>
        <v>65.7</v>
      </c>
      <c r="M109" s="294">
        <v>81</v>
      </c>
      <c r="N109" s="291">
        <f t="shared" si="14"/>
        <v>82.016460905349788</v>
      </c>
      <c r="O109" s="296">
        <f t="shared" si="15"/>
        <v>55.949569358775449</v>
      </c>
    </row>
    <row r="110" spans="1:15">
      <c r="A110" s="220">
        <v>104</v>
      </c>
      <c r="B110" s="220" t="s">
        <v>1993</v>
      </c>
      <c r="C110" s="221">
        <f t="shared" si="16"/>
        <v>0.35254237288135593</v>
      </c>
      <c r="D110" s="280" t="s">
        <v>36</v>
      </c>
      <c r="E110" s="281" t="s">
        <v>34</v>
      </c>
      <c r="F110" s="271">
        <v>1</v>
      </c>
      <c r="G110" s="271">
        <v>3</v>
      </c>
      <c r="H110" s="291">
        <f t="shared" si="10"/>
        <v>53.800273818203337</v>
      </c>
      <c r="I110" s="291">
        <f t="shared" si="11"/>
        <v>75.0217777777778</v>
      </c>
      <c r="J110" s="291">
        <f t="shared" si="12"/>
        <v>62.069615384615389</v>
      </c>
      <c r="K110" s="291">
        <f t="shared" si="13"/>
        <v>64.039408866995075</v>
      </c>
      <c r="L110" s="291">
        <f t="shared" si="17"/>
        <v>30</v>
      </c>
      <c r="M110" s="294">
        <v>60</v>
      </c>
      <c r="N110" s="291">
        <f t="shared" si="14"/>
        <v>47.880658436213999</v>
      </c>
      <c r="O110" s="296">
        <f t="shared" si="15"/>
        <v>55.817189889816248</v>
      </c>
    </row>
    <row r="111" spans="1:15">
      <c r="A111" s="220">
        <v>105</v>
      </c>
      <c r="B111" s="220">
        <v>94</v>
      </c>
      <c r="C111" s="221">
        <f t="shared" si="16"/>
        <v>0.3559322033898305</v>
      </c>
      <c r="D111" s="222" t="s">
        <v>184</v>
      </c>
      <c r="E111" s="223" t="s">
        <v>182</v>
      </c>
      <c r="F111" s="220">
        <v>10</v>
      </c>
      <c r="G111" s="220">
        <v>13</v>
      </c>
      <c r="H111" s="291">
        <f t="shared" si="10"/>
        <v>40.911350763773676</v>
      </c>
      <c r="I111" s="291">
        <f t="shared" si="11"/>
        <v>74.280305555555543</v>
      </c>
      <c r="J111" s="291">
        <f t="shared" si="12"/>
        <v>47.158910256410259</v>
      </c>
      <c r="K111" s="291">
        <f t="shared" si="13"/>
        <v>79.117918719211829</v>
      </c>
      <c r="L111" s="291">
        <f t="shared" si="17"/>
        <v>22</v>
      </c>
      <c r="M111" s="294">
        <v>60</v>
      </c>
      <c r="N111" s="291">
        <f t="shared" si="14"/>
        <v>69.176954732510282</v>
      </c>
      <c r="O111" s="296">
        <f t="shared" si="15"/>
        <v>55.791606158071012</v>
      </c>
    </row>
    <row r="112" spans="1:15">
      <c r="A112" s="220">
        <v>106</v>
      </c>
      <c r="B112" s="220">
        <v>95</v>
      </c>
      <c r="C112" s="221">
        <f t="shared" si="16"/>
        <v>0.35932203389830508</v>
      </c>
      <c r="D112" s="280" t="s">
        <v>148</v>
      </c>
      <c r="E112" s="281" t="s">
        <v>146</v>
      </c>
      <c r="F112" s="271">
        <v>7</v>
      </c>
      <c r="G112" s="271">
        <v>10</v>
      </c>
      <c r="H112" s="291">
        <f t="shared" si="10"/>
        <v>32.441188776959713</v>
      </c>
      <c r="I112" s="291">
        <f t="shared" si="11"/>
        <v>56.51111111111112</v>
      </c>
      <c r="J112" s="291">
        <f t="shared" si="12"/>
        <v>50.841538461538462</v>
      </c>
      <c r="K112" s="291">
        <f t="shared" si="13"/>
        <v>49.12869458128079</v>
      </c>
      <c r="L112" s="291">
        <f>VLOOKUP(D112,ВПРдек, 24,FALSE)</f>
        <v>74</v>
      </c>
      <c r="M112" s="294">
        <v>53</v>
      </c>
      <c r="N112" s="291">
        <f t="shared" si="14"/>
        <v>72.448559670781904</v>
      </c>
      <c r="O112" s="296">
        <f t="shared" si="15"/>
        <v>55.672475784872617</v>
      </c>
    </row>
    <row r="113" spans="1:15">
      <c r="A113" s="220">
        <v>107</v>
      </c>
      <c r="B113" s="220">
        <v>96</v>
      </c>
      <c r="C113" s="221">
        <f t="shared" si="16"/>
        <v>0.36271186440677966</v>
      </c>
      <c r="D113" s="280" t="s">
        <v>479</v>
      </c>
      <c r="E113" s="281" t="s">
        <v>477</v>
      </c>
      <c r="F113" s="271">
        <v>11</v>
      </c>
      <c r="G113" s="271">
        <v>14</v>
      </c>
      <c r="H113" s="291">
        <f t="shared" si="10"/>
        <v>39.401567835134799</v>
      </c>
      <c r="I113" s="291">
        <f t="shared" si="11"/>
        <v>54.561777777777785</v>
      </c>
      <c r="J113" s="291">
        <f t="shared" si="12"/>
        <v>47.076410256410256</v>
      </c>
      <c r="K113" s="291">
        <f t="shared" si="13"/>
        <v>36.228448275862064</v>
      </c>
      <c r="L113" s="291">
        <f>VLOOKUP(D113,ВПРдек, 25,FALSE)</f>
        <v>68</v>
      </c>
      <c r="M113" s="294">
        <v>82</v>
      </c>
      <c r="N113" s="291">
        <f t="shared" si="14"/>
        <v>75.370370370370381</v>
      </c>
      <c r="O113" s="296">
        <f t="shared" si="15"/>
        <v>55.636703771623885</v>
      </c>
    </row>
    <row r="114" spans="1:15">
      <c r="A114" s="220">
        <v>108</v>
      </c>
      <c r="B114" s="220">
        <v>97</v>
      </c>
      <c r="C114" s="221">
        <f t="shared" si="16"/>
        <v>0.36610169491525424</v>
      </c>
      <c r="D114" s="280" t="s">
        <v>767</v>
      </c>
      <c r="E114" s="281" t="s">
        <v>764</v>
      </c>
      <c r="F114" s="271">
        <v>5</v>
      </c>
      <c r="G114" s="271">
        <v>8</v>
      </c>
      <c r="H114" s="291">
        <f t="shared" si="10"/>
        <v>41.875456667659314</v>
      </c>
      <c r="I114" s="291">
        <f t="shared" si="11"/>
        <v>69.863305555555556</v>
      </c>
      <c r="J114" s="291">
        <f t="shared" si="12"/>
        <v>51.947051282051284</v>
      </c>
      <c r="K114" s="291">
        <f t="shared" si="13"/>
        <v>40.932881773399018</v>
      </c>
      <c r="L114" s="291">
        <f>VLOOKUP(D114,ВПРдек, 25,FALSE)</f>
        <v>67.2</v>
      </c>
      <c r="M114" s="294">
        <v>50</v>
      </c>
      <c r="N114" s="291">
        <f t="shared" si="14"/>
        <v>64.691358024691368</v>
      </c>
      <c r="O114" s="296">
        <f t="shared" si="15"/>
        <v>55.616931277439477</v>
      </c>
    </row>
    <row r="115" spans="1:15">
      <c r="A115" s="220">
        <v>109</v>
      </c>
      <c r="B115" s="220">
        <v>98</v>
      </c>
      <c r="C115" s="221">
        <f t="shared" si="16"/>
        <v>0.36949152542372882</v>
      </c>
      <c r="D115" s="280" t="s">
        <v>247</v>
      </c>
      <c r="E115" s="281" t="s">
        <v>245</v>
      </c>
      <c r="F115" s="271">
        <v>2</v>
      </c>
      <c r="G115" s="271">
        <v>3</v>
      </c>
      <c r="H115" s="291">
        <f t="shared" si="10"/>
        <v>32.494142015595763</v>
      </c>
      <c r="I115" s="291">
        <f t="shared" si="11"/>
        <v>67.258333333333326</v>
      </c>
      <c r="J115" s="291">
        <f t="shared" si="12"/>
        <v>55.058782051282051</v>
      </c>
      <c r="K115" s="291">
        <f t="shared" si="13"/>
        <v>45.278633004926107</v>
      </c>
      <c r="L115" s="291">
        <f>VLOOKUP(D115,ВПРдек, 25,FALSE)</f>
        <v>60</v>
      </c>
      <c r="M115" s="294">
        <v>71</v>
      </c>
      <c r="N115" s="291">
        <f t="shared" si="14"/>
        <v>65.740740740740733</v>
      </c>
      <c r="O115" s="296">
        <f t="shared" si="15"/>
        <v>55.589327868596612</v>
      </c>
    </row>
    <row r="116" spans="1:15">
      <c r="A116" s="220">
        <v>110</v>
      </c>
      <c r="B116" s="220">
        <v>99</v>
      </c>
      <c r="C116" s="221">
        <f t="shared" si="16"/>
        <v>0.3728813559322034</v>
      </c>
      <c r="D116" s="222" t="s">
        <v>850</v>
      </c>
      <c r="E116" s="223" t="s">
        <v>848</v>
      </c>
      <c r="F116" s="220">
        <v>7</v>
      </c>
      <c r="G116" s="220">
        <v>12</v>
      </c>
      <c r="H116" s="291">
        <f t="shared" si="10"/>
        <v>49.22751913284953</v>
      </c>
      <c r="I116" s="291">
        <f t="shared" si="11"/>
        <v>69.022222222222226</v>
      </c>
      <c r="J116" s="291">
        <f t="shared" si="12"/>
        <v>54.468525641025643</v>
      </c>
      <c r="K116" s="291">
        <f t="shared" si="13"/>
        <v>45.381773399014776</v>
      </c>
      <c r="L116" s="291">
        <f>VLOOKUP(D116,ВПРдек, 25,FALSE)</f>
        <v>57.3</v>
      </c>
      <c r="M116" s="294">
        <v>68</v>
      </c>
      <c r="N116" s="291">
        <f t="shared" si="14"/>
        <v>51.296296296296305</v>
      </c>
      <c r="O116" s="296">
        <f t="shared" si="15"/>
        <v>55.491744106370533</v>
      </c>
    </row>
    <row r="117" spans="1:15">
      <c r="A117" s="220">
        <v>111</v>
      </c>
      <c r="B117" s="220">
        <v>100</v>
      </c>
      <c r="C117" s="221">
        <f t="shared" si="16"/>
        <v>0.37627118644067797</v>
      </c>
      <c r="D117" s="222" t="s">
        <v>94</v>
      </c>
      <c r="E117" s="223" t="s">
        <v>92</v>
      </c>
      <c r="F117" s="220">
        <v>11</v>
      </c>
      <c r="G117" s="220">
        <v>14</v>
      </c>
      <c r="H117" s="291">
        <f t="shared" si="10"/>
        <v>43.257749306387495</v>
      </c>
      <c r="I117" s="291">
        <f t="shared" si="11"/>
        <v>59.206722222222226</v>
      </c>
      <c r="J117" s="291">
        <f t="shared" si="12"/>
        <v>50.957179487179488</v>
      </c>
      <c r="K117" s="291">
        <f t="shared" si="13"/>
        <v>57.450738916256157</v>
      </c>
      <c r="L117" s="291">
        <f>VLOOKUP(D117,ВПРдек, 25,FALSE)</f>
        <v>66.2</v>
      </c>
      <c r="M117" s="294">
        <v>55</v>
      </c>
      <c r="N117" s="291">
        <f t="shared" si="14"/>
        <v>54.938271604938272</v>
      </c>
      <c r="O117" s="296">
        <f t="shared" si="15"/>
        <v>55.309332544151331</v>
      </c>
    </row>
    <row r="118" spans="1:15">
      <c r="A118" s="220">
        <v>112</v>
      </c>
      <c r="B118" s="220">
        <v>101</v>
      </c>
      <c r="C118" s="221">
        <f t="shared" si="16"/>
        <v>0.37966101694915255</v>
      </c>
      <c r="D118" s="280" t="s">
        <v>776</v>
      </c>
      <c r="E118" s="281" t="s">
        <v>774</v>
      </c>
      <c r="F118" s="271">
        <v>7</v>
      </c>
      <c r="G118" s="271">
        <v>10</v>
      </c>
      <c r="H118" s="291">
        <f t="shared" si="10"/>
        <v>41.057637252615223</v>
      </c>
      <c r="I118" s="291">
        <f t="shared" si="11"/>
        <v>61.036111111111126</v>
      </c>
      <c r="J118" s="291">
        <f t="shared" si="12"/>
        <v>53.738461538461536</v>
      </c>
      <c r="K118" s="291">
        <f t="shared" si="13"/>
        <v>36.342364532019708</v>
      </c>
      <c r="L118" s="291">
        <f>VLOOKUP(D118,ВПРдек, 24,FALSE)</f>
        <v>66.333333333333329</v>
      </c>
      <c r="M118" s="294">
        <v>42</v>
      </c>
      <c r="N118" s="291">
        <f t="shared" si="14"/>
        <v>79.423868312757207</v>
      </c>
      <c r="O118" s="296">
        <f t="shared" si="15"/>
        <v>55.220273243122797</v>
      </c>
    </row>
    <row r="119" spans="1:15">
      <c r="A119" s="220">
        <v>113</v>
      </c>
      <c r="B119" s="220">
        <v>102</v>
      </c>
      <c r="C119" s="221">
        <f t="shared" si="16"/>
        <v>0.38305084745762713</v>
      </c>
      <c r="D119" s="222" t="s">
        <v>286</v>
      </c>
      <c r="E119" s="223" t="s">
        <v>284</v>
      </c>
      <c r="F119" s="220">
        <v>8</v>
      </c>
      <c r="G119" s="220">
        <v>11</v>
      </c>
      <c r="H119" s="291">
        <f t="shared" si="10"/>
        <v>40.850385681515881</v>
      </c>
      <c r="I119" s="291">
        <f t="shared" si="11"/>
        <v>60.380555555555553</v>
      </c>
      <c r="J119" s="291">
        <f t="shared" si="12"/>
        <v>46.332051282051282</v>
      </c>
      <c r="K119" s="291">
        <f t="shared" si="13"/>
        <v>50.638854679802954</v>
      </c>
      <c r="L119" s="291">
        <f>VLOOKUP(D119,ВПРдек, 25,FALSE)</f>
        <v>59.7</v>
      </c>
      <c r="M119" s="294">
        <v>61</v>
      </c>
      <c r="N119" s="291">
        <f t="shared" si="14"/>
        <v>68.559670781893004</v>
      </c>
      <c r="O119" s="296">
        <f t="shared" si="15"/>
        <v>54.917156612433651</v>
      </c>
    </row>
    <row r="120" spans="1:15">
      <c r="A120" s="220">
        <v>114</v>
      </c>
      <c r="B120" s="220">
        <v>103</v>
      </c>
      <c r="C120" s="221">
        <f t="shared" si="16"/>
        <v>0.38644067796610171</v>
      </c>
      <c r="D120" s="222" t="s">
        <v>232</v>
      </c>
      <c r="E120" s="223" t="s">
        <v>230</v>
      </c>
      <c r="F120" s="220">
        <v>1</v>
      </c>
      <c r="G120" s="220">
        <v>1</v>
      </c>
      <c r="H120" s="291">
        <f t="shared" si="10"/>
        <v>40.820210685056502</v>
      </c>
      <c r="I120" s="291">
        <f t="shared" si="11"/>
        <v>58.561444444444462</v>
      </c>
      <c r="J120" s="291">
        <f t="shared" si="12"/>
        <v>40.676346153846147</v>
      </c>
      <c r="K120" s="291">
        <f t="shared" si="13"/>
        <v>60.260160098522164</v>
      </c>
      <c r="L120" s="291">
        <f>VLOOKUP(D120,ВПРдек, 24,FALSE)</f>
        <v>63.333333333333329</v>
      </c>
      <c r="M120" s="294">
        <v>57.1</v>
      </c>
      <c r="N120" s="291">
        <f t="shared" si="14"/>
        <v>64.691358024691368</v>
      </c>
      <c r="O120" s="296">
        <f t="shared" si="15"/>
        <v>54.906592729214466</v>
      </c>
    </row>
    <row r="121" spans="1:15">
      <c r="A121" s="220">
        <v>115</v>
      </c>
      <c r="B121" s="220">
        <v>104</v>
      </c>
      <c r="C121" s="221">
        <f t="shared" si="16"/>
        <v>0.38983050847457629</v>
      </c>
      <c r="D121" s="280" t="s">
        <v>965</v>
      </c>
      <c r="E121" s="281" t="s">
        <v>963</v>
      </c>
      <c r="F121" s="271">
        <v>2</v>
      </c>
      <c r="G121" s="271">
        <v>3</v>
      </c>
      <c r="H121" s="291">
        <f t="shared" si="10"/>
        <v>33.856403043847976</v>
      </c>
      <c r="I121" s="291">
        <f t="shared" si="11"/>
        <v>57.763888888888879</v>
      </c>
      <c r="J121" s="291">
        <f t="shared" si="12"/>
        <v>61.935576923076923</v>
      </c>
      <c r="K121" s="291">
        <f t="shared" si="13"/>
        <v>50.27709359605911</v>
      </c>
      <c r="L121" s="291">
        <f>VLOOKUP(D121,ВПРдек, 25,FALSE)</f>
        <v>59</v>
      </c>
      <c r="M121" s="294">
        <v>58</v>
      </c>
      <c r="N121" s="291">
        <f t="shared" si="14"/>
        <v>62.777777777777779</v>
      </c>
      <c r="O121" s="296">
        <f t="shared" si="15"/>
        <v>54.555498496869326</v>
      </c>
    </row>
    <row r="122" spans="1:15">
      <c r="A122" s="220">
        <v>116</v>
      </c>
      <c r="B122" s="220">
        <v>105</v>
      </c>
      <c r="C122" s="221">
        <f t="shared" si="16"/>
        <v>0.39322033898305087</v>
      </c>
      <c r="D122" s="280" t="s">
        <v>911</v>
      </c>
      <c r="E122" s="281" t="s">
        <v>909</v>
      </c>
      <c r="F122" s="271">
        <v>6</v>
      </c>
      <c r="G122" s="271">
        <v>9</v>
      </c>
      <c r="H122" s="291">
        <f t="shared" si="10"/>
        <v>31.236465386007765</v>
      </c>
      <c r="I122" s="291">
        <f t="shared" si="11"/>
        <v>64.905583333333311</v>
      </c>
      <c r="J122" s="291">
        <f t="shared" si="12"/>
        <v>55.481474358974353</v>
      </c>
      <c r="K122" s="291">
        <f t="shared" si="13"/>
        <v>32.281403940886698</v>
      </c>
      <c r="L122" s="291">
        <f>VLOOKUP(D122,ВПРдек, 24,FALSE)</f>
        <v>76.333333333333343</v>
      </c>
      <c r="M122" s="294">
        <v>56</v>
      </c>
      <c r="N122" s="291">
        <f t="shared" si="14"/>
        <v>64.753086419753089</v>
      </c>
      <c r="O122" s="296">
        <f t="shared" si="15"/>
        <v>54.306361041890554</v>
      </c>
    </row>
    <row r="123" spans="1:15">
      <c r="A123" s="220">
        <v>117</v>
      </c>
      <c r="B123" s="220">
        <v>106</v>
      </c>
      <c r="C123" s="221">
        <f t="shared" si="16"/>
        <v>0.39661016949152544</v>
      </c>
      <c r="D123" s="222" t="s">
        <v>494</v>
      </c>
      <c r="E123" s="223" t="s">
        <v>492</v>
      </c>
      <c r="F123" s="220">
        <v>5</v>
      </c>
      <c r="G123" s="220">
        <v>9</v>
      </c>
      <c r="H123" s="291">
        <f t="shared" si="10"/>
        <v>37.471256729423189</v>
      </c>
      <c r="I123" s="291">
        <f t="shared" si="11"/>
        <v>62.813888888888897</v>
      </c>
      <c r="J123" s="291">
        <f t="shared" si="12"/>
        <v>54.344294871794872</v>
      </c>
      <c r="K123" s="291">
        <f t="shared" si="13"/>
        <v>39.716748768472904</v>
      </c>
      <c r="L123" s="291">
        <f>VLOOKUP(D123,ВПРдек, 25,FALSE)</f>
        <v>65.3</v>
      </c>
      <c r="M123" s="294">
        <v>51.1</v>
      </c>
      <c r="N123" s="291">
        <f t="shared" si="14"/>
        <v>67.448559670781876</v>
      </c>
      <c r="O123" s="296">
        <f t="shared" si="15"/>
        <v>54.253038296824883</v>
      </c>
    </row>
    <row r="124" spans="1:15">
      <c r="A124" s="220">
        <v>118</v>
      </c>
      <c r="B124" s="220">
        <v>107</v>
      </c>
      <c r="C124" s="221">
        <f t="shared" si="16"/>
        <v>0.4</v>
      </c>
      <c r="D124" s="222" t="s">
        <v>613</v>
      </c>
      <c r="E124" s="223" t="s">
        <v>611</v>
      </c>
      <c r="F124" s="220">
        <v>11</v>
      </c>
      <c r="G124" s="220">
        <v>14</v>
      </c>
      <c r="H124" s="291">
        <f t="shared" si="10"/>
        <v>37.934776575116032</v>
      </c>
      <c r="I124" s="291">
        <f t="shared" si="11"/>
        <v>65.718194444444435</v>
      </c>
      <c r="J124" s="291">
        <f t="shared" si="12"/>
        <v>40.103461538461538</v>
      </c>
      <c r="K124" s="291">
        <f t="shared" si="13"/>
        <v>68.041871921182263</v>
      </c>
      <c r="L124" s="291">
        <f>VLOOKUP(D124,ВПРдек, 25,FALSE)</f>
        <v>59.4</v>
      </c>
      <c r="M124" s="294">
        <v>61</v>
      </c>
      <c r="N124" s="291">
        <f t="shared" si="14"/>
        <v>50.534979423868307</v>
      </c>
      <c r="O124" s="296">
        <f t="shared" si="15"/>
        <v>54.189735985088085</v>
      </c>
    </row>
    <row r="125" spans="1:15">
      <c r="A125" s="220">
        <v>119</v>
      </c>
      <c r="B125" s="220">
        <v>108</v>
      </c>
      <c r="C125" s="221">
        <f t="shared" si="16"/>
        <v>0.4033898305084746</v>
      </c>
      <c r="D125" s="222" t="s">
        <v>397</v>
      </c>
      <c r="E125" s="241" t="s">
        <v>395</v>
      </c>
      <c r="F125" s="242">
        <v>2</v>
      </c>
      <c r="G125" s="242">
        <v>2</v>
      </c>
      <c r="H125" s="291">
        <f t="shared" si="10"/>
        <v>45.159608580357478</v>
      </c>
      <c r="I125" s="291">
        <f t="shared" si="11"/>
        <v>64.1527777777778</v>
      </c>
      <c r="J125" s="291">
        <f t="shared" si="12"/>
        <v>39.46512820512821</v>
      </c>
      <c r="K125" s="291">
        <f t="shared" si="13"/>
        <v>63.608374384236456</v>
      </c>
      <c r="L125" s="291">
        <f>VLOOKUP(D125,ВПРдек, 25,FALSE)</f>
        <v>54</v>
      </c>
      <c r="M125" s="294">
        <v>62</v>
      </c>
      <c r="N125" s="291">
        <f t="shared" si="14"/>
        <v>54.403292181069965</v>
      </c>
      <c r="O125" s="296">
        <f t="shared" si="15"/>
        <v>54.121412481318444</v>
      </c>
    </row>
    <row r="126" spans="1:15">
      <c r="A126" s="220">
        <v>120</v>
      </c>
      <c r="B126" s="220">
        <v>109</v>
      </c>
      <c r="C126" s="221">
        <f t="shared" si="16"/>
        <v>0.40677966101694918</v>
      </c>
      <c r="D126" s="280" t="s">
        <v>467</v>
      </c>
      <c r="E126" s="281" t="s">
        <v>465</v>
      </c>
      <c r="F126" s="271">
        <v>4</v>
      </c>
      <c r="G126" s="271">
        <v>5</v>
      </c>
      <c r="H126" s="291">
        <f t="shared" si="10"/>
        <v>51.397903578608442</v>
      </c>
      <c r="I126" s="291">
        <f t="shared" si="11"/>
        <v>38.767111111111106</v>
      </c>
      <c r="J126" s="291">
        <f t="shared" si="12"/>
        <v>50.447692307692307</v>
      </c>
      <c r="K126" s="291">
        <f t="shared" si="13"/>
        <v>31.72721674876847</v>
      </c>
      <c r="L126" s="291">
        <f>VLOOKUP(D126,ВПРдек, 24,FALSE)</f>
        <v>78</v>
      </c>
      <c r="M126" s="294">
        <v>57</v>
      </c>
      <c r="N126" s="291">
        <f t="shared" si="14"/>
        <v>72.654320987654316</v>
      </c>
      <c r="O126" s="296">
        <f t="shared" si="15"/>
        <v>54.076037651359179</v>
      </c>
    </row>
    <row r="127" spans="1:15">
      <c r="A127" s="220">
        <v>121</v>
      </c>
      <c r="B127" s="220">
        <v>110</v>
      </c>
      <c r="C127" s="221">
        <f t="shared" si="16"/>
        <v>0.4101694915254237</v>
      </c>
      <c r="D127" s="222" t="s">
        <v>884</v>
      </c>
      <c r="E127" s="223" t="s">
        <v>882</v>
      </c>
      <c r="F127" s="220">
        <v>9</v>
      </c>
      <c r="G127" s="220">
        <v>16</v>
      </c>
      <c r="H127" s="291">
        <f t="shared" si="10"/>
        <v>33.626436026039549</v>
      </c>
      <c r="I127" s="291">
        <f t="shared" si="11"/>
        <v>76.858333333333334</v>
      </c>
      <c r="J127" s="291">
        <f t="shared" si="12"/>
        <v>56.648910256410261</v>
      </c>
      <c r="K127" s="291">
        <f t="shared" si="13"/>
        <v>45.75738916256158</v>
      </c>
      <c r="L127" s="291">
        <f>VLOOKUP(D127,ВПРдек, 25,FALSE)</f>
        <v>59</v>
      </c>
      <c r="M127" s="294">
        <v>50</v>
      </c>
      <c r="N127" s="291">
        <f t="shared" si="14"/>
        <v>52.777777777777779</v>
      </c>
      <c r="O127" s="296">
        <f t="shared" si="15"/>
        <v>53.795207162480388</v>
      </c>
    </row>
    <row r="128" spans="1:15">
      <c r="A128" s="220">
        <v>122</v>
      </c>
      <c r="B128" s="220">
        <v>111</v>
      </c>
      <c r="C128" s="221">
        <f t="shared" si="16"/>
        <v>0.41355932203389828</v>
      </c>
      <c r="D128" s="222" t="s">
        <v>503</v>
      </c>
      <c r="E128" s="223" t="s">
        <v>501</v>
      </c>
      <c r="F128" s="220">
        <v>8</v>
      </c>
      <c r="G128" s="220">
        <v>10</v>
      </c>
      <c r="H128" s="291">
        <f t="shared" si="10"/>
        <v>47.351012114476539</v>
      </c>
      <c r="I128" s="291">
        <f t="shared" si="11"/>
        <v>74.094444444444463</v>
      </c>
      <c r="J128" s="291">
        <f t="shared" si="12"/>
        <v>54.008910256410253</v>
      </c>
      <c r="K128" s="291">
        <f t="shared" si="13"/>
        <v>44.996921182266007</v>
      </c>
      <c r="L128" s="291">
        <f>VLOOKUP(D128,ВПРдек, 24,FALSE)</f>
        <v>39</v>
      </c>
      <c r="M128" s="294">
        <v>42</v>
      </c>
      <c r="N128" s="291">
        <f t="shared" si="14"/>
        <v>68.518518518518505</v>
      </c>
      <c r="O128" s="296">
        <f t="shared" si="15"/>
        <v>53.687662540940892</v>
      </c>
    </row>
    <row r="129" spans="1:15">
      <c r="A129" s="220">
        <v>123</v>
      </c>
      <c r="B129" s="220">
        <v>112</v>
      </c>
      <c r="C129" s="221">
        <f t="shared" si="16"/>
        <v>0.41694915254237286</v>
      </c>
      <c r="D129" s="222" t="s">
        <v>724</v>
      </c>
      <c r="E129" s="223" t="s">
        <v>722</v>
      </c>
      <c r="F129" s="220">
        <v>10</v>
      </c>
      <c r="G129" s="220">
        <v>15</v>
      </c>
      <c r="H129" s="291">
        <f t="shared" si="10"/>
        <v>39.592045174600244</v>
      </c>
      <c r="I129" s="291">
        <f t="shared" si="11"/>
        <v>64.569888888888897</v>
      </c>
      <c r="J129" s="291">
        <f t="shared" si="12"/>
        <v>49.188461538461539</v>
      </c>
      <c r="K129" s="291">
        <f t="shared" si="13"/>
        <v>65.170874384236456</v>
      </c>
      <c r="L129" s="291">
        <f t="shared" ref="L129:L148" si="18">VLOOKUP(D129,ВПРдек, 25,FALSE)</f>
        <v>46.8</v>
      </c>
      <c r="M129" s="294">
        <v>54</v>
      </c>
      <c r="N129" s="291">
        <f t="shared" si="14"/>
        <v>55.102880658436206</v>
      </c>
      <c r="O129" s="296">
        <f t="shared" si="15"/>
        <v>53.449869329942054</v>
      </c>
    </row>
    <row r="130" spans="1:15">
      <c r="A130" s="220">
        <v>124</v>
      </c>
      <c r="B130" s="220">
        <v>113</v>
      </c>
      <c r="C130" s="221">
        <f t="shared" si="16"/>
        <v>0.42033898305084744</v>
      </c>
      <c r="D130" s="222" t="s">
        <v>97</v>
      </c>
      <c r="E130" s="223" t="s">
        <v>95</v>
      </c>
      <c r="F130" s="220">
        <v>7</v>
      </c>
      <c r="G130" s="220">
        <v>10</v>
      </c>
      <c r="H130" s="291">
        <f t="shared" si="10"/>
        <v>29.286262283971539</v>
      </c>
      <c r="I130" s="291">
        <f t="shared" si="11"/>
        <v>70.847222222222229</v>
      </c>
      <c r="J130" s="291">
        <f t="shared" si="12"/>
        <v>44.780833333333334</v>
      </c>
      <c r="K130" s="291">
        <f t="shared" si="13"/>
        <v>40.763546798029552</v>
      </c>
      <c r="L130" s="291">
        <f t="shared" si="18"/>
        <v>73</v>
      </c>
      <c r="M130" s="294">
        <v>65</v>
      </c>
      <c r="N130" s="291">
        <f t="shared" si="14"/>
        <v>55.411522633744845</v>
      </c>
      <c r="O130" s="296">
        <f t="shared" si="15"/>
        <v>53.321444195584839</v>
      </c>
    </row>
    <row r="131" spans="1:15">
      <c r="A131" s="220">
        <v>125</v>
      </c>
      <c r="B131" s="220">
        <v>114</v>
      </c>
      <c r="C131" s="221">
        <f t="shared" si="16"/>
        <v>0.42372881355932202</v>
      </c>
      <c r="D131" s="280" t="s">
        <v>190</v>
      </c>
      <c r="E131" s="281" t="s">
        <v>188</v>
      </c>
      <c r="F131" s="271">
        <v>11</v>
      </c>
      <c r="G131" s="271">
        <v>13</v>
      </c>
      <c r="H131" s="291">
        <f t="shared" si="10"/>
        <v>41.726902335571182</v>
      </c>
      <c r="I131" s="291">
        <f t="shared" si="11"/>
        <v>62.321638888888899</v>
      </c>
      <c r="J131" s="291">
        <f t="shared" si="12"/>
        <v>58.017628205128204</v>
      </c>
      <c r="K131" s="291">
        <f t="shared" si="13"/>
        <v>24.636699507389164</v>
      </c>
      <c r="L131" s="291">
        <f t="shared" si="18"/>
        <v>73</v>
      </c>
      <c r="M131" s="294">
        <v>51</v>
      </c>
      <c r="N131" s="291">
        <f t="shared" si="14"/>
        <v>59.259259259259267</v>
      </c>
      <c r="O131" s="296">
        <f t="shared" si="15"/>
        <v>52.994173568651796</v>
      </c>
    </row>
    <row r="132" spans="1:15">
      <c r="A132" s="220">
        <v>126</v>
      </c>
      <c r="B132" s="220">
        <v>115</v>
      </c>
      <c r="C132" s="221">
        <f t="shared" si="16"/>
        <v>0.42711864406779659</v>
      </c>
      <c r="D132" s="222" t="s">
        <v>301</v>
      </c>
      <c r="E132" s="223" t="s">
        <v>299</v>
      </c>
      <c r="F132" s="220">
        <v>3</v>
      </c>
      <c r="G132" s="220">
        <v>5</v>
      </c>
      <c r="H132" s="291">
        <f t="shared" si="10"/>
        <v>45.358820559925839</v>
      </c>
      <c r="I132" s="291">
        <f t="shared" si="11"/>
        <v>58.147222222222219</v>
      </c>
      <c r="J132" s="291">
        <f t="shared" si="12"/>
        <v>44.863141025641028</v>
      </c>
      <c r="K132" s="291">
        <f t="shared" si="13"/>
        <v>41.687192118226598</v>
      </c>
      <c r="L132" s="291">
        <f t="shared" si="18"/>
        <v>60</v>
      </c>
      <c r="M132" s="294">
        <v>52</v>
      </c>
      <c r="N132" s="291">
        <f t="shared" si="14"/>
        <v>67.695473251028801</v>
      </c>
      <c r="O132" s="296">
        <f t="shared" si="15"/>
        <v>52.884899873391461</v>
      </c>
    </row>
    <row r="133" spans="1:15">
      <c r="A133" s="220">
        <v>127</v>
      </c>
      <c r="B133" s="220">
        <v>116</v>
      </c>
      <c r="C133" s="221">
        <f t="shared" si="16"/>
        <v>0.43050847457627117</v>
      </c>
      <c r="D133" s="280" t="s">
        <v>742</v>
      </c>
      <c r="E133" s="281" t="s">
        <v>740</v>
      </c>
      <c r="F133" s="271">
        <v>10</v>
      </c>
      <c r="G133" s="271">
        <v>14</v>
      </c>
      <c r="H133" s="291">
        <f t="shared" si="10"/>
        <v>36.119871142073798</v>
      </c>
      <c r="I133" s="291">
        <f t="shared" si="11"/>
        <v>57.53586111111111</v>
      </c>
      <c r="J133" s="291">
        <f t="shared" si="12"/>
        <v>58.959423076923073</v>
      </c>
      <c r="K133" s="291">
        <f t="shared" si="13"/>
        <v>34.935344827586206</v>
      </c>
      <c r="L133" s="291">
        <f t="shared" si="18"/>
        <v>61.5</v>
      </c>
      <c r="M133" s="294">
        <v>43</v>
      </c>
      <c r="N133" s="291">
        <f t="shared" si="14"/>
        <v>72.139917695473244</v>
      </c>
      <c r="O133" s="296">
        <f t="shared" si="15"/>
        <v>52.721602746641146</v>
      </c>
    </row>
    <row r="134" spans="1:15">
      <c r="A134" s="220">
        <v>128</v>
      </c>
      <c r="B134" s="220">
        <v>117</v>
      </c>
      <c r="C134" s="221">
        <f t="shared" si="16"/>
        <v>0.43389830508474575</v>
      </c>
      <c r="D134" s="222" t="s">
        <v>82</v>
      </c>
      <c r="E134" s="223" t="s">
        <v>80</v>
      </c>
      <c r="F134" s="220">
        <v>6</v>
      </c>
      <c r="G134" s="220">
        <v>9</v>
      </c>
      <c r="H134" s="291">
        <f t="shared" si="10"/>
        <v>36.737259533007808</v>
      </c>
      <c r="I134" s="291">
        <f t="shared" si="11"/>
        <v>54.775027777777765</v>
      </c>
      <c r="J134" s="291">
        <f t="shared" si="12"/>
        <v>36.212307692307697</v>
      </c>
      <c r="K134" s="291">
        <f t="shared" si="13"/>
        <v>61.591748768472904</v>
      </c>
      <c r="L134" s="291">
        <f t="shared" si="18"/>
        <v>74</v>
      </c>
      <c r="M134" s="294">
        <v>59</v>
      </c>
      <c r="N134" s="291">
        <f t="shared" si="14"/>
        <v>49.567901234567906</v>
      </c>
      <c r="O134" s="296">
        <f t="shared" si="15"/>
        <v>52.674499231712929</v>
      </c>
    </row>
    <row r="135" spans="1:15">
      <c r="A135" s="220">
        <v>129</v>
      </c>
      <c r="B135" s="220">
        <v>118</v>
      </c>
      <c r="C135" s="221">
        <f t="shared" si="16"/>
        <v>0.43728813559322033</v>
      </c>
      <c r="D135" s="222" t="s">
        <v>705</v>
      </c>
      <c r="E135" s="223" t="s">
        <v>703</v>
      </c>
      <c r="F135" s="220">
        <v>7</v>
      </c>
      <c r="G135" s="220">
        <v>11</v>
      </c>
      <c r="H135" s="291">
        <f t="shared" ref="H135:H198" si="19">((VLOOKUP(D135, ВПРдек, 8, FALSE))*(0.4) + VLOOKUP(D135, матанВесна, 4,FALSE)*0.317*0.6) / (40+0.6*0.317*100) * 100</f>
        <v>42.368699181386411</v>
      </c>
      <c r="I135" s="291">
        <f t="shared" ref="I135:I198" si="20">(VLOOKUP(D135,ВПРдек, 11,FALSE) * 0.2 + VLOOKUP(E135, StatSpring, 18,FALSE) * 0.2) * 2.5</f>
        <v>69.911111111111111</v>
      </c>
      <c r="J135" s="291">
        <f t="shared" ref="J135:J198" si="21">VLOOKUP(D135, ВПРдек, 5, FALSE)</f>
        <v>51.238589743589742</v>
      </c>
      <c r="K135" s="291">
        <f t="shared" ref="K135:K198" si="22">VLOOKUP(E135, MacroSpring1, 8,FALSE)</f>
        <v>32.59698275862069</v>
      </c>
      <c r="L135" s="291">
        <f t="shared" si="18"/>
        <v>60</v>
      </c>
      <c r="M135" s="294">
        <v>54</v>
      </c>
      <c r="N135" s="291">
        <f t="shared" ref="N135:N198" si="23">(VLOOKUP(D135, ВПРдек, 23,FALSE) * 0.25 + VLOOKUP(D135,EngMarch,2,FALSE) / 9 * 100 * 0.2) / 45 * 100</f>
        <v>58.930041152263378</v>
      </c>
      <c r="O135" s="296">
        <f t="shared" ref="O135:O198" si="24">(H135 +I135+J135+K135+L135+M135*0.5+N135)/6.5</f>
        <v>52.622372914918664</v>
      </c>
    </row>
    <row r="136" spans="1:15">
      <c r="A136" s="220">
        <v>130</v>
      </c>
      <c r="B136" s="220">
        <v>119</v>
      </c>
      <c r="C136" s="221">
        <f t="shared" ref="C136:C199" si="25">A136/295</f>
        <v>0.44067796610169491</v>
      </c>
      <c r="D136" s="222" t="s">
        <v>902</v>
      </c>
      <c r="E136" s="223" t="s">
        <v>900</v>
      </c>
      <c r="F136" s="220">
        <v>9</v>
      </c>
      <c r="G136" s="220">
        <v>14</v>
      </c>
      <c r="H136" s="291">
        <f t="shared" si="19"/>
        <v>44.052689503350294</v>
      </c>
      <c r="I136" s="291">
        <f t="shared" si="20"/>
        <v>56.030111111111111</v>
      </c>
      <c r="J136" s="291">
        <f t="shared" si="21"/>
        <v>50.182500000000005</v>
      </c>
      <c r="K136" s="291">
        <f t="shared" si="22"/>
        <v>44.588977832512313</v>
      </c>
      <c r="L136" s="291">
        <f t="shared" si="18"/>
        <v>64</v>
      </c>
      <c r="M136" s="294">
        <v>53</v>
      </c>
      <c r="N136" s="291">
        <f t="shared" si="23"/>
        <v>56.131687242798357</v>
      </c>
      <c r="O136" s="296">
        <f t="shared" si="24"/>
        <v>52.536302413811086</v>
      </c>
    </row>
    <row r="137" spans="1:15">
      <c r="A137" s="220">
        <v>131</v>
      </c>
      <c r="B137" s="220">
        <v>120</v>
      </c>
      <c r="C137" s="221">
        <f t="shared" si="25"/>
        <v>0.44406779661016949</v>
      </c>
      <c r="D137" s="280" t="s">
        <v>718</v>
      </c>
      <c r="E137" s="281" t="s">
        <v>716</v>
      </c>
      <c r="F137" s="271">
        <v>10</v>
      </c>
      <c r="G137" s="271">
        <v>14</v>
      </c>
      <c r="H137" s="291">
        <f t="shared" si="19"/>
        <v>29.477756712817282</v>
      </c>
      <c r="I137" s="291">
        <f t="shared" si="20"/>
        <v>57.180972222222231</v>
      </c>
      <c r="J137" s="291">
        <f t="shared" si="21"/>
        <v>47.401238461538462</v>
      </c>
      <c r="K137" s="291">
        <f t="shared" si="22"/>
        <v>25.200123152709359</v>
      </c>
      <c r="L137" s="291">
        <f t="shared" si="18"/>
        <v>74</v>
      </c>
      <c r="M137" s="294">
        <v>76</v>
      </c>
      <c r="N137" s="291">
        <f t="shared" si="23"/>
        <v>68.804012345679013</v>
      </c>
      <c r="O137" s="296">
        <f t="shared" si="24"/>
        <v>52.317554291533284</v>
      </c>
    </row>
    <row r="138" spans="1:15">
      <c r="A138" s="220">
        <v>132</v>
      </c>
      <c r="B138" s="220">
        <v>121</v>
      </c>
      <c r="C138" s="221">
        <f t="shared" si="25"/>
        <v>0.44745762711864406</v>
      </c>
      <c r="D138" s="222" t="s">
        <v>875</v>
      </c>
      <c r="E138" s="223" t="s">
        <v>873</v>
      </c>
      <c r="F138" s="220">
        <v>5</v>
      </c>
      <c r="G138" s="220">
        <v>8</v>
      </c>
      <c r="H138" s="291">
        <f t="shared" si="19"/>
        <v>25.438796949733177</v>
      </c>
      <c r="I138" s="291">
        <f t="shared" si="20"/>
        <v>59.021777777777764</v>
      </c>
      <c r="J138" s="291">
        <f t="shared" si="21"/>
        <v>44.377948717948719</v>
      </c>
      <c r="K138" s="291">
        <f t="shared" si="22"/>
        <v>40.455665024630548</v>
      </c>
      <c r="L138" s="291">
        <f t="shared" si="18"/>
        <v>70.7</v>
      </c>
      <c r="M138" s="294">
        <v>51</v>
      </c>
      <c r="N138" s="291">
        <f t="shared" si="23"/>
        <v>73.045267489711932</v>
      </c>
      <c r="O138" s="296">
        <f t="shared" si="24"/>
        <v>52.082993224584939</v>
      </c>
    </row>
    <row r="139" spans="1:15">
      <c r="A139" s="220">
        <v>133</v>
      </c>
      <c r="B139" s="220">
        <v>122</v>
      </c>
      <c r="C139" s="221">
        <f t="shared" si="25"/>
        <v>0.45084745762711864</v>
      </c>
      <c r="D139" s="280" t="s">
        <v>241</v>
      </c>
      <c r="E139" s="281" t="s">
        <v>239</v>
      </c>
      <c r="F139" s="271">
        <v>8</v>
      </c>
      <c r="G139" s="271">
        <v>11</v>
      </c>
      <c r="H139" s="291">
        <f t="shared" si="19"/>
        <v>35.62151501832745</v>
      </c>
      <c r="I139" s="291">
        <f t="shared" si="20"/>
        <v>63.369444444444468</v>
      </c>
      <c r="J139" s="291">
        <f t="shared" si="21"/>
        <v>58.646410256410256</v>
      </c>
      <c r="K139" s="291">
        <f t="shared" si="22"/>
        <v>20.420258620689655</v>
      </c>
      <c r="L139" s="291">
        <f t="shared" si="18"/>
        <v>56.1</v>
      </c>
      <c r="M139" s="294">
        <v>55</v>
      </c>
      <c r="N139" s="291">
        <f t="shared" si="23"/>
        <v>75.617283950617292</v>
      </c>
      <c r="O139" s="296">
        <f t="shared" si="24"/>
        <v>51.888448044690641</v>
      </c>
    </row>
    <row r="140" spans="1:15">
      <c r="A140" s="220">
        <v>134</v>
      </c>
      <c r="B140" s="220">
        <v>123</v>
      </c>
      <c r="C140" s="221">
        <f t="shared" si="25"/>
        <v>0.45423728813559322</v>
      </c>
      <c r="D140" s="222" t="s">
        <v>548</v>
      </c>
      <c r="E140" s="223" t="s">
        <v>546</v>
      </c>
      <c r="F140" s="220">
        <v>8</v>
      </c>
      <c r="G140" s="220">
        <v>10</v>
      </c>
      <c r="H140" s="291">
        <f t="shared" si="19"/>
        <v>31.410413323639347</v>
      </c>
      <c r="I140" s="291">
        <f t="shared" si="20"/>
        <v>57.644444444444467</v>
      </c>
      <c r="J140" s="291">
        <f t="shared" si="21"/>
        <v>45.954294871794865</v>
      </c>
      <c r="K140" s="291">
        <f t="shared" si="22"/>
        <v>26.370073891625616</v>
      </c>
      <c r="L140" s="291">
        <f t="shared" si="18"/>
        <v>66.2</v>
      </c>
      <c r="M140" s="294">
        <v>62</v>
      </c>
      <c r="N140" s="291">
        <f t="shared" si="23"/>
        <v>78.395061728395063</v>
      </c>
      <c r="O140" s="296">
        <f t="shared" si="24"/>
        <v>51.842198193830669</v>
      </c>
    </row>
    <row r="141" spans="1:15">
      <c r="A141" s="220">
        <v>135</v>
      </c>
      <c r="B141" s="220">
        <v>124</v>
      </c>
      <c r="C141" s="221">
        <f t="shared" si="25"/>
        <v>0.4576271186440678</v>
      </c>
      <c r="D141" s="280" t="s">
        <v>220</v>
      </c>
      <c r="E141" s="281" t="s">
        <v>218</v>
      </c>
      <c r="F141" s="271">
        <v>2</v>
      </c>
      <c r="G141" s="271">
        <v>1</v>
      </c>
      <c r="H141" s="291">
        <f t="shared" si="19"/>
        <v>39.612576288126952</v>
      </c>
      <c r="I141" s="291">
        <f t="shared" si="20"/>
        <v>64.361111111111114</v>
      </c>
      <c r="J141" s="291">
        <f t="shared" si="21"/>
        <v>54.431089743589737</v>
      </c>
      <c r="K141" s="291">
        <f t="shared" si="22"/>
        <v>16.533251231527093</v>
      </c>
      <c r="L141" s="291">
        <f t="shared" si="18"/>
        <v>71.3</v>
      </c>
      <c r="M141" s="294">
        <v>46</v>
      </c>
      <c r="N141" s="291">
        <f t="shared" si="23"/>
        <v>66.008230452674908</v>
      </c>
      <c r="O141" s="296">
        <f t="shared" si="24"/>
        <v>51.576347511850742</v>
      </c>
    </row>
    <row r="142" spans="1:15">
      <c r="A142" s="220">
        <v>136</v>
      </c>
      <c r="B142" s="220">
        <v>125</v>
      </c>
      <c r="C142" s="221">
        <f t="shared" si="25"/>
        <v>0.46101694915254238</v>
      </c>
      <c r="D142" s="222" t="s">
        <v>935</v>
      </c>
      <c r="E142" s="223" t="s">
        <v>933</v>
      </c>
      <c r="F142" s="220">
        <v>7</v>
      </c>
      <c r="G142" s="220">
        <v>11</v>
      </c>
      <c r="H142" s="291">
        <f t="shared" si="19"/>
        <v>43.730657218454574</v>
      </c>
      <c r="I142" s="291">
        <f t="shared" si="20"/>
        <v>55.399999999999991</v>
      </c>
      <c r="J142" s="291">
        <f t="shared" si="21"/>
        <v>57.803974358974358</v>
      </c>
      <c r="K142" s="291">
        <f t="shared" si="22"/>
        <v>26.828817733990149</v>
      </c>
      <c r="L142" s="291">
        <f t="shared" si="18"/>
        <v>52.8</v>
      </c>
      <c r="M142" s="294">
        <v>74</v>
      </c>
      <c r="N142" s="291">
        <f t="shared" si="23"/>
        <v>60.740740740740748</v>
      </c>
      <c r="O142" s="296">
        <f t="shared" si="24"/>
        <v>51.43141385417843</v>
      </c>
    </row>
    <row r="143" spans="1:15">
      <c r="A143" s="220">
        <v>137</v>
      </c>
      <c r="B143" s="220">
        <v>126</v>
      </c>
      <c r="C143" s="221">
        <f t="shared" si="25"/>
        <v>0.46440677966101696</v>
      </c>
      <c r="D143" s="222" t="s">
        <v>370</v>
      </c>
      <c r="E143" s="223" t="s">
        <v>368</v>
      </c>
      <c r="F143" s="220">
        <v>8</v>
      </c>
      <c r="G143" s="220">
        <v>11</v>
      </c>
      <c r="H143" s="291">
        <f t="shared" si="19"/>
        <v>29.451837893287664</v>
      </c>
      <c r="I143" s="291">
        <f t="shared" si="20"/>
        <v>61.266666666666659</v>
      </c>
      <c r="J143" s="291">
        <f t="shared" si="21"/>
        <v>44.88717948717948</v>
      </c>
      <c r="K143" s="291">
        <f t="shared" si="22"/>
        <v>41.964285714285715</v>
      </c>
      <c r="L143" s="291">
        <f t="shared" si="18"/>
        <v>53</v>
      </c>
      <c r="M143" s="294">
        <v>58</v>
      </c>
      <c r="N143" s="291">
        <f t="shared" si="23"/>
        <v>70.679012345679013</v>
      </c>
      <c r="O143" s="296">
        <f t="shared" si="24"/>
        <v>50.807535708784386</v>
      </c>
    </row>
    <row r="144" spans="1:15">
      <c r="A144" s="220">
        <v>138</v>
      </c>
      <c r="B144" s="220">
        <v>127</v>
      </c>
      <c r="C144" s="221">
        <f t="shared" si="25"/>
        <v>0.46779661016949153</v>
      </c>
      <c r="D144" s="222" t="s">
        <v>274</v>
      </c>
      <c r="E144" s="223" t="s">
        <v>272</v>
      </c>
      <c r="F144" s="220">
        <v>10</v>
      </c>
      <c r="G144" s="220">
        <v>13</v>
      </c>
      <c r="H144" s="291">
        <f t="shared" si="19"/>
        <v>31.854796974929133</v>
      </c>
      <c r="I144" s="291">
        <f t="shared" si="20"/>
        <v>65.19047222222224</v>
      </c>
      <c r="J144" s="291">
        <f t="shared" si="21"/>
        <v>46.681089743589745</v>
      </c>
      <c r="K144" s="291">
        <f t="shared" si="22"/>
        <v>22.660098522167488</v>
      </c>
      <c r="L144" s="291">
        <f t="shared" si="18"/>
        <v>63</v>
      </c>
      <c r="M144" s="294">
        <v>57</v>
      </c>
      <c r="N144" s="291">
        <f t="shared" si="23"/>
        <v>69.135802469135811</v>
      </c>
      <c r="O144" s="296">
        <f t="shared" si="24"/>
        <v>50.311116912622211</v>
      </c>
    </row>
    <row r="145" spans="1:15">
      <c r="A145" s="220">
        <v>139</v>
      </c>
      <c r="B145" s="220">
        <v>128</v>
      </c>
      <c r="C145" s="221">
        <f t="shared" si="25"/>
        <v>0.47118644067796611</v>
      </c>
      <c r="D145" s="280" t="s">
        <v>295</v>
      </c>
      <c r="E145" s="281" t="s">
        <v>293</v>
      </c>
      <c r="F145" s="271" t="s">
        <v>1002</v>
      </c>
      <c r="G145" s="271" t="s">
        <v>2059</v>
      </c>
      <c r="H145" s="291">
        <f t="shared" si="19"/>
        <v>76.047063836138733</v>
      </c>
      <c r="I145" s="291">
        <f t="shared" si="20"/>
        <v>49.348250000000007</v>
      </c>
      <c r="J145" s="291">
        <f t="shared" si="21"/>
        <v>44.834743589743596</v>
      </c>
      <c r="K145" s="291">
        <f t="shared" si="22"/>
        <v>19.334975369458128</v>
      </c>
      <c r="L145" s="291">
        <f t="shared" si="18"/>
        <v>40</v>
      </c>
      <c r="M145" s="294">
        <v>42</v>
      </c>
      <c r="N145" s="291">
        <f t="shared" si="23"/>
        <v>75.02057613168725</v>
      </c>
      <c r="O145" s="296">
        <f t="shared" si="24"/>
        <v>50.090093681081186</v>
      </c>
    </row>
    <row r="146" spans="1:15">
      <c r="A146" s="220">
        <v>140</v>
      </c>
      <c r="B146" s="220">
        <v>129</v>
      </c>
      <c r="C146" s="221">
        <f t="shared" si="25"/>
        <v>0.47457627118644069</v>
      </c>
      <c r="D146" s="222" t="s">
        <v>530</v>
      </c>
      <c r="E146" s="223" t="s">
        <v>528</v>
      </c>
      <c r="F146" s="220">
        <v>8</v>
      </c>
      <c r="G146" s="220">
        <v>12</v>
      </c>
      <c r="H146" s="291">
        <f t="shared" si="19"/>
        <v>34.869213698096317</v>
      </c>
      <c r="I146" s="291">
        <f t="shared" si="20"/>
        <v>64.422222222222217</v>
      </c>
      <c r="J146" s="291">
        <f t="shared" si="21"/>
        <v>41.491858974358976</v>
      </c>
      <c r="K146" s="291">
        <f t="shared" si="22"/>
        <v>33.86699507389163</v>
      </c>
      <c r="L146" s="291">
        <f t="shared" si="18"/>
        <v>65.5</v>
      </c>
      <c r="M146" s="294">
        <v>46.65</v>
      </c>
      <c r="N146" s="291">
        <f t="shared" si="23"/>
        <v>60.802469135802475</v>
      </c>
      <c r="O146" s="296">
        <f t="shared" si="24"/>
        <v>49.888886016057171</v>
      </c>
    </row>
    <row r="147" spans="1:15">
      <c r="A147" s="220">
        <v>141</v>
      </c>
      <c r="B147" s="220">
        <v>130</v>
      </c>
      <c r="C147" s="221">
        <f t="shared" si="25"/>
        <v>0.47796610169491527</v>
      </c>
      <c r="D147" s="222" t="s">
        <v>388</v>
      </c>
      <c r="E147" s="223" t="s">
        <v>386</v>
      </c>
      <c r="F147" s="220">
        <v>10</v>
      </c>
      <c r="G147" s="220">
        <v>15</v>
      </c>
      <c r="H147" s="291">
        <f t="shared" si="19"/>
        <v>39.438569858922293</v>
      </c>
      <c r="I147" s="291">
        <f t="shared" si="20"/>
        <v>66.928916666666666</v>
      </c>
      <c r="J147" s="291">
        <f t="shared" si="21"/>
        <v>48.460833333333341</v>
      </c>
      <c r="K147" s="291">
        <f t="shared" si="22"/>
        <v>47.159790640394093</v>
      </c>
      <c r="L147" s="291">
        <f t="shared" si="18"/>
        <v>49</v>
      </c>
      <c r="M147" s="294">
        <v>51</v>
      </c>
      <c r="N147" s="291">
        <f t="shared" si="23"/>
        <v>46.913580246913575</v>
      </c>
      <c r="O147" s="296">
        <f t="shared" si="24"/>
        <v>49.754106268650766</v>
      </c>
    </row>
    <row r="148" spans="1:15">
      <c r="A148" s="220">
        <v>142</v>
      </c>
      <c r="B148" s="220">
        <v>131</v>
      </c>
      <c r="C148" s="221">
        <f t="shared" si="25"/>
        <v>0.48135593220338985</v>
      </c>
      <c r="D148" s="222" t="s">
        <v>292</v>
      </c>
      <c r="E148" s="223" t="s">
        <v>290</v>
      </c>
      <c r="F148" s="220">
        <v>4</v>
      </c>
      <c r="G148" s="220">
        <v>6</v>
      </c>
      <c r="H148" s="291">
        <f t="shared" si="19"/>
        <v>26.937504201424904</v>
      </c>
      <c r="I148" s="291">
        <f t="shared" si="20"/>
        <v>48.924555555555557</v>
      </c>
      <c r="J148" s="291">
        <f t="shared" si="21"/>
        <v>52.224743589743582</v>
      </c>
      <c r="K148" s="291">
        <f t="shared" si="22"/>
        <v>35.480295566502463</v>
      </c>
      <c r="L148" s="291">
        <f t="shared" si="18"/>
        <v>69</v>
      </c>
      <c r="M148" s="294">
        <v>51</v>
      </c>
      <c r="N148" s="291">
        <f t="shared" si="23"/>
        <v>64.382716049382722</v>
      </c>
      <c r="O148" s="296">
        <f t="shared" si="24"/>
        <v>49.607663840401415</v>
      </c>
    </row>
    <row r="149" spans="1:15">
      <c r="A149" s="220">
        <v>143</v>
      </c>
      <c r="B149" s="220">
        <v>132</v>
      </c>
      <c r="C149" s="221">
        <f t="shared" si="25"/>
        <v>0.48474576271186443</v>
      </c>
      <c r="D149" s="222" t="s">
        <v>415</v>
      </c>
      <c r="E149" s="223" t="s">
        <v>413</v>
      </c>
      <c r="F149" s="220">
        <v>6</v>
      </c>
      <c r="G149" s="220">
        <v>7</v>
      </c>
      <c r="H149" s="291">
        <f t="shared" si="19"/>
        <v>26.301185223194569</v>
      </c>
      <c r="I149" s="291">
        <f t="shared" si="20"/>
        <v>44.509388888888886</v>
      </c>
      <c r="J149" s="291">
        <f t="shared" si="21"/>
        <v>45.801217948717948</v>
      </c>
      <c r="K149" s="291">
        <f t="shared" si="22"/>
        <v>35.207820197044335</v>
      </c>
      <c r="L149" s="291">
        <f>VLOOKUP(D149,ВПРдек, 24,FALSE)</f>
        <v>61.666666666666671</v>
      </c>
      <c r="M149" s="294">
        <v>65</v>
      </c>
      <c r="N149" s="291">
        <f t="shared" si="23"/>
        <v>76.296296296296305</v>
      </c>
      <c r="O149" s="296">
        <f t="shared" si="24"/>
        <v>49.58193464935519</v>
      </c>
    </row>
    <row r="150" spans="1:15">
      <c r="A150" s="220">
        <v>144</v>
      </c>
      <c r="B150" s="220">
        <v>133</v>
      </c>
      <c r="C150" s="221">
        <f t="shared" si="25"/>
        <v>0.488135593220339</v>
      </c>
      <c r="D150" s="222" t="s">
        <v>655</v>
      </c>
      <c r="E150" s="223" t="s">
        <v>653</v>
      </c>
      <c r="F150" s="220">
        <v>4</v>
      </c>
      <c r="G150" s="220">
        <v>5</v>
      </c>
      <c r="H150" s="291">
        <f t="shared" si="19"/>
        <v>38.473046205425057</v>
      </c>
      <c r="I150" s="291">
        <f t="shared" si="20"/>
        <v>43.212277777777771</v>
      </c>
      <c r="J150" s="291">
        <f t="shared" si="21"/>
        <v>50.434615384615384</v>
      </c>
      <c r="K150" s="291">
        <f t="shared" si="22"/>
        <v>39.100985221674875</v>
      </c>
      <c r="L150" s="291">
        <f t="shared" ref="L150:L156" si="26">VLOOKUP(D150,ВПРдек, 25,FALSE)</f>
        <v>60.8</v>
      </c>
      <c r="M150" s="294">
        <v>43</v>
      </c>
      <c r="N150" s="291">
        <f t="shared" si="23"/>
        <v>68.230452674897109</v>
      </c>
      <c r="O150" s="296">
        <f t="shared" si="24"/>
        <v>49.500211886829263</v>
      </c>
    </row>
    <row r="151" spans="1:15">
      <c r="A151" s="220">
        <v>145</v>
      </c>
      <c r="B151" s="220">
        <v>134</v>
      </c>
      <c r="C151" s="221">
        <f t="shared" si="25"/>
        <v>0.49152542372881358</v>
      </c>
      <c r="D151" s="222" t="s">
        <v>521</v>
      </c>
      <c r="E151" s="223" t="s">
        <v>519</v>
      </c>
      <c r="F151" s="220">
        <v>4</v>
      </c>
      <c r="G151" s="220">
        <v>6</v>
      </c>
      <c r="H151" s="291">
        <f t="shared" si="19"/>
        <v>42.569414286815167</v>
      </c>
      <c r="I151" s="291">
        <f t="shared" si="20"/>
        <v>61.20483333333334</v>
      </c>
      <c r="J151" s="291">
        <f t="shared" si="21"/>
        <v>54.14429487179487</v>
      </c>
      <c r="K151" s="291">
        <f t="shared" si="22"/>
        <v>30.058497536945815</v>
      </c>
      <c r="L151" s="291">
        <f t="shared" si="26"/>
        <v>54</v>
      </c>
      <c r="M151" s="294">
        <v>53</v>
      </c>
      <c r="N151" s="291">
        <f t="shared" si="23"/>
        <v>53.18930041152263</v>
      </c>
      <c r="O151" s="296">
        <f t="shared" si="24"/>
        <v>49.487129298524899</v>
      </c>
    </row>
    <row r="152" spans="1:15">
      <c r="A152" s="220">
        <v>146</v>
      </c>
      <c r="B152" s="220">
        <v>135</v>
      </c>
      <c r="C152" s="221">
        <f t="shared" si="25"/>
        <v>0.49491525423728816</v>
      </c>
      <c r="D152" s="222" t="s">
        <v>745</v>
      </c>
      <c r="E152" s="223" t="s">
        <v>743</v>
      </c>
      <c r="F152" s="220">
        <v>8</v>
      </c>
      <c r="G152" s="220">
        <v>10</v>
      </c>
      <c r="H152" s="291">
        <f t="shared" si="19"/>
        <v>31.747442730501529</v>
      </c>
      <c r="I152" s="291">
        <f t="shared" si="20"/>
        <v>65.208333333333343</v>
      </c>
      <c r="J152" s="291">
        <f t="shared" si="21"/>
        <v>45.275961538461537</v>
      </c>
      <c r="K152" s="291">
        <f t="shared" si="22"/>
        <v>15.224753694581281</v>
      </c>
      <c r="L152" s="291">
        <f t="shared" si="26"/>
        <v>53.3</v>
      </c>
      <c r="M152" s="294">
        <v>68.7</v>
      </c>
      <c r="N152" s="291">
        <f t="shared" si="23"/>
        <v>75.452674897119351</v>
      </c>
      <c r="O152" s="296">
        <f t="shared" si="24"/>
        <v>49.316794799076469</v>
      </c>
    </row>
    <row r="153" spans="1:15">
      <c r="A153" s="220">
        <v>147</v>
      </c>
      <c r="B153" s="220">
        <v>136</v>
      </c>
      <c r="C153" s="221">
        <f t="shared" si="25"/>
        <v>0.49830508474576274</v>
      </c>
      <c r="D153" s="280" t="s">
        <v>491</v>
      </c>
      <c r="E153" s="281" t="s">
        <v>489</v>
      </c>
      <c r="F153" s="271">
        <v>9</v>
      </c>
      <c r="G153" s="271">
        <v>5</v>
      </c>
      <c r="H153" s="291">
        <f t="shared" si="19"/>
        <v>58.614346343817715</v>
      </c>
      <c r="I153" s="291">
        <f t="shared" si="20"/>
        <v>55.084361111111129</v>
      </c>
      <c r="J153" s="291">
        <f t="shared" si="21"/>
        <v>57.459423076923073</v>
      </c>
      <c r="K153" s="291">
        <f t="shared" si="22"/>
        <v>10.914408866995073</v>
      </c>
      <c r="L153" s="291">
        <f t="shared" si="26"/>
        <v>58.5</v>
      </c>
      <c r="M153" s="294">
        <v>48</v>
      </c>
      <c r="N153" s="291">
        <f t="shared" si="23"/>
        <v>55.864197530864203</v>
      </c>
      <c r="O153" s="296">
        <f t="shared" si="24"/>
        <v>49.297959527647876</v>
      </c>
    </row>
    <row r="154" spans="1:15">
      <c r="A154" s="220">
        <v>148</v>
      </c>
      <c r="B154" s="220">
        <v>137</v>
      </c>
      <c r="C154" s="221">
        <f t="shared" si="25"/>
        <v>0.50169491525423726</v>
      </c>
      <c r="D154" s="222" t="s">
        <v>950</v>
      </c>
      <c r="E154" s="223" t="s">
        <v>948</v>
      </c>
      <c r="F154" s="220">
        <v>5</v>
      </c>
      <c r="G154" s="220">
        <v>9</v>
      </c>
      <c r="H154" s="291">
        <f t="shared" si="19"/>
        <v>46.041999190468459</v>
      </c>
      <c r="I154" s="291">
        <f t="shared" si="20"/>
        <v>65.627777777777766</v>
      </c>
      <c r="J154" s="291">
        <f t="shared" si="21"/>
        <v>41.031923076923078</v>
      </c>
      <c r="K154" s="291">
        <f t="shared" si="22"/>
        <v>23.091133004926107</v>
      </c>
      <c r="L154" s="291">
        <f t="shared" si="26"/>
        <v>62.1</v>
      </c>
      <c r="M154" s="294">
        <v>60</v>
      </c>
      <c r="N154" s="291">
        <f t="shared" si="23"/>
        <v>50.596707818930042</v>
      </c>
      <c r="O154" s="296">
        <f t="shared" si="24"/>
        <v>48.998390902926992</v>
      </c>
    </row>
    <row r="155" spans="1:15">
      <c r="A155" s="220">
        <v>149</v>
      </c>
      <c r="B155" s="220">
        <v>138</v>
      </c>
      <c r="C155" s="221">
        <f t="shared" si="25"/>
        <v>0.5050847457627119</v>
      </c>
      <c r="D155" s="280" t="s">
        <v>403</v>
      </c>
      <c r="E155" s="281" t="s">
        <v>401</v>
      </c>
      <c r="F155" s="271">
        <v>10</v>
      </c>
      <c r="G155" s="271">
        <v>13</v>
      </c>
      <c r="H155" s="291">
        <f t="shared" si="19"/>
        <v>34.377862626849421</v>
      </c>
      <c r="I155" s="291">
        <f t="shared" si="20"/>
        <v>45.711111111111116</v>
      </c>
      <c r="J155" s="291">
        <f t="shared" si="21"/>
        <v>61.185128205128201</v>
      </c>
      <c r="K155" s="291">
        <f t="shared" si="22"/>
        <v>24.799876847290641</v>
      </c>
      <c r="L155" s="291">
        <f t="shared" si="26"/>
        <v>54</v>
      </c>
      <c r="M155" s="294">
        <v>53</v>
      </c>
      <c r="N155" s="291">
        <f t="shared" si="23"/>
        <v>71.872427983539097</v>
      </c>
      <c r="O155" s="296">
        <f t="shared" si="24"/>
        <v>48.991754888295155</v>
      </c>
    </row>
    <row r="156" spans="1:15">
      <c r="A156" s="220">
        <v>150</v>
      </c>
      <c r="B156" s="220">
        <v>139</v>
      </c>
      <c r="C156" s="221">
        <f t="shared" si="25"/>
        <v>0.50847457627118642</v>
      </c>
      <c r="D156" s="222" t="s">
        <v>539</v>
      </c>
      <c r="E156" s="223" t="s">
        <v>537</v>
      </c>
      <c r="F156" s="220">
        <v>9</v>
      </c>
      <c r="G156" s="220">
        <v>15</v>
      </c>
      <c r="H156" s="291">
        <f t="shared" si="19"/>
        <v>48.552476026176464</v>
      </c>
      <c r="I156" s="291">
        <f t="shared" si="20"/>
        <v>64.514333333333326</v>
      </c>
      <c r="J156" s="291">
        <f t="shared" si="21"/>
        <v>57.374551282051286</v>
      </c>
      <c r="K156" s="291">
        <f t="shared" si="22"/>
        <v>49.541256157635473</v>
      </c>
      <c r="L156" s="291">
        <f t="shared" si="26"/>
        <v>14</v>
      </c>
      <c r="M156" s="294">
        <v>51</v>
      </c>
      <c r="N156" s="291">
        <f t="shared" si="23"/>
        <v>58.74485596707818</v>
      </c>
      <c r="O156" s="296">
        <f t="shared" si="24"/>
        <v>48.958072733273035</v>
      </c>
    </row>
    <row r="157" spans="1:15">
      <c r="A157" s="220">
        <v>151</v>
      </c>
      <c r="B157" s="220">
        <v>140</v>
      </c>
      <c r="C157" s="221">
        <f t="shared" si="25"/>
        <v>0.51186440677966105</v>
      </c>
      <c r="D157" s="222" t="s">
        <v>856</v>
      </c>
      <c r="E157" s="223" t="s">
        <v>854</v>
      </c>
      <c r="F157" s="220">
        <v>8</v>
      </c>
      <c r="G157" s="220">
        <v>11</v>
      </c>
      <c r="H157" s="291">
        <f t="shared" si="19"/>
        <v>37.749334977651984</v>
      </c>
      <c r="I157" s="291">
        <f t="shared" si="20"/>
        <v>56.89444444444446</v>
      </c>
      <c r="J157" s="291">
        <f t="shared" si="21"/>
        <v>41.35589743589744</v>
      </c>
      <c r="K157" s="291">
        <f t="shared" si="22"/>
        <v>36.483990147783253</v>
      </c>
      <c r="L157" s="291">
        <f>VLOOKUP(D157,ВПРдек, 24,FALSE)</f>
        <v>70.666666666666657</v>
      </c>
      <c r="M157" s="294">
        <v>32</v>
      </c>
      <c r="N157" s="291">
        <f t="shared" si="23"/>
        <v>58.68312757201646</v>
      </c>
      <c r="O157" s="296">
        <f t="shared" si="24"/>
        <v>48.897455576070811</v>
      </c>
    </row>
    <row r="158" spans="1:15">
      <c r="A158" s="220">
        <v>152</v>
      </c>
      <c r="B158" s="220">
        <v>141</v>
      </c>
      <c r="C158" s="221">
        <f t="shared" si="25"/>
        <v>0.51525423728813557</v>
      </c>
      <c r="D158" s="222" t="s">
        <v>810</v>
      </c>
      <c r="E158" s="223" t="s">
        <v>808</v>
      </c>
      <c r="F158" s="220">
        <v>10</v>
      </c>
      <c r="G158" s="220">
        <v>15</v>
      </c>
      <c r="H158" s="291">
        <f t="shared" si="19"/>
        <v>31.147529636296156</v>
      </c>
      <c r="I158" s="291">
        <f t="shared" si="20"/>
        <v>41.92705555555554</v>
      </c>
      <c r="J158" s="291">
        <f t="shared" si="21"/>
        <v>57.41205128205128</v>
      </c>
      <c r="K158" s="291">
        <f t="shared" si="22"/>
        <v>40.806650246305423</v>
      </c>
      <c r="L158" s="291">
        <f>VLOOKUP(D158,ВПРдек, 25,FALSE)</f>
        <v>60</v>
      </c>
      <c r="M158" s="294">
        <v>52.400000000000006</v>
      </c>
      <c r="N158" s="291">
        <f t="shared" si="23"/>
        <v>58.909465020576135</v>
      </c>
      <c r="O158" s="296">
        <f t="shared" si="24"/>
        <v>48.677346421659159</v>
      </c>
    </row>
    <row r="159" spans="1:15">
      <c r="A159" s="220">
        <v>153</v>
      </c>
      <c r="B159" s="220">
        <v>142</v>
      </c>
      <c r="C159" s="221">
        <f t="shared" si="25"/>
        <v>0.51864406779661021</v>
      </c>
      <c r="D159" s="222" t="s">
        <v>340</v>
      </c>
      <c r="E159" s="223" t="s">
        <v>338</v>
      </c>
      <c r="F159" s="220">
        <v>8</v>
      </c>
      <c r="G159" s="220">
        <v>10</v>
      </c>
      <c r="H159" s="291">
        <f t="shared" si="19"/>
        <v>30.820562588934258</v>
      </c>
      <c r="I159" s="291">
        <f t="shared" si="20"/>
        <v>67.625</v>
      </c>
      <c r="J159" s="291">
        <f t="shared" si="21"/>
        <v>36.211346153846151</v>
      </c>
      <c r="K159" s="291">
        <f t="shared" si="22"/>
        <v>36.927339901477829</v>
      </c>
      <c r="L159" s="291">
        <f>VLOOKUP(D159,ВПРдек, 25,FALSE)</f>
        <v>53.3</v>
      </c>
      <c r="M159" s="294">
        <v>48</v>
      </c>
      <c r="N159" s="291">
        <f t="shared" si="23"/>
        <v>66.934156378600818</v>
      </c>
      <c r="O159" s="296">
        <f t="shared" si="24"/>
        <v>48.587446926593692</v>
      </c>
    </row>
    <row r="160" spans="1:15">
      <c r="A160" s="220">
        <v>154</v>
      </c>
      <c r="B160" s="220">
        <v>143</v>
      </c>
      <c r="C160" s="221">
        <f t="shared" si="25"/>
        <v>0.52203389830508473</v>
      </c>
      <c r="D160" s="222" t="s">
        <v>782</v>
      </c>
      <c r="E160" s="223" t="s">
        <v>780</v>
      </c>
      <c r="F160" s="220">
        <v>6</v>
      </c>
      <c r="G160" s="220">
        <v>9</v>
      </c>
      <c r="H160" s="291">
        <f t="shared" si="19"/>
        <v>30.857158249536692</v>
      </c>
      <c r="I160" s="291">
        <f t="shared" si="20"/>
        <v>54.192111111111117</v>
      </c>
      <c r="J160" s="291">
        <f t="shared" si="21"/>
        <v>34.034230769230767</v>
      </c>
      <c r="K160" s="291">
        <f t="shared" si="22"/>
        <v>68.873152709359601</v>
      </c>
      <c r="L160" s="291">
        <f>VLOOKUP(D160,ВПРдек, 25,FALSE)</f>
        <v>57</v>
      </c>
      <c r="M160" s="294">
        <v>32</v>
      </c>
      <c r="N160" s="291">
        <f t="shared" si="23"/>
        <v>54.794238683127574</v>
      </c>
      <c r="O160" s="296">
        <f t="shared" si="24"/>
        <v>48.577060234210116</v>
      </c>
    </row>
    <row r="161" spans="1:15">
      <c r="A161" s="220">
        <v>155</v>
      </c>
      <c r="B161" s="220">
        <v>144</v>
      </c>
      <c r="C161" s="221">
        <f t="shared" si="25"/>
        <v>0.52542372881355937</v>
      </c>
      <c r="D161" s="222" t="s">
        <v>953</v>
      </c>
      <c r="E161" s="223" t="s">
        <v>951</v>
      </c>
      <c r="F161" s="220">
        <v>6</v>
      </c>
      <c r="G161" s="220">
        <v>9</v>
      </c>
      <c r="H161" s="291">
        <f t="shared" si="19"/>
        <v>36.054303415856381</v>
      </c>
      <c r="I161" s="291">
        <f t="shared" si="20"/>
        <v>52.76608333333332</v>
      </c>
      <c r="J161" s="291">
        <f t="shared" si="21"/>
        <v>41.926346153846154</v>
      </c>
      <c r="K161" s="291">
        <f t="shared" si="22"/>
        <v>34.659790640394093</v>
      </c>
      <c r="L161" s="291">
        <f>VLOOKUP(D161,ВПРдек, 25,FALSE)</f>
        <v>59.5</v>
      </c>
      <c r="M161" s="294">
        <v>49</v>
      </c>
      <c r="N161" s="291">
        <f t="shared" si="23"/>
        <v>65.596707818930028</v>
      </c>
      <c r="O161" s="296">
        <f t="shared" si="24"/>
        <v>48.462035594209233</v>
      </c>
    </row>
    <row r="162" spans="1:15">
      <c r="A162" s="220">
        <v>156</v>
      </c>
      <c r="B162" s="220">
        <v>145</v>
      </c>
      <c r="C162" s="221">
        <f t="shared" si="25"/>
        <v>0.52881355932203389</v>
      </c>
      <c r="D162" s="222" t="s">
        <v>136</v>
      </c>
      <c r="E162" s="223" t="s">
        <v>134</v>
      </c>
      <c r="F162" s="220">
        <v>8</v>
      </c>
      <c r="G162" s="220">
        <v>11</v>
      </c>
      <c r="H162" s="291">
        <f t="shared" si="19"/>
        <v>28.023363678182683</v>
      </c>
      <c r="I162" s="291">
        <f t="shared" si="20"/>
        <v>50.833333333333329</v>
      </c>
      <c r="J162" s="291">
        <f t="shared" si="21"/>
        <v>50.006025641025644</v>
      </c>
      <c r="K162" s="291">
        <f t="shared" si="22"/>
        <v>29.972290640394093</v>
      </c>
      <c r="L162" s="291">
        <f>VLOOKUP(D162,ВПРдек, 24,FALSE)</f>
        <v>70</v>
      </c>
      <c r="M162" s="294">
        <v>59</v>
      </c>
      <c r="N162" s="291">
        <f t="shared" si="23"/>
        <v>56.522633744855966</v>
      </c>
      <c r="O162" s="296">
        <f t="shared" si="24"/>
        <v>48.43963800581411</v>
      </c>
    </row>
    <row r="163" spans="1:15">
      <c r="A163" s="220">
        <v>157</v>
      </c>
      <c r="B163" s="220">
        <v>146</v>
      </c>
      <c r="C163" s="221">
        <f t="shared" si="25"/>
        <v>0.53220338983050852</v>
      </c>
      <c r="D163" s="222" t="s">
        <v>304</v>
      </c>
      <c r="E163" s="223" t="s">
        <v>302</v>
      </c>
      <c r="F163" s="220" t="s">
        <v>1002</v>
      </c>
      <c r="G163" s="220" t="s">
        <v>2059</v>
      </c>
      <c r="H163" s="291">
        <f t="shared" si="19"/>
        <v>62.496903828137327</v>
      </c>
      <c r="I163" s="291">
        <f t="shared" si="20"/>
        <v>54.317694444444442</v>
      </c>
      <c r="J163" s="291">
        <f t="shared" si="21"/>
        <v>43.924935897435901</v>
      </c>
      <c r="K163" s="291">
        <f t="shared" si="22"/>
        <v>16.964285714285715</v>
      </c>
      <c r="L163" s="291">
        <f t="shared" ref="L163:L168" si="27">VLOOKUP(D163,ВПРдек, 25,FALSE)</f>
        <v>39</v>
      </c>
      <c r="M163" s="294">
        <v>41</v>
      </c>
      <c r="N163" s="291">
        <f t="shared" si="23"/>
        <v>77.572016460905346</v>
      </c>
      <c r="O163" s="296">
        <f t="shared" si="24"/>
        <v>48.427051745416733</v>
      </c>
    </row>
    <row r="164" spans="1:15">
      <c r="A164" s="220">
        <v>158</v>
      </c>
      <c r="B164" s="220">
        <v>147</v>
      </c>
      <c r="C164" s="221">
        <f t="shared" si="25"/>
        <v>0.53559322033898304</v>
      </c>
      <c r="D164" s="222" t="s">
        <v>625</v>
      </c>
      <c r="E164" s="223" t="s">
        <v>623</v>
      </c>
      <c r="F164" s="220">
        <v>11</v>
      </c>
      <c r="G164" s="220">
        <v>13</v>
      </c>
      <c r="H164" s="291">
        <f t="shared" si="19"/>
        <v>36.067215645662301</v>
      </c>
      <c r="I164" s="291">
        <f t="shared" si="20"/>
        <v>55.713444444444434</v>
      </c>
      <c r="J164" s="291">
        <f t="shared" si="21"/>
        <v>43.304551282051285</v>
      </c>
      <c r="K164" s="291">
        <f t="shared" si="22"/>
        <v>27.567733990147786</v>
      </c>
      <c r="L164" s="291">
        <f t="shared" si="27"/>
        <v>54.6</v>
      </c>
      <c r="M164" s="294">
        <v>56</v>
      </c>
      <c r="N164" s="291">
        <f t="shared" si="23"/>
        <v>67.654320987654316</v>
      </c>
      <c r="O164" s="296">
        <f t="shared" si="24"/>
        <v>48.139579438455407</v>
      </c>
    </row>
    <row r="165" spans="1:15">
      <c r="A165" s="220">
        <v>159</v>
      </c>
      <c r="B165" s="220">
        <v>148</v>
      </c>
      <c r="C165" s="221">
        <f t="shared" si="25"/>
        <v>0.53898305084745768</v>
      </c>
      <c r="D165" s="280" t="s">
        <v>328</v>
      </c>
      <c r="E165" s="281" t="s">
        <v>326</v>
      </c>
      <c r="F165" s="271">
        <v>11</v>
      </c>
      <c r="G165" s="271">
        <v>13</v>
      </c>
      <c r="H165" s="291">
        <f t="shared" si="19"/>
        <v>44.635953707391693</v>
      </c>
      <c r="I165" s="291">
        <f t="shared" si="20"/>
        <v>29.416305555555574</v>
      </c>
      <c r="J165" s="291">
        <f t="shared" si="21"/>
        <v>53.771410256410249</v>
      </c>
      <c r="K165" s="291">
        <f t="shared" si="22"/>
        <v>31.737992610837438</v>
      </c>
      <c r="L165" s="291">
        <f t="shared" si="27"/>
        <v>52.8</v>
      </c>
      <c r="M165" s="294">
        <v>76</v>
      </c>
      <c r="N165" s="291">
        <f t="shared" si="23"/>
        <v>62.510288065843625</v>
      </c>
      <c r="O165" s="296">
        <f t="shared" si="24"/>
        <v>48.134146184005935</v>
      </c>
    </row>
    <row r="166" spans="1:15">
      <c r="A166" s="220">
        <v>160</v>
      </c>
      <c r="B166" s="220">
        <v>149</v>
      </c>
      <c r="C166" s="221">
        <f t="shared" si="25"/>
        <v>0.5423728813559322</v>
      </c>
      <c r="D166" s="280" t="s">
        <v>70</v>
      </c>
      <c r="E166" s="281" t="s">
        <v>68</v>
      </c>
      <c r="F166" s="271">
        <v>10</v>
      </c>
      <c r="G166" s="271">
        <v>14</v>
      </c>
      <c r="H166" s="291">
        <f t="shared" si="19"/>
        <v>42.296922270094079</v>
      </c>
      <c r="I166" s="291">
        <f t="shared" si="20"/>
        <v>43.324555555555548</v>
      </c>
      <c r="J166" s="291">
        <f t="shared" si="21"/>
        <v>57.228653846153847</v>
      </c>
      <c r="K166" s="291">
        <f t="shared" si="22"/>
        <v>12.71551724137931</v>
      </c>
      <c r="L166" s="291">
        <f t="shared" si="27"/>
        <v>58.5</v>
      </c>
      <c r="M166" s="294">
        <v>64</v>
      </c>
      <c r="N166" s="291">
        <f t="shared" si="23"/>
        <v>66.563786008230451</v>
      </c>
      <c r="O166" s="296">
        <f t="shared" si="24"/>
        <v>48.09683614175588</v>
      </c>
    </row>
    <row r="167" spans="1:15">
      <c r="A167" s="220">
        <v>161</v>
      </c>
      <c r="B167" s="220">
        <v>150</v>
      </c>
      <c r="C167" s="221">
        <f t="shared" si="25"/>
        <v>0.54576271186440672</v>
      </c>
      <c r="D167" s="222" t="s">
        <v>685</v>
      </c>
      <c r="E167" s="223" t="s">
        <v>683</v>
      </c>
      <c r="F167" s="220">
        <v>3</v>
      </c>
      <c r="G167" s="220">
        <v>5</v>
      </c>
      <c r="H167" s="291">
        <f t="shared" si="19"/>
        <v>43.369837367229842</v>
      </c>
      <c r="I167" s="291">
        <f t="shared" si="20"/>
        <v>55.597222222222214</v>
      </c>
      <c r="J167" s="291">
        <f t="shared" si="21"/>
        <v>49.574423076923075</v>
      </c>
      <c r="K167" s="291">
        <f t="shared" si="22"/>
        <v>21.976600985221673</v>
      </c>
      <c r="L167" s="291">
        <f t="shared" si="27"/>
        <v>62</v>
      </c>
      <c r="M167" s="294">
        <v>33</v>
      </c>
      <c r="N167" s="291">
        <f t="shared" si="23"/>
        <v>63.415637860082306</v>
      </c>
      <c r="O167" s="296">
        <f t="shared" si="24"/>
        <v>48.066726386412171</v>
      </c>
    </row>
    <row r="168" spans="1:15">
      <c r="A168" s="220">
        <v>162</v>
      </c>
      <c r="B168" s="220">
        <v>151</v>
      </c>
      <c r="C168" s="221">
        <f t="shared" si="25"/>
        <v>0.54915254237288136</v>
      </c>
      <c r="D168" s="222" t="s">
        <v>250</v>
      </c>
      <c r="E168" s="223" t="s">
        <v>248</v>
      </c>
      <c r="F168" s="220" t="s">
        <v>1002</v>
      </c>
      <c r="G168" s="220" t="s">
        <v>2059</v>
      </c>
      <c r="H168" s="291">
        <f t="shared" si="19"/>
        <v>42.182803549059059</v>
      </c>
      <c r="I168" s="291">
        <f t="shared" si="20"/>
        <v>58.053944444444454</v>
      </c>
      <c r="J168" s="291">
        <f t="shared" si="21"/>
        <v>52.12717948717949</v>
      </c>
      <c r="K168" s="291">
        <f t="shared" si="22"/>
        <v>41.62869458128079</v>
      </c>
      <c r="L168" s="291">
        <f t="shared" si="27"/>
        <v>22</v>
      </c>
      <c r="M168" s="294">
        <v>31</v>
      </c>
      <c r="N168" s="291">
        <f t="shared" si="23"/>
        <v>80.370370370370381</v>
      </c>
      <c r="O168" s="296">
        <f t="shared" si="24"/>
        <v>47.978921912666799</v>
      </c>
    </row>
    <row r="169" spans="1:15">
      <c r="A169" s="220">
        <v>163</v>
      </c>
      <c r="B169" s="220">
        <v>152</v>
      </c>
      <c r="C169" s="221">
        <f t="shared" si="25"/>
        <v>0.55254237288135588</v>
      </c>
      <c r="D169" s="222" t="s">
        <v>730</v>
      </c>
      <c r="E169" s="223" t="s">
        <v>728</v>
      </c>
      <c r="F169" s="220" t="s">
        <v>1002</v>
      </c>
      <c r="G169" s="220" t="s">
        <v>2059</v>
      </c>
      <c r="H169" s="291">
        <f t="shared" si="19"/>
        <v>70.167568815410235</v>
      </c>
      <c r="I169" s="291">
        <f t="shared" si="20"/>
        <v>54.029972222222227</v>
      </c>
      <c r="J169" s="291">
        <f t="shared" si="21"/>
        <v>41.649935897435896</v>
      </c>
      <c r="K169" s="291">
        <f t="shared" si="22"/>
        <v>21.012931034482758</v>
      </c>
      <c r="L169" s="291">
        <f>VLOOKUP(D169,ВПРдек, 24,FALSE)</f>
        <v>42</v>
      </c>
      <c r="M169" s="294">
        <v>31</v>
      </c>
      <c r="N169" s="291">
        <f t="shared" si="23"/>
        <v>67.119341563786008</v>
      </c>
      <c r="O169" s="296">
        <f t="shared" si="24"/>
        <v>47.919961466667246</v>
      </c>
    </row>
    <row r="170" spans="1:15">
      <c r="A170" s="220">
        <v>164</v>
      </c>
      <c r="B170" s="220">
        <v>153</v>
      </c>
      <c r="C170" s="221">
        <f t="shared" si="25"/>
        <v>0.55593220338983051</v>
      </c>
      <c r="D170" s="222" t="s">
        <v>421</v>
      </c>
      <c r="E170" s="223" t="s">
        <v>419</v>
      </c>
      <c r="F170" s="220">
        <v>4</v>
      </c>
      <c r="G170" s="220">
        <v>15</v>
      </c>
      <c r="H170" s="291">
        <f t="shared" si="19"/>
        <v>28.031886614529789</v>
      </c>
      <c r="I170" s="291">
        <f t="shared" si="20"/>
        <v>52.355111111111128</v>
      </c>
      <c r="J170" s="291">
        <f t="shared" si="21"/>
        <v>46.553974358974358</v>
      </c>
      <c r="K170" s="291">
        <f t="shared" si="22"/>
        <v>36.97660098522168</v>
      </c>
      <c r="L170" s="291">
        <f t="shared" ref="L170:L176" si="28">VLOOKUP(D170,ВПРдек, 25,FALSE)</f>
        <v>54</v>
      </c>
      <c r="M170" s="294">
        <v>50</v>
      </c>
      <c r="N170" s="291">
        <f t="shared" si="23"/>
        <v>65.226337448559661</v>
      </c>
      <c r="O170" s="296">
        <f t="shared" si="24"/>
        <v>47.406755464368715</v>
      </c>
    </row>
    <row r="171" spans="1:15">
      <c r="A171" s="220">
        <v>165</v>
      </c>
      <c r="B171" s="220">
        <v>154</v>
      </c>
      <c r="C171" s="221">
        <f t="shared" si="25"/>
        <v>0.55932203389830504</v>
      </c>
      <c r="D171" s="222" t="s">
        <v>412</v>
      </c>
      <c r="E171" s="223" t="s">
        <v>410</v>
      </c>
      <c r="F171" s="220">
        <v>8</v>
      </c>
      <c r="G171" s="220">
        <v>11</v>
      </c>
      <c r="H171" s="291">
        <f t="shared" si="19"/>
        <v>34.018709678160569</v>
      </c>
      <c r="I171" s="291">
        <f t="shared" si="20"/>
        <v>49.77500000000002</v>
      </c>
      <c r="J171" s="291">
        <f t="shared" si="21"/>
        <v>46.154294871794875</v>
      </c>
      <c r="K171" s="291">
        <f t="shared" si="22"/>
        <v>28.919334975369459</v>
      </c>
      <c r="L171" s="291">
        <f t="shared" si="28"/>
        <v>55.8</v>
      </c>
      <c r="M171" s="294">
        <v>59</v>
      </c>
      <c r="N171" s="291">
        <f t="shared" si="23"/>
        <v>63.950617283950621</v>
      </c>
      <c r="O171" s="296">
        <f t="shared" si="24"/>
        <v>47.402762586042392</v>
      </c>
    </row>
    <row r="172" spans="1:15">
      <c r="A172" s="220">
        <v>166</v>
      </c>
      <c r="B172" s="220">
        <v>155</v>
      </c>
      <c r="C172" s="221">
        <f t="shared" si="25"/>
        <v>0.56271186440677967</v>
      </c>
      <c r="D172" s="222" t="s">
        <v>929</v>
      </c>
      <c r="E172" s="223" t="s">
        <v>927</v>
      </c>
      <c r="F172" s="220">
        <v>5</v>
      </c>
      <c r="G172" s="220">
        <v>8</v>
      </c>
      <c r="H172" s="291">
        <f t="shared" si="19"/>
        <v>25.47795540613771</v>
      </c>
      <c r="I172" s="291">
        <f t="shared" si="20"/>
        <v>50.705305555555569</v>
      </c>
      <c r="J172" s="291">
        <f t="shared" si="21"/>
        <v>36.101794871794873</v>
      </c>
      <c r="K172" s="291">
        <f t="shared" si="22"/>
        <v>37.697044334975374</v>
      </c>
      <c r="L172" s="291">
        <f t="shared" si="28"/>
        <v>66.900000000000006</v>
      </c>
      <c r="M172" s="294">
        <v>53</v>
      </c>
      <c r="N172" s="291">
        <f t="shared" si="23"/>
        <v>64.012345679012341</v>
      </c>
      <c r="O172" s="296">
        <f t="shared" si="24"/>
        <v>47.291453207303981</v>
      </c>
    </row>
    <row r="173" spans="1:15">
      <c r="A173" s="220">
        <v>167</v>
      </c>
      <c r="B173" s="220">
        <v>156</v>
      </c>
      <c r="C173" s="221">
        <f t="shared" si="25"/>
        <v>0.56610169491525419</v>
      </c>
      <c r="D173" s="222" t="s">
        <v>373</v>
      </c>
      <c r="E173" s="223" t="s">
        <v>371</v>
      </c>
      <c r="F173" s="220">
        <v>5</v>
      </c>
      <c r="G173" s="220">
        <v>9</v>
      </c>
      <c r="H173" s="291">
        <f t="shared" si="19"/>
        <v>29.972919350661119</v>
      </c>
      <c r="I173" s="291">
        <f t="shared" si="20"/>
        <v>51.540944444444449</v>
      </c>
      <c r="J173" s="291">
        <f t="shared" si="21"/>
        <v>34.903653846153844</v>
      </c>
      <c r="K173" s="291">
        <f t="shared" si="22"/>
        <v>38.469827586206897</v>
      </c>
      <c r="L173" s="291">
        <f t="shared" si="28"/>
        <v>65.7</v>
      </c>
      <c r="M173" s="294">
        <v>43</v>
      </c>
      <c r="N173" s="291">
        <f t="shared" si="23"/>
        <v>64.465020576131693</v>
      </c>
      <c r="O173" s="296">
        <f t="shared" si="24"/>
        <v>47.161902431322765</v>
      </c>
    </row>
    <row r="174" spans="1:15">
      <c r="A174" s="220">
        <v>168</v>
      </c>
      <c r="B174" s="220">
        <v>157</v>
      </c>
      <c r="C174" s="221">
        <f t="shared" si="25"/>
        <v>0.56949152542372883</v>
      </c>
      <c r="D174" s="222" t="s">
        <v>736</v>
      </c>
      <c r="E174" s="223" t="s">
        <v>734</v>
      </c>
      <c r="F174" s="220">
        <v>4</v>
      </c>
      <c r="G174" s="220">
        <v>6</v>
      </c>
      <c r="H174" s="291">
        <f t="shared" si="19"/>
        <v>35.210816602666824</v>
      </c>
      <c r="I174" s="291">
        <f t="shared" si="20"/>
        <v>56.734055555555543</v>
      </c>
      <c r="J174" s="291">
        <f t="shared" si="21"/>
        <v>45.582628205128202</v>
      </c>
      <c r="K174" s="291">
        <f t="shared" si="22"/>
        <v>29.818349753694584</v>
      </c>
      <c r="L174" s="291">
        <f t="shared" si="28"/>
        <v>53.5</v>
      </c>
      <c r="M174" s="294">
        <v>41</v>
      </c>
      <c r="N174" s="291">
        <f t="shared" si="23"/>
        <v>64.89711934156378</v>
      </c>
      <c r="O174" s="296">
        <f t="shared" si="24"/>
        <v>47.114302993632137</v>
      </c>
    </row>
    <row r="175" spans="1:15">
      <c r="A175" s="220">
        <v>169</v>
      </c>
      <c r="B175" s="220">
        <v>158</v>
      </c>
      <c r="C175" s="221">
        <f t="shared" si="25"/>
        <v>0.57288135593220335</v>
      </c>
      <c r="D175" s="222" t="s">
        <v>379</v>
      </c>
      <c r="E175" s="223" t="s">
        <v>377</v>
      </c>
      <c r="F175" s="220">
        <v>10</v>
      </c>
      <c r="G175" s="220">
        <v>16</v>
      </c>
      <c r="H175" s="291">
        <f t="shared" si="19"/>
        <v>30.201680665149826</v>
      </c>
      <c r="I175" s="291">
        <f t="shared" si="20"/>
        <v>48.560261805555562</v>
      </c>
      <c r="J175" s="291">
        <f t="shared" si="21"/>
        <v>43.519059340659346</v>
      </c>
      <c r="K175" s="291">
        <f t="shared" si="22"/>
        <v>35.467980295566505</v>
      </c>
      <c r="L175" s="291">
        <f t="shared" si="28"/>
        <v>60</v>
      </c>
      <c r="M175" s="294">
        <v>55</v>
      </c>
      <c r="N175" s="291">
        <f t="shared" si="23"/>
        <v>60.564814814814802</v>
      </c>
      <c r="O175" s="296">
        <f t="shared" si="24"/>
        <v>47.04827644949939</v>
      </c>
    </row>
    <row r="176" spans="1:15">
      <c r="A176" s="220">
        <v>170</v>
      </c>
      <c r="B176" s="220">
        <v>159</v>
      </c>
      <c r="C176" s="221">
        <f t="shared" si="25"/>
        <v>0.57627118644067798</v>
      </c>
      <c r="D176" s="222" t="s">
        <v>223</v>
      </c>
      <c r="E176" s="223" t="s">
        <v>221</v>
      </c>
      <c r="F176" s="220">
        <v>5</v>
      </c>
      <c r="G176" s="220">
        <v>8</v>
      </c>
      <c r="H176" s="291">
        <f t="shared" si="19"/>
        <v>38.675760651024767</v>
      </c>
      <c r="I176" s="291">
        <f t="shared" si="20"/>
        <v>48.112722222222217</v>
      </c>
      <c r="J176" s="291">
        <f t="shared" si="21"/>
        <v>35.643717948717949</v>
      </c>
      <c r="K176" s="291">
        <f t="shared" si="22"/>
        <v>36.968903940886698</v>
      </c>
      <c r="L176" s="291">
        <f t="shared" si="28"/>
        <v>67.7</v>
      </c>
      <c r="M176" s="294">
        <v>31</v>
      </c>
      <c r="N176" s="291">
        <f t="shared" si="23"/>
        <v>61.91358024691359</v>
      </c>
      <c r="O176" s="296">
        <f t="shared" si="24"/>
        <v>46.848413078425409</v>
      </c>
    </row>
    <row r="177" spans="1:15">
      <c r="A177" s="220">
        <v>171</v>
      </c>
      <c r="B177" s="220">
        <v>160</v>
      </c>
      <c r="C177" s="221">
        <f t="shared" si="25"/>
        <v>0.57966101694915251</v>
      </c>
      <c r="D177" s="222" t="s">
        <v>974</v>
      </c>
      <c r="E177" s="223" t="s">
        <v>972</v>
      </c>
      <c r="F177" s="220">
        <v>10</v>
      </c>
      <c r="G177" s="220">
        <v>13</v>
      </c>
      <c r="H177" s="291">
        <f t="shared" si="19"/>
        <v>31.911663867214525</v>
      </c>
      <c r="I177" s="291">
        <f t="shared" si="20"/>
        <v>50.044194444444443</v>
      </c>
      <c r="J177" s="291">
        <f t="shared" si="21"/>
        <v>49.533397435897427</v>
      </c>
      <c r="K177" s="291">
        <f t="shared" si="22"/>
        <v>21.520935960591132</v>
      </c>
      <c r="L177" s="291">
        <f>VLOOKUP(D177,ВПРдек, 24,FALSE)</f>
        <v>56.666666666666671</v>
      </c>
      <c r="M177" s="294">
        <v>50</v>
      </c>
      <c r="N177" s="291">
        <f t="shared" si="23"/>
        <v>67.798353909465021</v>
      </c>
      <c r="O177" s="296">
        <f t="shared" si="24"/>
        <v>46.534648043735267</v>
      </c>
    </row>
    <row r="178" spans="1:15">
      <c r="A178" s="220">
        <v>172</v>
      </c>
      <c r="B178" s="220">
        <v>161</v>
      </c>
      <c r="C178" s="221">
        <f t="shared" si="25"/>
        <v>0.58305084745762714</v>
      </c>
      <c r="D178" s="222" t="s">
        <v>560</v>
      </c>
      <c r="E178" s="223" t="s">
        <v>558</v>
      </c>
      <c r="F178" s="220">
        <v>4</v>
      </c>
      <c r="G178" s="220">
        <v>6</v>
      </c>
      <c r="H178" s="291">
        <f t="shared" si="19"/>
        <v>39.808147930438679</v>
      </c>
      <c r="I178" s="291">
        <f t="shared" si="20"/>
        <v>45.435388888888895</v>
      </c>
      <c r="J178" s="291">
        <f t="shared" si="21"/>
        <v>38.826538461538462</v>
      </c>
      <c r="K178" s="291">
        <f t="shared" si="22"/>
        <v>28.392857142857142</v>
      </c>
      <c r="L178" s="291">
        <f t="shared" ref="L178:L194" si="29">VLOOKUP(D178,ВПРдек, 25,FALSE)</f>
        <v>62</v>
      </c>
      <c r="M178" s="294">
        <v>45</v>
      </c>
      <c r="N178" s="291">
        <f t="shared" si="23"/>
        <v>63.724279835390938</v>
      </c>
      <c r="O178" s="296">
        <f t="shared" si="24"/>
        <v>46.259571116786788</v>
      </c>
    </row>
    <row r="179" spans="1:15">
      <c r="A179" s="220">
        <v>173</v>
      </c>
      <c r="B179" s="220">
        <v>162</v>
      </c>
      <c r="C179" s="221">
        <f t="shared" si="25"/>
        <v>0.58644067796610166</v>
      </c>
      <c r="D179" s="222" t="s">
        <v>127</v>
      </c>
      <c r="E179" s="223" t="s">
        <v>125</v>
      </c>
      <c r="F179" s="220">
        <v>5</v>
      </c>
      <c r="G179" s="220">
        <v>8</v>
      </c>
      <c r="H179" s="291">
        <f t="shared" si="19"/>
        <v>34.8626719288334</v>
      </c>
      <c r="I179" s="291">
        <f t="shared" si="20"/>
        <v>54.702717361111098</v>
      </c>
      <c r="J179" s="291">
        <f t="shared" si="21"/>
        <v>53.305815297202798</v>
      </c>
      <c r="K179" s="291">
        <f t="shared" si="22"/>
        <v>48.383620689655174</v>
      </c>
      <c r="L179" s="291">
        <f t="shared" si="29"/>
        <v>51.5</v>
      </c>
      <c r="M179" s="294">
        <v>0</v>
      </c>
      <c r="N179" s="291">
        <f t="shared" si="23"/>
        <v>57.362139917695465</v>
      </c>
      <c r="O179" s="296">
        <f t="shared" si="24"/>
        <v>46.171840799153529</v>
      </c>
    </row>
    <row r="180" spans="1:15">
      <c r="A180" s="220">
        <v>174</v>
      </c>
      <c r="B180" s="220">
        <v>163</v>
      </c>
      <c r="C180" s="221">
        <f t="shared" si="25"/>
        <v>0.5898305084745763</v>
      </c>
      <c r="D180" s="222" t="s">
        <v>838</v>
      </c>
      <c r="E180" s="223" t="s">
        <v>836</v>
      </c>
      <c r="F180" s="220">
        <v>4</v>
      </c>
      <c r="G180" s="220">
        <v>5</v>
      </c>
      <c r="H180" s="291">
        <f t="shared" si="19"/>
        <v>34.74028584583651</v>
      </c>
      <c r="I180" s="291">
        <f t="shared" si="20"/>
        <v>45.575888888888883</v>
      </c>
      <c r="J180" s="291">
        <f t="shared" si="21"/>
        <v>49.002564102564101</v>
      </c>
      <c r="K180" s="291">
        <f t="shared" si="22"/>
        <v>30.774322660098523</v>
      </c>
      <c r="L180" s="291">
        <f t="shared" si="29"/>
        <v>36.299999999999997</v>
      </c>
      <c r="M180" s="294">
        <v>54</v>
      </c>
      <c r="N180" s="291">
        <f t="shared" si="23"/>
        <v>76.563786008230466</v>
      </c>
      <c r="O180" s="296">
        <f t="shared" si="24"/>
        <v>46.147207308556695</v>
      </c>
    </row>
    <row r="181" spans="1:15">
      <c r="A181" s="220">
        <v>175</v>
      </c>
      <c r="B181" s="220">
        <v>164</v>
      </c>
      <c r="C181" s="221">
        <f t="shared" si="25"/>
        <v>0.59322033898305082</v>
      </c>
      <c r="D181" s="222" t="s">
        <v>334</v>
      </c>
      <c r="E181" s="223" t="s">
        <v>1718</v>
      </c>
      <c r="F181" s="220">
        <v>4</v>
      </c>
      <c r="G181" s="220">
        <v>12</v>
      </c>
      <c r="H181" s="291">
        <f t="shared" si="19"/>
        <v>38.859036809452441</v>
      </c>
      <c r="I181" s="291">
        <f t="shared" si="20"/>
        <v>47.37544444444444</v>
      </c>
      <c r="J181" s="291">
        <f t="shared" si="21"/>
        <v>35.837435897435896</v>
      </c>
      <c r="K181" s="291">
        <f t="shared" si="22"/>
        <v>44.334975369458128</v>
      </c>
      <c r="L181" s="291">
        <f t="shared" si="29"/>
        <v>52</v>
      </c>
      <c r="M181" s="294">
        <v>41</v>
      </c>
      <c r="N181" s="291">
        <f t="shared" si="23"/>
        <v>60.65843621399177</v>
      </c>
      <c r="O181" s="296">
        <f t="shared" si="24"/>
        <v>46.086973651505026</v>
      </c>
    </row>
    <row r="182" spans="1:15">
      <c r="A182" s="220">
        <v>176</v>
      </c>
      <c r="B182" s="220">
        <v>165</v>
      </c>
      <c r="C182" s="221">
        <f t="shared" si="25"/>
        <v>0.59661016949152545</v>
      </c>
      <c r="D182" s="222" t="s">
        <v>813</v>
      </c>
      <c r="E182" s="223" t="s">
        <v>811</v>
      </c>
      <c r="F182" s="220">
        <v>9</v>
      </c>
      <c r="G182" s="220">
        <v>14</v>
      </c>
      <c r="H182" s="291">
        <f t="shared" si="19"/>
        <v>28.26423953432764</v>
      </c>
      <c r="I182" s="291">
        <f t="shared" si="20"/>
        <v>51.791083333333333</v>
      </c>
      <c r="J182" s="291">
        <f t="shared" si="21"/>
        <v>48.98621794871795</v>
      </c>
      <c r="K182" s="291">
        <f t="shared" si="22"/>
        <v>28.694581280788178</v>
      </c>
      <c r="L182" s="291">
        <f t="shared" si="29"/>
        <v>58.5</v>
      </c>
      <c r="M182" s="294">
        <v>44</v>
      </c>
      <c r="N182" s="291">
        <f t="shared" si="23"/>
        <v>60.864197530864203</v>
      </c>
      <c r="O182" s="296">
        <f t="shared" si="24"/>
        <v>46.015433788927901</v>
      </c>
    </row>
    <row r="183" spans="1:15">
      <c r="A183" s="220">
        <v>177</v>
      </c>
      <c r="B183" s="220">
        <v>166</v>
      </c>
      <c r="C183" s="221">
        <f t="shared" si="25"/>
        <v>0.6</v>
      </c>
      <c r="D183" s="222" t="s">
        <v>524</v>
      </c>
      <c r="E183" s="223" t="s">
        <v>522</v>
      </c>
      <c r="F183" s="220">
        <v>8</v>
      </c>
      <c r="G183" s="220">
        <v>11</v>
      </c>
      <c r="H183" s="291">
        <f t="shared" si="19"/>
        <v>29.688194857771567</v>
      </c>
      <c r="I183" s="291">
        <f t="shared" si="20"/>
        <v>32.816666666666656</v>
      </c>
      <c r="J183" s="291">
        <f t="shared" si="21"/>
        <v>42.401923076923083</v>
      </c>
      <c r="K183" s="291">
        <f t="shared" si="22"/>
        <v>39.88300492610837</v>
      </c>
      <c r="L183" s="291">
        <f t="shared" si="29"/>
        <v>62</v>
      </c>
      <c r="M183" s="294">
        <v>54</v>
      </c>
      <c r="N183" s="291">
        <f t="shared" si="23"/>
        <v>63.683127572016453</v>
      </c>
      <c r="O183" s="296">
        <f t="shared" si="24"/>
        <v>45.765064169151714</v>
      </c>
    </row>
    <row r="184" spans="1:15">
      <c r="A184" s="220">
        <v>178</v>
      </c>
      <c r="B184" s="220">
        <v>167</v>
      </c>
      <c r="C184" s="221">
        <f t="shared" si="25"/>
        <v>0.60338983050847461</v>
      </c>
      <c r="D184" s="222" t="s">
        <v>391</v>
      </c>
      <c r="E184" s="223" t="s">
        <v>389</v>
      </c>
      <c r="F184" s="220">
        <v>9</v>
      </c>
      <c r="G184" s="220">
        <v>15</v>
      </c>
      <c r="H184" s="291">
        <f t="shared" si="19"/>
        <v>27.549927131116558</v>
      </c>
      <c r="I184" s="291">
        <f t="shared" si="20"/>
        <v>61.929388888888894</v>
      </c>
      <c r="J184" s="291">
        <f t="shared" si="21"/>
        <v>47.353269230769229</v>
      </c>
      <c r="K184" s="291">
        <f t="shared" si="22"/>
        <v>17.626231527093598</v>
      </c>
      <c r="L184" s="291">
        <f t="shared" si="29"/>
        <v>54</v>
      </c>
      <c r="M184" s="294">
        <v>55</v>
      </c>
      <c r="N184" s="291">
        <f t="shared" si="23"/>
        <v>61.460905349794238</v>
      </c>
      <c r="O184" s="296">
        <f t="shared" si="24"/>
        <v>45.756880327332695</v>
      </c>
    </row>
    <row r="185" spans="1:15">
      <c r="A185" s="220">
        <v>179</v>
      </c>
      <c r="B185" s="220">
        <v>168</v>
      </c>
      <c r="C185" s="221">
        <f t="shared" si="25"/>
        <v>0.60677966101694913</v>
      </c>
      <c r="D185" s="222" t="s">
        <v>616</v>
      </c>
      <c r="E185" s="223" t="s">
        <v>614</v>
      </c>
      <c r="F185" s="220">
        <v>2</v>
      </c>
      <c r="G185" s="220">
        <v>3</v>
      </c>
      <c r="H185" s="291">
        <f t="shared" si="19"/>
        <v>31.876083725378884</v>
      </c>
      <c r="I185" s="291">
        <f t="shared" si="20"/>
        <v>67.25277777777778</v>
      </c>
      <c r="J185" s="291">
        <f t="shared" si="21"/>
        <v>37.054935897435897</v>
      </c>
      <c r="K185" s="291">
        <f t="shared" si="22"/>
        <v>13.377463054187192</v>
      </c>
      <c r="L185" s="291">
        <f t="shared" si="29"/>
        <v>59</v>
      </c>
      <c r="M185" s="294">
        <v>53</v>
      </c>
      <c r="N185" s="291">
        <f t="shared" si="23"/>
        <v>62.242798353909464</v>
      </c>
      <c r="O185" s="296">
        <f t="shared" si="24"/>
        <v>45.739085970567572</v>
      </c>
    </row>
    <row r="186" spans="1:15">
      <c r="A186" s="220">
        <v>180</v>
      </c>
      <c r="B186" s="220">
        <v>169</v>
      </c>
      <c r="C186" s="221">
        <f t="shared" si="25"/>
        <v>0.61016949152542377</v>
      </c>
      <c r="D186" s="222" t="s">
        <v>151</v>
      </c>
      <c r="E186" s="223" t="s">
        <v>149</v>
      </c>
      <c r="F186" s="220">
        <v>9</v>
      </c>
      <c r="G186" s="220">
        <v>16</v>
      </c>
      <c r="H186" s="291">
        <f t="shared" si="19"/>
        <v>35.785602224500899</v>
      </c>
      <c r="I186" s="291">
        <f t="shared" si="20"/>
        <v>44.986833333333337</v>
      </c>
      <c r="J186" s="291">
        <f t="shared" si="21"/>
        <v>42.068205128205129</v>
      </c>
      <c r="K186" s="291">
        <f t="shared" si="22"/>
        <v>22.213669950738918</v>
      </c>
      <c r="L186" s="291">
        <f t="shared" si="29"/>
        <v>65</v>
      </c>
      <c r="M186" s="294">
        <v>43</v>
      </c>
      <c r="N186" s="291">
        <f t="shared" si="23"/>
        <v>63.497942386831284</v>
      </c>
      <c r="O186" s="296">
        <f t="shared" si="24"/>
        <v>45.392654311324542</v>
      </c>
    </row>
    <row r="187" spans="1:15">
      <c r="A187" s="220">
        <v>181</v>
      </c>
      <c r="B187" s="220">
        <v>170</v>
      </c>
      <c r="C187" s="221">
        <f t="shared" si="25"/>
        <v>0.61355932203389829</v>
      </c>
      <c r="D187" s="222" t="s">
        <v>440</v>
      </c>
      <c r="E187" s="223" t="s">
        <v>438</v>
      </c>
      <c r="F187" s="220">
        <v>10</v>
      </c>
      <c r="G187" s="220">
        <v>15</v>
      </c>
      <c r="H187" s="291">
        <f t="shared" si="19"/>
        <v>27.205056196862365</v>
      </c>
      <c r="I187" s="291">
        <f t="shared" si="20"/>
        <v>54.091666666666647</v>
      </c>
      <c r="J187" s="291">
        <f t="shared" si="21"/>
        <v>57.823397435897434</v>
      </c>
      <c r="K187" s="291">
        <f t="shared" si="22"/>
        <v>24.433497536945815</v>
      </c>
      <c r="L187" s="291">
        <f t="shared" si="29"/>
        <v>46</v>
      </c>
      <c r="M187" s="294">
        <v>50</v>
      </c>
      <c r="N187" s="291">
        <f t="shared" si="23"/>
        <v>58.74485596707818</v>
      </c>
      <c r="O187" s="296">
        <f t="shared" si="24"/>
        <v>45.122842123607761</v>
      </c>
    </row>
    <row r="188" spans="1:15">
      <c r="A188" s="220">
        <v>182</v>
      </c>
      <c r="B188" s="220">
        <v>171</v>
      </c>
      <c r="C188" s="221">
        <f t="shared" si="25"/>
        <v>0.61694915254237293</v>
      </c>
      <c r="D188" s="222" t="s">
        <v>39</v>
      </c>
      <c r="E188" s="223" t="s">
        <v>1782</v>
      </c>
      <c r="F188" s="220">
        <v>8</v>
      </c>
      <c r="G188" s="220">
        <v>11</v>
      </c>
      <c r="H188" s="291">
        <f t="shared" si="19"/>
        <v>36.969266099526145</v>
      </c>
      <c r="I188" s="291">
        <f t="shared" si="20"/>
        <v>41.000000000000007</v>
      </c>
      <c r="J188" s="291">
        <f t="shared" si="21"/>
        <v>33.425320512820512</v>
      </c>
      <c r="K188" s="291">
        <f t="shared" si="22"/>
        <v>30.880541871921181</v>
      </c>
      <c r="L188" s="291">
        <f t="shared" si="29"/>
        <v>60.8</v>
      </c>
      <c r="M188" s="294">
        <v>54</v>
      </c>
      <c r="N188" s="291">
        <f t="shared" si="23"/>
        <v>63.18930041152263</v>
      </c>
      <c r="O188" s="296">
        <f t="shared" si="24"/>
        <v>45.117604445506231</v>
      </c>
    </row>
    <row r="189" spans="1:15">
      <c r="A189" s="220">
        <v>183</v>
      </c>
      <c r="B189" s="220">
        <v>172</v>
      </c>
      <c r="C189" s="221">
        <f t="shared" si="25"/>
        <v>0.62033898305084745</v>
      </c>
      <c r="D189" s="222" t="s">
        <v>610</v>
      </c>
      <c r="E189" s="223" t="s">
        <v>608</v>
      </c>
      <c r="F189" s="220">
        <v>7</v>
      </c>
      <c r="G189" s="220">
        <v>14</v>
      </c>
      <c r="H189" s="291">
        <f t="shared" si="19"/>
        <v>26.920093944234917</v>
      </c>
      <c r="I189" s="291">
        <f t="shared" si="20"/>
        <v>53.591666666666654</v>
      </c>
      <c r="J189" s="291">
        <f t="shared" si="21"/>
        <v>35.655128205128207</v>
      </c>
      <c r="K189" s="291">
        <f t="shared" si="22"/>
        <v>40.495689655172413</v>
      </c>
      <c r="L189" s="291">
        <f t="shared" si="29"/>
        <v>54.8</v>
      </c>
      <c r="M189" s="294">
        <v>42</v>
      </c>
      <c r="N189" s="291">
        <f t="shared" si="23"/>
        <v>60.781893004115226</v>
      </c>
      <c r="O189" s="296">
        <f t="shared" si="24"/>
        <v>45.11453407312576</v>
      </c>
    </row>
    <row r="190" spans="1:15">
      <c r="A190" s="220">
        <v>184</v>
      </c>
      <c r="B190" s="220">
        <v>173</v>
      </c>
      <c r="C190" s="221">
        <f t="shared" si="25"/>
        <v>0.62372881355932208</v>
      </c>
      <c r="D190" s="222" t="s">
        <v>667</v>
      </c>
      <c r="E190" s="223" t="s">
        <v>665</v>
      </c>
      <c r="F190" s="220">
        <v>11</v>
      </c>
      <c r="G190" s="220">
        <v>15</v>
      </c>
      <c r="H190" s="291">
        <f t="shared" si="19"/>
        <v>33.294359033528067</v>
      </c>
      <c r="I190" s="291">
        <f t="shared" si="20"/>
        <v>38.88772222222223</v>
      </c>
      <c r="J190" s="291">
        <f t="shared" si="21"/>
        <v>46.15455128205128</v>
      </c>
      <c r="K190" s="291">
        <f t="shared" si="22"/>
        <v>16.540948275862071</v>
      </c>
      <c r="L190" s="291">
        <f t="shared" si="29"/>
        <v>64.7</v>
      </c>
      <c r="M190" s="294">
        <v>65</v>
      </c>
      <c r="N190" s="291">
        <f t="shared" si="23"/>
        <v>57.119341563786023</v>
      </c>
      <c r="O190" s="296">
        <f t="shared" si="24"/>
        <v>44.491834211915332</v>
      </c>
    </row>
    <row r="191" spans="1:15">
      <c r="A191" s="220">
        <v>185</v>
      </c>
      <c r="B191" s="220">
        <v>174</v>
      </c>
      <c r="C191" s="221">
        <f t="shared" si="25"/>
        <v>0.6271186440677966</v>
      </c>
      <c r="D191" s="222" t="s">
        <v>679</v>
      </c>
      <c r="E191" s="223" t="s">
        <v>677</v>
      </c>
      <c r="F191" s="220">
        <v>2</v>
      </c>
      <c r="G191" s="220">
        <v>2</v>
      </c>
      <c r="H191" s="291">
        <f t="shared" si="19"/>
        <v>27.402570146446802</v>
      </c>
      <c r="I191" s="291">
        <f t="shared" si="20"/>
        <v>39.749999999999986</v>
      </c>
      <c r="J191" s="291">
        <f t="shared" si="21"/>
        <v>48.240448717948716</v>
      </c>
      <c r="K191" s="291">
        <f t="shared" si="22"/>
        <v>23.69919950738916</v>
      </c>
      <c r="L191" s="291">
        <f t="shared" si="29"/>
        <v>55.3</v>
      </c>
      <c r="M191" s="294">
        <v>55</v>
      </c>
      <c r="N191" s="291">
        <f t="shared" si="23"/>
        <v>65.493827160493822</v>
      </c>
      <c r="O191" s="296">
        <f t="shared" si="24"/>
        <v>44.213237774196692</v>
      </c>
    </row>
    <row r="192" spans="1:15">
      <c r="A192" s="220">
        <v>186</v>
      </c>
      <c r="B192" s="220">
        <v>175</v>
      </c>
      <c r="C192" s="221">
        <f t="shared" si="25"/>
        <v>0.63050847457627124</v>
      </c>
      <c r="D192" s="222" t="s">
        <v>607</v>
      </c>
      <c r="E192" s="223" t="s">
        <v>605</v>
      </c>
      <c r="F192" s="220">
        <v>5</v>
      </c>
      <c r="G192" s="220">
        <v>8</v>
      </c>
      <c r="H192" s="291">
        <f t="shared" si="19"/>
        <v>27.363492031129439</v>
      </c>
      <c r="I192" s="291">
        <f t="shared" si="20"/>
        <v>44.42733333333333</v>
      </c>
      <c r="J192" s="291">
        <f t="shared" si="21"/>
        <v>42.393717948717949</v>
      </c>
      <c r="K192" s="291">
        <f t="shared" si="22"/>
        <v>24.199507389162562</v>
      </c>
      <c r="L192" s="291">
        <f t="shared" si="29"/>
        <v>57.8</v>
      </c>
      <c r="M192" s="294">
        <v>65</v>
      </c>
      <c r="N192" s="291">
        <f t="shared" si="23"/>
        <v>58.271604938271601</v>
      </c>
      <c r="O192" s="296">
        <f t="shared" si="24"/>
        <v>44.147023944709979</v>
      </c>
    </row>
    <row r="193" spans="1:15">
      <c r="A193" s="220">
        <v>187</v>
      </c>
      <c r="B193" s="220">
        <v>176</v>
      </c>
      <c r="C193" s="221">
        <f t="shared" si="25"/>
        <v>0.63389830508474576</v>
      </c>
      <c r="D193" s="222" t="s">
        <v>106</v>
      </c>
      <c r="E193" s="223" t="s">
        <v>104</v>
      </c>
      <c r="F193" s="220">
        <v>7</v>
      </c>
      <c r="G193" s="220">
        <v>10</v>
      </c>
      <c r="H193" s="291">
        <f t="shared" si="19"/>
        <v>30.912045839622937</v>
      </c>
      <c r="I193" s="291">
        <f t="shared" si="20"/>
        <v>46.150000000000006</v>
      </c>
      <c r="J193" s="291">
        <f t="shared" si="21"/>
        <v>52.074871794871797</v>
      </c>
      <c r="K193" s="291">
        <f t="shared" si="22"/>
        <v>5.3571428571428568</v>
      </c>
      <c r="L193" s="291">
        <f t="shared" si="29"/>
        <v>60</v>
      </c>
      <c r="M193" s="294">
        <v>52</v>
      </c>
      <c r="N193" s="291">
        <f t="shared" si="23"/>
        <v>64.938271604938265</v>
      </c>
      <c r="O193" s="296">
        <f t="shared" si="24"/>
        <v>43.912666476396289</v>
      </c>
    </row>
    <row r="194" spans="1:15">
      <c r="A194" s="220">
        <v>188</v>
      </c>
      <c r="B194" s="220">
        <v>177</v>
      </c>
      <c r="C194" s="221">
        <f t="shared" si="25"/>
        <v>0.63728813559322028</v>
      </c>
      <c r="D194" s="222" t="s">
        <v>488</v>
      </c>
      <c r="E194" s="223" t="s">
        <v>486</v>
      </c>
      <c r="F194" s="220">
        <v>2</v>
      </c>
      <c r="G194" s="220">
        <v>1</v>
      </c>
      <c r="H194" s="291">
        <f t="shared" si="19"/>
        <v>29.74363589420858</v>
      </c>
      <c r="I194" s="291">
        <f t="shared" si="20"/>
        <v>45.469444444444449</v>
      </c>
      <c r="J194" s="291">
        <f t="shared" si="21"/>
        <v>50.445320512820516</v>
      </c>
      <c r="K194" s="291">
        <f t="shared" si="22"/>
        <v>18.226600985221676</v>
      </c>
      <c r="L194" s="291">
        <f t="shared" si="29"/>
        <v>41.3</v>
      </c>
      <c r="M194" s="294">
        <v>61</v>
      </c>
      <c r="N194" s="291">
        <f t="shared" si="23"/>
        <v>69.403292181069958</v>
      </c>
      <c r="O194" s="296">
        <f t="shared" si="24"/>
        <v>43.85973754119464</v>
      </c>
    </row>
    <row r="195" spans="1:15">
      <c r="A195" s="220">
        <v>189</v>
      </c>
      <c r="B195" s="220">
        <v>178</v>
      </c>
      <c r="C195" s="221">
        <f t="shared" si="25"/>
        <v>0.64067796610169492</v>
      </c>
      <c r="D195" s="222" t="s">
        <v>256</v>
      </c>
      <c r="E195" s="223" t="s">
        <v>254</v>
      </c>
      <c r="F195" s="220">
        <v>2</v>
      </c>
      <c r="G195" s="220">
        <v>3</v>
      </c>
      <c r="H195" s="291">
        <f t="shared" si="19"/>
        <v>36.125390101821822</v>
      </c>
      <c r="I195" s="291">
        <f t="shared" si="20"/>
        <v>50.75</v>
      </c>
      <c r="J195" s="291">
        <f t="shared" si="21"/>
        <v>54.895320512820511</v>
      </c>
      <c r="K195" s="291">
        <f t="shared" si="22"/>
        <v>17.564655172413794</v>
      </c>
      <c r="L195" s="291">
        <f>VLOOKUP(D195,ВПРдек, 24,FALSE)</f>
        <v>39.666666666666664</v>
      </c>
      <c r="M195" s="294">
        <v>58</v>
      </c>
      <c r="N195" s="291">
        <f t="shared" si="23"/>
        <v>55.679012345679013</v>
      </c>
      <c r="O195" s="296">
        <f t="shared" si="24"/>
        <v>43.643237661446427</v>
      </c>
    </row>
    <row r="196" spans="1:15">
      <c r="A196" s="220">
        <v>190</v>
      </c>
      <c r="B196" s="220">
        <v>179</v>
      </c>
      <c r="C196" s="221">
        <f t="shared" si="25"/>
        <v>0.64406779661016944</v>
      </c>
      <c r="D196" s="222" t="s">
        <v>542</v>
      </c>
      <c r="E196" s="223" t="s">
        <v>540</v>
      </c>
      <c r="F196" s="220">
        <v>1</v>
      </c>
      <c r="G196" s="220">
        <v>3</v>
      </c>
      <c r="H196" s="291">
        <f t="shared" si="19"/>
        <v>41.33663313680934</v>
      </c>
      <c r="I196" s="291">
        <f t="shared" si="20"/>
        <v>54.402333333333317</v>
      </c>
      <c r="J196" s="291">
        <f t="shared" si="21"/>
        <v>44.373717948717953</v>
      </c>
      <c r="K196" s="291">
        <f t="shared" si="22"/>
        <v>14.224137931034482</v>
      </c>
      <c r="L196" s="291">
        <f>VLOOKUP(D196,ВПРдек, 25,FALSE)</f>
        <v>58</v>
      </c>
      <c r="M196" s="294">
        <v>43.6</v>
      </c>
      <c r="N196" s="291">
        <f t="shared" si="23"/>
        <v>48.374485596707821</v>
      </c>
      <c r="O196" s="296">
        <f t="shared" si="24"/>
        <v>43.463278145631222</v>
      </c>
    </row>
    <row r="197" spans="1:15">
      <c r="A197" s="220">
        <v>191</v>
      </c>
      <c r="B197" s="220">
        <v>180</v>
      </c>
      <c r="C197" s="221">
        <f t="shared" si="25"/>
        <v>0.64745762711864407</v>
      </c>
      <c r="D197" s="222" t="s">
        <v>518</v>
      </c>
      <c r="E197" s="223" t="s">
        <v>516</v>
      </c>
      <c r="F197" s="220">
        <v>7</v>
      </c>
      <c r="G197" s="220">
        <v>10</v>
      </c>
      <c r="H197" s="291">
        <f t="shared" si="19"/>
        <v>21.742604201965435</v>
      </c>
      <c r="I197" s="291">
        <f t="shared" si="20"/>
        <v>52.975000000000009</v>
      </c>
      <c r="J197" s="291">
        <f t="shared" si="21"/>
        <v>36.1325</v>
      </c>
      <c r="K197" s="291">
        <f t="shared" si="22"/>
        <v>58.743842364532014</v>
      </c>
      <c r="L197" s="291">
        <f>VLOOKUP(D197,ВПРдек, 24,FALSE)</f>
        <v>35</v>
      </c>
      <c r="M197" s="294">
        <v>22</v>
      </c>
      <c r="N197" s="291">
        <f t="shared" si="23"/>
        <v>65.905349794238688</v>
      </c>
      <c r="O197" s="296">
        <f t="shared" si="24"/>
        <v>43.30758405549787</v>
      </c>
    </row>
    <row r="198" spans="1:15">
      <c r="A198" s="220">
        <v>192</v>
      </c>
      <c r="B198" s="220">
        <v>181</v>
      </c>
      <c r="C198" s="221">
        <f t="shared" si="25"/>
        <v>0.6508474576271186</v>
      </c>
      <c r="D198" s="222" t="s">
        <v>661</v>
      </c>
      <c r="E198" s="223" t="s">
        <v>659</v>
      </c>
      <c r="F198" s="220">
        <v>9</v>
      </c>
      <c r="G198" s="220">
        <v>16</v>
      </c>
      <c r="H198" s="291">
        <f t="shared" si="19"/>
        <v>34.113771280114896</v>
      </c>
      <c r="I198" s="291">
        <f t="shared" si="20"/>
        <v>58.772222222222211</v>
      </c>
      <c r="J198" s="291">
        <f t="shared" si="21"/>
        <v>48.27326923076923</v>
      </c>
      <c r="K198" s="291">
        <f t="shared" si="22"/>
        <v>15.674261083743843</v>
      </c>
      <c r="L198" s="291">
        <f>VLOOKUP(D198,ВПРдек, 25,FALSE)</f>
        <v>51.5</v>
      </c>
      <c r="M198" s="294">
        <v>51</v>
      </c>
      <c r="N198" s="291">
        <f t="shared" si="23"/>
        <v>47.325102880658434</v>
      </c>
      <c r="O198" s="296">
        <f t="shared" si="24"/>
        <v>43.255173338078251</v>
      </c>
    </row>
    <row r="199" spans="1:15">
      <c r="A199" s="220">
        <v>193</v>
      </c>
      <c r="B199" s="220">
        <v>182</v>
      </c>
      <c r="C199" s="221">
        <f t="shared" si="25"/>
        <v>0.65423728813559323</v>
      </c>
      <c r="D199" s="222" t="s">
        <v>804</v>
      </c>
      <c r="E199" s="223" t="s">
        <v>802</v>
      </c>
      <c r="F199" s="220">
        <v>10</v>
      </c>
      <c r="G199" s="220">
        <v>15</v>
      </c>
      <c r="H199" s="291">
        <f t="shared" ref="H199:H262" si="30">((VLOOKUP(D199, ВПРдек, 8, FALSE))*(0.4) + VLOOKUP(D199, матанВесна, 4,FALSE)*0.317*0.6) / (40+0.6*0.317*100) * 100</f>
        <v>29.879478289698554</v>
      </c>
      <c r="I199" s="291">
        <f t="shared" ref="I199:I262" si="31">(VLOOKUP(D199,ВПРдек, 11,FALSE) * 0.2 + VLOOKUP(E199, StatSpring, 18,FALSE) * 0.2) * 2.5</f>
        <v>34.456138888888894</v>
      </c>
      <c r="J199" s="291">
        <f t="shared" ref="J199:J262" si="32">VLOOKUP(D199, ВПРдек, 5, FALSE)</f>
        <v>35.404807692307692</v>
      </c>
      <c r="K199" s="291">
        <f t="shared" ref="K199:K262" si="33">VLOOKUP(E199, MacroSpring1, 8,FALSE)</f>
        <v>35.683497536945815</v>
      </c>
      <c r="L199" s="291">
        <f>VLOOKUP(D199,ВПРдек, 25,FALSE)</f>
        <v>67</v>
      </c>
      <c r="M199" s="294">
        <v>30</v>
      </c>
      <c r="N199" s="291">
        <f t="shared" ref="N199:N262" si="34">(VLOOKUP(D199, ВПРдек, 23,FALSE) * 0.25 + VLOOKUP(D199,EngMarch,2,FALSE) / 9 * 100 * 0.2) / 45 * 100</f>
        <v>62.942386831275719</v>
      </c>
      <c r="O199" s="296">
        <f t="shared" ref="O199:O262" si="35">(H199 +I199+J199+K199+L199+M199*0.5+N199)/6.5</f>
        <v>43.133278344479486</v>
      </c>
    </row>
    <row r="200" spans="1:15">
      <c r="A200" s="220">
        <v>194</v>
      </c>
      <c r="B200" s="220">
        <v>183</v>
      </c>
      <c r="C200" s="221">
        <f t="shared" ref="C200:C263" si="36">A200/295</f>
        <v>0.65762711864406775</v>
      </c>
      <c r="D200" s="222" t="s">
        <v>554</v>
      </c>
      <c r="E200" s="223" t="s">
        <v>552</v>
      </c>
      <c r="F200" s="220">
        <v>8</v>
      </c>
      <c r="G200" s="220">
        <v>10</v>
      </c>
      <c r="H200" s="291">
        <f t="shared" si="30"/>
        <v>23.312814318938109</v>
      </c>
      <c r="I200" s="291">
        <f t="shared" si="31"/>
        <v>44.902777777777764</v>
      </c>
      <c r="J200" s="291">
        <f t="shared" si="32"/>
        <v>50.51660256410257</v>
      </c>
      <c r="K200" s="291">
        <f t="shared" si="33"/>
        <v>18.673029556650246</v>
      </c>
      <c r="L200" s="291">
        <f>VLOOKUP(D200,ВПРдек, 25,FALSE)</f>
        <v>54.7</v>
      </c>
      <c r="M200" s="294">
        <v>36</v>
      </c>
      <c r="N200" s="291">
        <f t="shared" si="34"/>
        <v>69.91769547325103</v>
      </c>
      <c r="O200" s="296">
        <f t="shared" si="35"/>
        <v>43.080449183187653</v>
      </c>
    </row>
    <row r="201" spans="1:15">
      <c r="A201" s="220">
        <v>195</v>
      </c>
      <c r="B201" s="220">
        <v>184</v>
      </c>
      <c r="C201" s="221">
        <f t="shared" si="36"/>
        <v>0.66101694915254239</v>
      </c>
      <c r="D201" s="222" t="s">
        <v>169</v>
      </c>
      <c r="E201" s="223" t="s">
        <v>167</v>
      </c>
      <c r="F201" s="220">
        <v>11</v>
      </c>
      <c r="G201" s="220">
        <v>5</v>
      </c>
      <c r="H201" s="291">
        <f t="shared" si="30"/>
        <v>40.572520182365054</v>
      </c>
      <c r="I201" s="291">
        <f t="shared" si="31"/>
        <v>53.541666666666657</v>
      </c>
      <c r="J201" s="291">
        <f t="shared" si="32"/>
        <v>56.40519230769231</v>
      </c>
      <c r="K201" s="291">
        <f t="shared" si="33"/>
        <v>12.915640394088671</v>
      </c>
      <c r="L201" s="291">
        <f>VLOOKUP(D201,ВПРдек, 24,FALSE)</f>
        <v>35</v>
      </c>
      <c r="M201" s="294">
        <v>59</v>
      </c>
      <c r="N201" s="291">
        <f t="shared" si="34"/>
        <v>49.074074074074083</v>
      </c>
      <c r="O201" s="296">
        <f t="shared" si="35"/>
        <v>42.616783634597972</v>
      </c>
    </row>
    <row r="202" spans="1:15">
      <c r="A202" s="220">
        <v>196</v>
      </c>
      <c r="B202" s="220">
        <v>185</v>
      </c>
      <c r="C202" s="221">
        <f t="shared" si="36"/>
        <v>0.66440677966101691</v>
      </c>
      <c r="D202" s="222" t="s">
        <v>551</v>
      </c>
      <c r="E202" s="223" t="s">
        <v>549</v>
      </c>
      <c r="F202" s="220">
        <v>7</v>
      </c>
      <c r="G202" s="220">
        <v>10</v>
      </c>
      <c r="H202" s="291">
        <f t="shared" si="30"/>
        <v>19.445442208305646</v>
      </c>
      <c r="I202" s="291">
        <f t="shared" si="31"/>
        <v>59.338888888888903</v>
      </c>
      <c r="J202" s="291">
        <f t="shared" si="32"/>
        <v>51</v>
      </c>
      <c r="K202" s="291">
        <f t="shared" si="33"/>
        <v>21.61330049261084</v>
      </c>
      <c r="L202" s="291">
        <f>VLOOKUP(D202,ВПРдек, 25,FALSE)</f>
        <v>40</v>
      </c>
      <c r="M202" s="294">
        <v>50</v>
      </c>
      <c r="N202" s="291">
        <f t="shared" si="34"/>
        <v>59.835390946502066</v>
      </c>
      <c r="O202" s="296">
        <f t="shared" si="35"/>
        <v>42.497388082508841</v>
      </c>
    </row>
    <row r="203" spans="1:15">
      <c r="A203" s="220">
        <v>197</v>
      </c>
      <c r="B203" s="220">
        <v>186</v>
      </c>
      <c r="C203" s="221">
        <f t="shared" si="36"/>
        <v>0.66779661016949154</v>
      </c>
      <c r="D203" s="222" t="s">
        <v>400</v>
      </c>
      <c r="E203" s="223" t="s">
        <v>398</v>
      </c>
      <c r="F203" s="220">
        <v>11</v>
      </c>
      <c r="G203" s="220">
        <v>14</v>
      </c>
      <c r="H203" s="291">
        <f t="shared" si="30"/>
        <v>26.995529064138523</v>
      </c>
      <c r="I203" s="291">
        <f t="shared" si="31"/>
        <v>41.57427777777778</v>
      </c>
      <c r="J203" s="291">
        <f t="shared" si="32"/>
        <v>39.997564102564098</v>
      </c>
      <c r="K203" s="291">
        <f t="shared" si="33"/>
        <v>30.680418719211822</v>
      </c>
      <c r="L203" s="291">
        <f>VLOOKUP(D203,ВПРдек, 25,FALSE)</f>
        <v>52.4</v>
      </c>
      <c r="M203" s="294">
        <v>38</v>
      </c>
      <c r="N203" s="291">
        <f t="shared" si="34"/>
        <v>65.411522633744852</v>
      </c>
      <c r="O203" s="296">
        <f t="shared" si="35"/>
        <v>42.470663430374934</v>
      </c>
    </row>
    <row r="204" spans="1:15">
      <c r="A204" s="220">
        <v>198</v>
      </c>
      <c r="B204" s="220">
        <v>187</v>
      </c>
      <c r="C204" s="221">
        <f t="shared" si="36"/>
        <v>0.67118644067796607</v>
      </c>
      <c r="D204" s="222" t="s">
        <v>325</v>
      </c>
      <c r="E204" s="223" t="s">
        <v>323</v>
      </c>
      <c r="F204" s="220">
        <v>7</v>
      </c>
      <c r="G204" s="220">
        <v>12</v>
      </c>
      <c r="H204" s="291">
        <f t="shared" si="30"/>
        <v>31.607242204687143</v>
      </c>
      <c r="I204" s="291">
        <f t="shared" si="31"/>
        <v>42.852777777777774</v>
      </c>
      <c r="J204" s="291">
        <f t="shared" si="32"/>
        <v>35.693141025641026</v>
      </c>
      <c r="K204" s="291">
        <f t="shared" si="33"/>
        <v>27.955665024630541</v>
      </c>
      <c r="L204" s="291">
        <f>VLOOKUP(D204,ВПРдек, 24,FALSE)</f>
        <v>57</v>
      </c>
      <c r="M204" s="294">
        <v>41</v>
      </c>
      <c r="N204" s="291">
        <f t="shared" si="34"/>
        <v>59.91769547325103</v>
      </c>
      <c r="O204" s="296">
        <f t="shared" si="35"/>
        <v>42.388695616305768</v>
      </c>
    </row>
    <row r="205" spans="1:15">
      <c r="A205" s="220">
        <v>199</v>
      </c>
      <c r="B205" s="220">
        <v>188</v>
      </c>
      <c r="C205" s="221">
        <f t="shared" si="36"/>
        <v>0.6745762711864407</v>
      </c>
      <c r="D205" s="222" t="s">
        <v>914</v>
      </c>
      <c r="E205" s="223" t="s">
        <v>912</v>
      </c>
      <c r="F205" s="220">
        <v>8</v>
      </c>
      <c r="G205" s="220">
        <v>12</v>
      </c>
      <c r="H205" s="291">
        <f t="shared" si="30"/>
        <v>41.907676304201878</v>
      </c>
      <c r="I205" s="291">
        <f t="shared" si="31"/>
        <v>47.675000000000011</v>
      </c>
      <c r="J205" s="291">
        <f t="shared" si="32"/>
        <v>36.613589743589742</v>
      </c>
      <c r="K205" s="291">
        <f t="shared" si="33"/>
        <v>37.03817733990148</v>
      </c>
      <c r="L205" s="291">
        <f>VLOOKUP(D205,ВПРдек, 25,FALSE)</f>
        <v>35.6</v>
      </c>
      <c r="M205" s="294">
        <v>45</v>
      </c>
      <c r="N205" s="291">
        <f t="shared" si="34"/>
        <v>53.76543209876543</v>
      </c>
      <c r="O205" s="296">
        <f t="shared" si="35"/>
        <v>42.323057767147468</v>
      </c>
    </row>
    <row r="206" spans="1:15">
      <c r="A206" s="220">
        <v>200</v>
      </c>
      <c r="B206" s="220">
        <v>189</v>
      </c>
      <c r="C206" s="221">
        <f t="shared" si="36"/>
        <v>0.67796610169491522</v>
      </c>
      <c r="D206" s="222" t="s">
        <v>476</v>
      </c>
      <c r="E206" s="223" t="s">
        <v>474</v>
      </c>
      <c r="F206" s="220">
        <v>4</v>
      </c>
      <c r="G206" s="220">
        <v>5</v>
      </c>
      <c r="H206" s="291">
        <f t="shared" si="30"/>
        <v>43.905910624941477</v>
      </c>
      <c r="I206" s="291">
        <f t="shared" si="31"/>
        <v>32.010083333333334</v>
      </c>
      <c r="J206" s="291">
        <f t="shared" si="32"/>
        <v>61.924615384615386</v>
      </c>
      <c r="K206" s="291">
        <f t="shared" si="33"/>
        <v>8.6514778325123149</v>
      </c>
      <c r="L206" s="291">
        <f>VLOOKUP(D206,ВПРдек, 25,FALSE)</f>
        <v>52</v>
      </c>
      <c r="M206" s="294">
        <v>39</v>
      </c>
      <c r="N206" s="291">
        <f t="shared" si="34"/>
        <v>56.975308641975317</v>
      </c>
      <c r="O206" s="296">
        <f t="shared" si="35"/>
        <v>42.302676279596582</v>
      </c>
    </row>
    <row r="207" spans="1:15">
      <c r="A207" s="220">
        <v>201</v>
      </c>
      <c r="B207" s="220">
        <v>190</v>
      </c>
      <c r="C207" s="221">
        <f t="shared" si="36"/>
        <v>0.68135593220338986</v>
      </c>
      <c r="D207" s="222" t="s">
        <v>482</v>
      </c>
      <c r="E207" s="223" t="s">
        <v>480</v>
      </c>
      <c r="F207" s="220" t="s">
        <v>1002</v>
      </c>
      <c r="G207" s="220" t="s">
        <v>2059</v>
      </c>
      <c r="H207" s="291">
        <f t="shared" si="30"/>
        <v>76.973268700713632</v>
      </c>
      <c r="I207" s="291">
        <f t="shared" si="31"/>
        <v>55.412722222222243</v>
      </c>
      <c r="J207" s="291">
        <f t="shared" si="32"/>
        <v>18.307564102564104</v>
      </c>
      <c r="K207" s="291">
        <f t="shared" si="33"/>
        <v>6.6964285714285712</v>
      </c>
      <c r="L207" s="291">
        <f>VLOOKUP(D207,ВПРдек, 25,FALSE)</f>
        <v>41</v>
      </c>
      <c r="M207" s="294">
        <v>43</v>
      </c>
      <c r="N207" s="291">
        <f t="shared" si="34"/>
        <v>54.89711934156378</v>
      </c>
      <c r="O207" s="296">
        <f t="shared" si="35"/>
        <v>42.274938913614207</v>
      </c>
    </row>
    <row r="208" spans="1:15">
      <c r="A208" s="220">
        <v>202</v>
      </c>
      <c r="B208" s="220">
        <v>191</v>
      </c>
      <c r="C208" s="221">
        <f t="shared" si="36"/>
        <v>0.68474576271186438</v>
      </c>
      <c r="D208" s="222" t="s">
        <v>64</v>
      </c>
      <c r="E208" s="223" t="s">
        <v>62</v>
      </c>
      <c r="F208" s="220">
        <v>5</v>
      </c>
      <c r="G208" s="220">
        <v>7</v>
      </c>
      <c r="H208" s="291">
        <f t="shared" si="30"/>
        <v>21.593230599205114</v>
      </c>
      <c r="I208" s="291">
        <f t="shared" si="31"/>
        <v>39.800444444444445</v>
      </c>
      <c r="J208" s="291">
        <f t="shared" si="32"/>
        <v>43.840769230769226</v>
      </c>
      <c r="K208" s="291">
        <f t="shared" si="33"/>
        <v>24.341133004926107</v>
      </c>
      <c r="L208" s="291">
        <f>VLOOKUP(D208,ВПРдек, 25,FALSE)</f>
        <v>59.3</v>
      </c>
      <c r="M208" s="294">
        <v>31</v>
      </c>
      <c r="N208" s="291">
        <f t="shared" si="34"/>
        <v>70.061728395061735</v>
      </c>
      <c r="O208" s="296">
        <f t="shared" si="35"/>
        <v>42.221123949908709</v>
      </c>
    </row>
    <row r="209" spans="1:15">
      <c r="A209" s="220">
        <v>203</v>
      </c>
      <c r="B209" s="220">
        <v>192</v>
      </c>
      <c r="C209" s="221">
        <f t="shared" si="36"/>
        <v>0.68813559322033901</v>
      </c>
      <c r="D209" s="222" t="s">
        <v>449</v>
      </c>
      <c r="E209" s="223" t="s">
        <v>447</v>
      </c>
      <c r="F209" s="220">
        <v>11</v>
      </c>
      <c r="G209" s="220">
        <v>16</v>
      </c>
      <c r="H209" s="291">
        <f t="shared" si="30"/>
        <v>27.915239296691279</v>
      </c>
      <c r="I209" s="291">
        <f t="shared" si="31"/>
        <v>47.348250000000007</v>
      </c>
      <c r="J209" s="291">
        <f t="shared" si="32"/>
        <v>41.217307692307692</v>
      </c>
      <c r="K209" s="291">
        <f t="shared" si="33"/>
        <v>22.167487684729064</v>
      </c>
      <c r="L209" s="291">
        <f>VLOOKUP(D209,ВПРдек, 25,FALSE)</f>
        <v>57.5</v>
      </c>
      <c r="M209" s="294">
        <v>53</v>
      </c>
      <c r="N209" s="291">
        <f t="shared" si="34"/>
        <v>51.111111111111107</v>
      </c>
      <c r="O209" s="296">
        <f t="shared" si="35"/>
        <v>42.116830120744481</v>
      </c>
    </row>
    <row r="210" spans="1:15">
      <c r="A210" s="220">
        <v>204</v>
      </c>
      <c r="B210" s="220">
        <v>193</v>
      </c>
      <c r="C210" s="221">
        <f t="shared" si="36"/>
        <v>0.69152542372881354</v>
      </c>
      <c r="D210" s="222" t="s">
        <v>331</v>
      </c>
      <c r="E210" s="223" t="s">
        <v>329</v>
      </c>
      <c r="F210" s="220">
        <v>4</v>
      </c>
      <c r="G210" s="220">
        <v>6</v>
      </c>
      <c r="H210" s="291">
        <f t="shared" si="30"/>
        <v>33.675655555038816</v>
      </c>
      <c r="I210" s="291">
        <f t="shared" si="31"/>
        <v>46.319305555555559</v>
      </c>
      <c r="J210" s="291">
        <f t="shared" si="32"/>
        <v>36.002499999999998</v>
      </c>
      <c r="K210" s="291">
        <f t="shared" si="33"/>
        <v>23.331280788177342</v>
      </c>
      <c r="L210" s="291">
        <f>VLOOKUP(D210,ВПРдек, 24,FALSE)</f>
        <v>56.333333333333329</v>
      </c>
      <c r="M210" s="294">
        <v>49</v>
      </c>
      <c r="N210" s="291">
        <f t="shared" si="34"/>
        <v>53.18930041152263</v>
      </c>
      <c r="O210" s="296">
        <f t="shared" si="35"/>
        <v>42.054057791327338</v>
      </c>
    </row>
    <row r="211" spans="1:15">
      <c r="A211" s="220">
        <v>205</v>
      </c>
      <c r="B211" s="220">
        <v>194</v>
      </c>
      <c r="C211" s="221">
        <f t="shared" si="36"/>
        <v>0.69491525423728817</v>
      </c>
      <c r="D211" s="222" t="s">
        <v>869</v>
      </c>
      <c r="E211" s="223" t="s">
        <v>867</v>
      </c>
      <c r="F211" s="220">
        <v>5</v>
      </c>
      <c r="G211" s="220">
        <v>7</v>
      </c>
      <c r="H211" s="291">
        <f t="shared" si="30"/>
        <v>25.54150973982976</v>
      </c>
      <c r="I211" s="291">
        <f t="shared" si="31"/>
        <v>34.344000000000001</v>
      </c>
      <c r="J211" s="291">
        <f t="shared" si="32"/>
        <v>42.027115384615385</v>
      </c>
      <c r="K211" s="291">
        <f t="shared" si="33"/>
        <v>15.902093596059114</v>
      </c>
      <c r="L211" s="291">
        <f>VLOOKUP(D211,ВПРдек, 25,FALSE)</f>
        <v>72</v>
      </c>
      <c r="M211" s="294">
        <v>37</v>
      </c>
      <c r="N211" s="291">
        <f t="shared" si="34"/>
        <v>64.609053497942398</v>
      </c>
      <c r="O211" s="296">
        <f t="shared" si="35"/>
        <v>41.988272648991789</v>
      </c>
    </row>
    <row r="212" spans="1:15">
      <c r="A212" s="220">
        <v>206</v>
      </c>
      <c r="B212" s="220">
        <v>195</v>
      </c>
      <c r="C212" s="221">
        <f t="shared" si="36"/>
        <v>0.69830508474576269</v>
      </c>
      <c r="D212" s="222" t="s">
        <v>832</v>
      </c>
      <c r="E212" s="223" t="s">
        <v>830</v>
      </c>
      <c r="F212" s="220">
        <v>9</v>
      </c>
      <c r="G212" s="220">
        <v>13</v>
      </c>
      <c r="H212" s="291">
        <f t="shared" si="30"/>
        <v>29.927731407114671</v>
      </c>
      <c r="I212" s="291">
        <f t="shared" si="31"/>
        <v>44.663444444444451</v>
      </c>
      <c r="J212" s="291">
        <f t="shared" si="32"/>
        <v>51.244102564102562</v>
      </c>
      <c r="K212" s="291">
        <f t="shared" si="33"/>
        <v>14.901477832512315</v>
      </c>
      <c r="L212" s="291">
        <f>VLOOKUP(D212,ВПРдек, 25,FALSE)</f>
        <v>41.4</v>
      </c>
      <c r="M212" s="294">
        <v>46</v>
      </c>
      <c r="N212" s="291">
        <f t="shared" si="34"/>
        <v>65.823045267489704</v>
      </c>
      <c r="O212" s="296">
        <f t="shared" si="35"/>
        <v>41.686123310102104</v>
      </c>
    </row>
    <row r="213" spans="1:15">
      <c r="A213" s="220">
        <v>207</v>
      </c>
      <c r="B213" s="220">
        <v>196</v>
      </c>
      <c r="C213" s="221">
        <f t="shared" si="36"/>
        <v>0.70169491525423733</v>
      </c>
      <c r="D213" s="222" t="s">
        <v>844</v>
      </c>
      <c r="E213" s="223" t="s">
        <v>1895</v>
      </c>
      <c r="F213" s="220">
        <v>10</v>
      </c>
      <c r="G213" s="220">
        <v>15</v>
      </c>
      <c r="H213" s="291">
        <f t="shared" si="30"/>
        <v>26.431108289654549</v>
      </c>
      <c r="I213" s="291">
        <f t="shared" si="31"/>
        <v>50.202916666666688</v>
      </c>
      <c r="J213" s="291">
        <f t="shared" si="32"/>
        <v>41.500064102564103</v>
      </c>
      <c r="K213" s="291">
        <f t="shared" si="33"/>
        <v>12.807881773399014</v>
      </c>
      <c r="L213" s="291">
        <f>VLOOKUP(D213,ВПРдек, 24,FALSE)</f>
        <v>66.333333333333343</v>
      </c>
      <c r="M213" s="294">
        <v>35</v>
      </c>
      <c r="N213" s="291">
        <f t="shared" si="34"/>
        <v>55.761316872427983</v>
      </c>
      <c r="O213" s="296">
        <f t="shared" si="35"/>
        <v>41.621018621237795</v>
      </c>
    </row>
    <row r="214" spans="1:15">
      <c r="A214" s="220">
        <v>208</v>
      </c>
      <c r="B214" s="220">
        <v>197</v>
      </c>
      <c r="C214" s="221">
        <f t="shared" si="36"/>
        <v>0.70508474576271185</v>
      </c>
      <c r="D214" s="222" t="s">
        <v>506</v>
      </c>
      <c r="E214" s="223" t="s">
        <v>504</v>
      </c>
      <c r="F214" s="220">
        <v>6</v>
      </c>
      <c r="G214" s="220">
        <v>9</v>
      </c>
      <c r="H214" s="291">
        <f t="shared" si="30"/>
        <v>34.150854059124462</v>
      </c>
      <c r="I214" s="291">
        <f t="shared" si="31"/>
        <v>36.656500000000023</v>
      </c>
      <c r="J214" s="291">
        <f t="shared" si="32"/>
        <v>35.204743589743586</v>
      </c>
      <c r="K214" s="291">
        <f t="shared" si="33"/>
        <v>26.308497536945815</v>
      </c>
      <c r="L214" s="291">
        <f t="shared" ref="L214:L229" si="37">VLOOKUP(D214,ВПРдек, 25,FALSE)</f>
        <v>62</v>
      </c>
      <c r="M214" s="294">
        <v>51</v>
      </c>
      <c r="N214" s="291">
        <f t="shared" si="34"/>
        <v>49.52674897119342</v>
      </c>
      <c r="O214" s="296">
        <f t="shared" si="35"/>
        <v>41.438052947231888</v>
      </c>
    </row>
    <row r="215" spans="1:15">
      <c r="A215" s="220">
        <v>209</v>
      </c>
      <c r="B215" s="220">
        <v>198</v>
      </c>
      <c r="C215" s="221">
        <f t="shared" si="36"/>
        <v>0.70847457627118648</v>
      </c>
      <c r="D215" s="222" t="s">
        <v>676</v>
      </c>
      <c r="E215" s="223" t="s">
        <v>674</v>
      </c>
      <c r="F215" s="220">
        <v>5</v>
      </c>
      <c r="G215" s="220">
        <v>7</v>
      </c>
      <c r="H215" s="291">
        <f t="shared" si="30"/>
        <v>27.540424259565022</v>
      </c>
      <c r="I215" s="291">
        <f t="shared" si="31"/>
        <v>53.385527777777767</v>
      </c>
      <c r="J215" s="291">
        <f t="shared" si="32"/>
        <v>55.052692307692304</v>
      </c>
      <c r="K215" s="291">
        <f t="shared" si="33"/>
        <v>14.879926108374384</v>
      </c>
      <c r="L215" s="291">
        <f t="shared" si="37"/>
        <v>36.799999999999997</v>
      </c>
      <c r="M215" s="294">
        <v>39</v>
      </c>
      <c r="N215" s="291">
        <f t="shared" si="34"/>
        <v>61.99588477366256</v>
      </c>
      <c r="O215" s="296">
        <f t="shared" si="35"/>
        <v>41.408377727241856</v>
      </c>
    </row>
    <row r="216" spans="1:15">
      <c r="A216" s="220">
        <v>210</v>
      </c>
      <c r="B216" s="220">
        <v>199</v>
      </c>
      <c r="C216" s="221">
        <f t="shared" si="36"/>
        <v>0.71186440677966101</v>
      </c>
      <c r="D216" s="222" t="s">
        <v>280</v>
      </c>
      <c r="E216" s="223" t="s">
        <v>278</v>
      </c>
      <c r="F216" s="220">
        <v>8</v>
      </c>
      <c r="G216" s="220">
        <v>12</v>
      </c>
      <c r="H216" s="291">
        <f t="shared" si="30"/>
        <v>30.984159710736854</v>
      </c>
      <c r="I216" s="291">
        <f t="shared" si="31"/>
        <v>51.374999999999993</v>
      </c>
      <c r="J216" s="291">
        <f t="shared" si="32"/>
        <v>49.239358974358971</v>
      </c>
      <c r="K216" s="291">
        <f t="shared" si="33"/>
        <v>31.222290640394093</v>
      </c>
      <c r="L216" s="291">
        <f t="shared" si="37"/>
        <v>19.5</v>
      </c>
      <c r="M216" s="294">
        <v>43</v>
      </c>
      <c r="N216" s="291">
        <f t="shared" si="34"/>
        <v>65.041152263374485</v>
      </c>
      <c r="O216" s="296">
        <f t="shared" si="35"/>
        <v>41.363378705979137</v>
      </c>
    </row>
    <row r="217" spans="1:15">
      <c r="A217" s="220">
        <v>211</v>
      </c>
      <c r="B217" s="220">
        <v>200</v>
      </c>
      <c r="C217" s="221">
        <f t="shared" si="36"/>
        <v>0.71525423728813564</v>
      </c>
      <c r="D217" s="222" t="s">
        <v>863</v>
      </c>
      <c r="E217" s="223" t="s">
        <v>861</v>
      </c>
      <c r="F217" s="220" t="s">
        <v>1002</v>
      </c>
      <c r="G217" s="220" t="s">
        <v>2059</v>
      </c>
      <c r="H217" s="291">
        <f t="shared" si="30"/>
        <v>46.395856931760015</v>
      </c>
      <c r="I217" s="291">
        <f t="shared" si="31"/>
        <v>44.968277777777779</v>
      </c>
      <c r="J217" s="291">
        <f t="shared" si="32"/>
        <v>31.160384615384615</v>
      </c>
      <c r="K217" s="291">
        <f t="shared" si="33"/>
        <v>16.443965517241377</v>
      </c>
      <c r="L217" s="291">
        <f t="shared" si="37"/>
        <v>32.5</v>
      </c>
      <c r="M217" s="294">
        <v>39</v>
      </c>
      <c r="N217" s="291">
        <f t="shared" si="34"/>
        <v>76.790123456790127</v>
      </c>
      <c r="O217" s="296">
        <f t="shared" si="35"/>
        <v>41.193632045992906</v>
      </c>
    </row>
    <row r="218" spans="1:15">
      <c r="A218" s="220">
        <v>212</v>
      </c>
      <c r="B218" s="220">
        <v>201</v>
      </c>
      <c r="C218" s="221">
        <f t="shared" si="36"/>
        <v>0.71864406779661016</v>
      </c>
      <c r="D218" s="222" t="s">
        <v>124</v>
      </c>
      <c r="E218" s="223" t="s">
        <v>122</v>
      </c>
      <c r="F218" s="220">
        <v>11</v>
      </c>
      <c r="G218" s="220">
        <v>16</v>
      </c>
      <c r="H218" s="291">
        <f t="shared" si="30"/>
        <v>30.790042805945895</v>
      </c>
      <c r="I218" s="291">
        <f t="shared" si="31"/>
        <v>36.12433333333334</v>
      </c>
      <c r="J218" s="291">
        <f t="shared" si="32"/>
        <v>48.45878205128205</v>
      </c>
      <c r="K218" s="291">
        <f t="shared" si="33"/>
        <v>21.875</v>
      </c>
      <c r="L218" s="291">
        <f t="shared" si="37"/>
        <v>52.2</v>
      </c>
      <c r="M218" s="294">
        <v>42</v>
      </c>
      <c r="N218" s="291">
        <f t="shared" si="34"/>
        <v>57.304526748971199</v>
      </c>
      <c r="O218" s="296">
        <f t="shared" si="35"/>
        <v>41.192720759928079</v>
      </c>
    </row>
    <row r="219" spans="1:15">
      <c r="A219" s="220">
        <v>213</v>
      </c>
      <c r="B219" s="220">
        <v>202</v>
      </c>
      <c r="C219" s="221">
        <f t="shared" si="36"/>
        <v>0.7220338983050848</v>
      </c>
      <c r="D219" s="222" t="s">
        <v>917</v>
      </c>
      <c r="E219" s="223" t="s">
        <v>915</v>
      </c>
      <c r="F219" s="220">
        <v>9</v>
      </c>
      <c r="G219" s="220">
        <v>15</v>
      </c>
      <c r="H219" s="291">
        <f t="shared" si="30"/>
        <v>34.515423846833542</v>
      </c>
      <c r="I219" s="291">
        <f t="shared" si="31"/>
        <v>48.255694444444444</v>
      </c>
      <c r="J219" s="291">
        <f t="shared" si="32"/>
        <v>35.391282051282047</v>
      </c>
      <c r="K219" s="291">
        <f t="shared" si="33"/>
        <v>16.268472906403943</v>
      </c>
      <c r="L219" s="291">
        <f t="shared" si="37"/>
        <v>53</v>
      </c>
      <c r="M219" s="294">
        <v>45</v>
      </c>
      <c r="N219" s="291">
        <f t="shared" si="34"/>
        <v>57.160493827160494</v>
      </c>
      <c r="O219" s="296">
        <f t="shared" si="35"/>
        <v>41.090979550172996</v>
      </c>
    </row>
    <row r="220" spans="1:15">
      <c r="A220" s="220">
        <v>214</v>
      </c>
      <c r="B220" s="220" t="s">
        <v>1993</v>
      </c>
      <c r="C220" s="221">
        <f t="shared" si="36"/>
        <v>0.72542372881355932</v>
      </c>
      <c r="D220" s="222" t="s">
        <v>437</v>
      </c>
      <c r="E220" s="223" t="s">
        <v>435</v>
      </c>
      <c r="F220" s="220">
        <v>1</v>
      </c>
      <c r="G220" s="220">
        <v>2</v>
      </c>
      <c r="H220" s="291">
        <f t="shared" si="30"/>
        <v>30.706945531218661</v>
      </c>
      <c r="I220" s="291">
        <f t="shared" si="31"/>
        <v>41.430194444444446</v>
      </c>
      <c r="J220" s="291">
        <f t="shared" si="32"/>
        <v>53.4325641025641</v>
      </c>
      <c r="K220" s="291">
        <f t="shared" si="33"/>
        <v>12.084359605911331</v>
      </c>
      <c r="L220" s="291">
        <f t="shared" si="37"/>
        <v>49</v>
      </c>
      <c r="M220" s="294">
        <v>47</v>
      </c>
      <c r="N220" s="291">
        <f t="shared" si="34"/>
        <v>56.460905349794245</v>
      </c>
      <c r="O220" s="296">
        <f t="shared" si="35"/>
        <v>41.017687543681966</v>
      </c>
    </row>
    <row r="221" spans="1:15">
      <c r="A221" s="220">
        <v>215</v>
      </c>
      <c r="B221" s="220">
        <v>203</v>
      </c>
      <c r="C221" s="221">
        <f t="shared" si="36"/>
        <v>0.72881355932203384</v>
      </c>
      <c r="D221" s="222" t="s">
        <v>427</v>
      </c>
      <c r="E221" s="223" t="s">
        <v>425</v>
      </c>
      <c r="F221" s="220">
        <v>10</v>
      </c>
      <c r="G221" s="220">
        <v>16</v>
      </c>
      <c r="H221" s="291">
        <f t="shared" si="30"/>
        <v>41.649755662839361</v>
      </c>
      <c r="I221" s="291">
        <f t="shared" si="31"/>
        <v>43.509277777777775</v>
      </c>
      <c r="J221" s="291">
        <f t="shared" si="32"/>
        <v>52.114935897435899</v>
      </c>
      <c r="K221" s="291">
        <f t="shared" si="33"/>
        <v>23.072660098522167</v>
      </c>
      <c r="L221" s="291">
        <f t="shared" si="37"/>
        <v>39</v>
      </c>
      <c r="M221" s="294">
        <v>35</v>
      </c>
      <c r="N221" s="291">
        <f t="shared" si="34"/>
        <v>49.547325102880663</v>
      </c>
      <c r="O221" s="296">
        <f t="shared" si="35"/>
        <v>40.983685313762443</v>
      </c>
    </row>
    <row r="222" spans="1:15">
      <c r="A222" s="220">
        <v>216</v>
      </c>
      <c r="B222" s="220">
        <v>204</v>
      </c>
      <c r="C222" s="221">
        <f t="shared" si="36"/>
        <v>0.73220338983050848</v>
      </c>
      <c r="D222" s="222" t="s">
        <v>79</v>
      </c>
      <c r="E222" s="223" t="s">
        <v>77</v>
      </c>
      <c r="F222" s="220">
        <v>6</v>
      </c>
      <c r="G222" s="220">
        <v>9</v>
      </c>
      <c r="H222" s="291">
        <f t="shared" si="30"/>
        <v>28.242774494459621</v>
      </c>
      <c r="I222" s="291">
        <f t="shared" si="31"/>
        <v>36.474333333333334</v>
      </c>
      <c r="J222" s="291">
        <f t="shared" si="32"/>
        <v>35.314038461538459</v>
      </c>
      <c r="K222" s="291">
        <f t="shared" si="33"/>
        <v>26.463977832512313</v>
      </c>
      <c r="L222" s="291">
        <f t="shared" si="37"/>
        <v>67</v>
      </c>
      <c r="M222" s="294">
        <v>42</v>
      </c>
      <c r="N222" s="291">
        <f t="shared" si="34"/>
        <v>51.625514403292186</v>
      </c>
      <c r="O222" s="296">
        <f t="shared" si="35"/>
        <v>40.941636696174754</v>
      </c>
    </row>
    <row r="223" spans="1:15">
      <c r="A223" s="220">
        <v>217</v>
      </c>
      <c r="B223" s="220">
        <v>205</v>
      </c>
      <c r="C223" s="221">
        <f t="shared" si="36"/>
        <v>0.735593220338983</v>
      </c>
      <c r="D223" s="222" t="s">
        <v>708</v>
      </c>
      <c r="E223" s="223" t="s">
        <v>706</v>
      </c>
      <c r="F223" s="220">
        <v>6</v>
      </c>
      <c r="G223" s="220">
        <v>8</v>
      </c>
      <c r="H223" s="291">
        <f t="shared" si="30"/>
        <v>22.073977804121082</v>
      </c>
      <c r="I223" s="291">
        <f t="shared" si="31"/>
        <v>46.914833333333334</v>
      </c>
      <c r="J223" s="291">
        <f t="shared" si="32"/>
        <v>46.432500000000005</v>
      </c>
      <c r="K223" s="291">
        <f t="shared" si="33"/>
        <v>37.73091133004926</v>
      </c>
      <c r="L223" s="291">
        <f t="shared" si="37"/>
        <v>47.5</v>
      </c>
      <c r="M223" s="294">
        <v>45</v>
      </c>
      <c r="N223" s="291">
        <f t="shared" si="34"/>
        <v>42.962962962962969</v>
      </c>
      <c r="O223" s="296">
        <f t="shared" si="35"/>
        <v>40.940797758533336</v>
      </c>
    </row>
    <row r="224" spans="1:15">
      <c r="A224" s="220">
        <v>218</v>
      </c>
      <c r="B224" s="220">
        <v>206</v>
      </c>
      <c r="C224" s="221">
        <f t="shared" si="36"/>
        <v>0.73898305084745763</v>
      </c>
      <c r="D224" s="222" t="s">
        <v>580</v>
      </c>
      <c r="E224" s="223" t="s">
        <v>578</v>
      </c>
      <c r="F224" s="220">
        <v>6</v>
      </c>
      <c r="G224" s="220">
        <v>8</v>
      </c>
      <c r="H224" s="291">
        <f t="shared" si="30"/>
        <v>20.625882255865999</v>
      </c>
      <c r="I224" s="291">
        <f t="shared" si="31"/>
        <v>50.133694444444437</v>
      </c>
      <c r="J224" s="291">
        <f t="shared" si="32"/>
        <v>44.212756410256404</v>
      </c>
      <c r="K224" s="291">
        <f t="shared" si="33"/>
        <v>27.509236453201972</v>
      </c>
      <c r="L224" s="291">
        <f t="shared" si="37"/>
        <v>39</v>
      </c>
      <c r="M224" s="294">
        <v>52</v>
      </c>
      <c r="N224" s="291">
        <f t="shared" si="34"/>
        <v>57.942386831275726</v>
      </c>
      <c r="O224" s="296">
        <f t="shared" si="35"/>
        <v>40.834454830006848</v>
      </c>
    </row>
    <row r="225" spans="1:15">
      <c r="A225" s="220">
        <v>219</v>
      </c>
      <c r="B225" s="220">
        <v>207</v>
      </c>
      <c r="C225" s="221">
        <f t="shared" si="36"/>
        <v>0.74237288135593216</v>
      </c>
      <c r="D225" s="222" t="s">
        <v>785</v>
      </c>
      <c r="E225" s="223" t="s">
        <v>1892</v>
      </c>
      <c r="F225" s="220">
        <v>8</v>
      </c>
      <c r="G225" s="220">
        <v>12</v>
      </c>
      <c r="H225" s="291">
        <f t="shared" si="30"/>
        <v>30.630678232494567</v>
      </c>
      <c r="I225" s="291">
        <f t="shared" si="31"/>
        <v>27.316666666666684</v>
      </c>
      <c r="J225" s="291">
        <f t="shared" si="32"/>
        <v>45.967820512820509</v>
      </c>
      <c r="K225" s="291">
        <f t="shared" si="33"/>
        <v>12.961822660098523</v>
      </c>
      <c r="L225" s="291">
        <f t="shared" si="37"/>
        <v>60.3</v>
      </c>
      <c r="M225" s="294">
        <v>22</v>
      </c>
      <c r="N225" s="291">
        <f t="shared" si="34"/>
        <v>77.037037037037052</v>
      </c>
      <c r="O225" s="296">
        <f t="shared" si="35"/>
        <v>40.802157709094978</v>
      </c>
    </row>
    <row r="226" spans="1:15">
      <c r="A226" s="220">
        <v>220</v>
      </c>
      <c r="B226" s="220">
        <v>208</v>
      </c>
      <c r="C226" s="221">
        <f t="shared" si="36"/>
        <v>0.74576271186440679</v>
      </c>
      <c r="D226" s="222" t="s">
        <v>847</v>
      </c>
      <c r="E226" s="223" t="s">
        <v>845</v>
      </c>
      <c r="F226" s="220">
        <v>6</v>
      </c>
      <c r="G226" s="220">
        <v>8</v>
      </c>
      <c r="H226" s="291">
        <f t="shared" si="30"/>
        <v>36.815327876093448</v>
      </c>
      <c r="I226" s="291">
        <f t="shared" si="31"/>
        <v>44.373749999999994</v>
      </c>
      <c r="J226" s="291">
        <f t="shared" si="32"/>
        <v>38.152243589743591</v>
      </c>
      <c r="K226" s="291">
        <f t="shared" si="33"/>
        <v>20.027709359605911</v>
      </c>
      <c r="L226" s="291">
        <f t="shared" si="37"/>
        <v>46.5</v>
      </c>
      <c r="M226" s="294">
        <v>31</v>
      </c>
      <c r="N226" s="291">
        <f t="shared" si="34"/>
        <v>61.851851851851848</v>
      </c>
      <c r="O226" s="296">
        <f t="shared" si="35"/>
        <v>40.495520411891512</v>
      </c>
    </row>
    <row r="227" spans="1:15">
      <c r="A227" s="220">
        <v>221</v>
      </c>
      <c r="B227" s="220">
        <v>209</v>
      </c>
      <c r="C227" s="221">
        <f t="shared" si="36"/>
        <v>0.74915254237288131</v>
      </c>
      <c r="D227" s="222" t="s">
        <v>310</v>
      </c>
      <c r="E227" s="223" t="s">
        <v>308</v>
      </c>
      <c r="F227" s="220">
        <v>4</v>
      </c>
      <c r="G227" s="220">
        <v>6</v>
      </c>
      <c r="H227" s="291">
        <f t="shared" si="30"/>
        <v>25.580155916763847</v>
      </c>
      <c r="I227" s="291">
        <f t="shared" si="31"/>
        <v>43.660666666666657</v>
      </c>
      <c r="J227" s="291">
        <f t="shared" si="32"/>
        <v>40.736666666666672</v>
      </c>
      <c r="K227" s="291">
        <f t="shared" si="33"/>
        <v>30.818965517241381</v>
      </c>
      <c r="L227" s="291">
        <f t="shared" si="37"/>
        <v>61</v>
      </c>
      <c r="M227" s="294">
        <v>33</v>
      </c>
      <c r="N227" s="291">
        <f t="shared" si="34"/>
        <v>44.609053497942391</v>
      </c>
      <c r="O227" s="296">
        <f t="shared" si="35"/>
        <v>40.447001271581684</v>
      </c>
    </row>
    <row r="228" spans="1:15">
      <c r="A228" s="220">
        <v>222</v>
      </c>
      <c r="B228" s="220">
        <v>210</v>
      </c>
      <c r="C228" s="221">
        <f t="shared" si="36"/>
        <v>0.75254237288135595</v>
      </c>
      <c r="D228" s="222" t="s">
        <v>358</v>
      </c>
      <c r="E228" s="241" t="s">
        <v>1778</v>
      </c>
      <c r="F228" s="242">
        <v>2</v>
      </c>
      <c r="G228" s="242">
        <v>1</v>
      </c>
      <c r="H228" s="291">
        <f t="shared" si="30"/>
        <v>47.980310064384952</v>
      </c>
      <c r="I228" s="291">
        <f t="shared" si="31"/>
        <v>76.938888888888897</v>
      </c>
      <c r="J228" s="291">
        <f t="shared" si="32"/>
        <v>43.040277777777774</v>
      </c>
      <c r="K228" s="291">
        <f t="shared" si="33"/>
        <v>30.988300492610836</v>
      </c>
      <c r="L228" s="291">
        <f t="shared" si="37"/>
        <v>2</v>
      </c>
      <c r="M228" s="294">
        <v>45</v>
      </c>
      <c r="N228" s="291">
        <f t="shared" si="34"/>
        <v>39.148148148148145</v>
      </c>
      <c r="O228" s="296">
        <f t="shared" si="35"/>
        <v>40.399373134124708</v>
      </c>
    </row>
    <row r="229" spans="1:15">
      <c r="A229" s="220">
        <v>223</v>
      </c>
      <c r="B229" s="220">
        <v>211</v>
      </c>
      <c r="C229" s="221">
        <f t="shared" si="36"/>
        <v>0.75593220338983047</v>
      </c>
      <c r="D229" s="222" t="s">
        <v>54</v>
      </c>
      <c r="E229" s="223" t="s">
        <v>52</v>
      </c>
      <c r="F229" s="220">
        <v>9</v>
      </c>
      <c r="G229" s="220">
        <v>14</v>
      </c>
      <c r="H229" s="291">
        <f t="shared" si="30"/>
        <v>33.130797249739985</v>
      </c>
      <c r="I229" s="291">
        <f t="shared" si="31"/>
        <v>45.966222222222228</v>
      </c>
      <c r="J229" s="291">
        <f t="shared" si="32"/>
        <v>35.022500000000001</v>
      </c>
      <c r="K229" s="291">
        <f t="shared" si="33"/>
        <v>9.7290640394088683</v>
      </c>
      <c r="L229" s="291">
        <f t="shared" si="37"/>
        <v>59.5</v>
      </c>
      <c r="M229" s="294">
        <v>41</v>
      </c>
      <c r="N229" s="291">
        <f t="shared" si="34"/>
        <v>58.518518518518526</v>
      </c>
      <c r="O229" s="296">
        <f t="shared" si="35"/>
        <v>40.364169543059944</v>
      </c>
    </row>
    <row r="230" spans="1:15">
      <c r="A230" s="220">
        <v>224</v>
      </c>
      <c r="B230" s="220">
        <v>212</v>
      </c>
      <c r="C230" s="221">
        <f t="shared" si="36"/>
        <v>0.7593220338983051</v>
      </c>
      <c r="D230" s="222" t="s">
        <v>470</v>
      </c>
      <c r="E230" s="223" t="s">
        <v>468</v>
      </c>
      <c r="F230" s="220">
        <v>9</v>
      </c>
      <c r="G230" s="220">
        <v>14</v>
      </c>
      <c r="H230" s="291">
        <f t="shared" si="30"/>
        <v>25.293238621388404</v>
      </c>
      <c r="I230" s="291">
        <f t="shared" si="31"/>
        <v>41.176611111111121</v>
      </c>
      <c r="J230" s="291">
        <f t="shared" si="32"/>
        <v>56.614551282051281</v>
      </c>
      <c r="K230" s="291">
        <f t="shared" si="33"/>
        <v>14.501231527093598</v>
      </c>
      <c r="L230" s="291">
        <f>VLOOKUP(D230,ВПРдек, 24,FALSE)</f>
        <v>34</v>
      </c>
      <c r="M230" s="294">
        <v>55</v>
      </c>
      <c r="N230" s="291">
        <f t="shared" si="34"/>
        <v>61.666666666666671</v>
      </c>
      <c r="O230" s="296">
        <f t="shared" si="35"/>
        <v>40.115738339740162</v>
      </c>
    </row>
    <row r="231" spans="1:15">
      <c r="A231" s="220">
        <v>225</v>
      </c>
      <c r="B231" s="220">
        <v>213</v>
      </c>
      <c r="C231" s="221">
        <f t="shared" si="36"/>
        <v>0.76271186440677963</v>
      </c>
      <c r="D231" s="222" t="s">
        <v>244</v>
      </c>
      <c r="E231" s="223" t="s">
        <v>242</v>
      </c>
      <c r="F231" s="220">
        <v>2</v>
      </c>
      <c r="G231" s="220">
        <v>2</v>
      </c>
      <c r="H231" s="291">
        <f t="shared" si="30"/>
        <v>38.270651213690861</v>
      </c>
      <c r="I231" s="291">
        <f t="shared" si="31"/>
        <v>48.833333333333343</v>
      </c>
      <c r="J231" s="291">
        <f t="shared" si="32"/>
        <v>44.627820512820513</v>
      </c>
      <c r="K231" s="291">
        <f t="shared" si="33"/>
        <v>10.991379310344827</v>
      </c>
      <c r="L231" s="291">
        <f>VLOOKUP(D231,ВПРдек, 25,FALSE)</f>
        <v>35</v>
      </c>
      <c r="M231" s="294">
        <v>60</v>
      </c>
      <c r="N231" s="291">
        <f t="shared" si="34"/>
        <v>51.419753086419753</v>
      </c>
      <c r="O231" s="296">
        <f t="shared" si="35"/>
        <v>39.868144224093733</v>
      </c>
    </row>
    <row r="232" spans="1:15">
      <c r="A232" s="220">
        <v>226</v>
      </c>
      <c r="B232" s="220">
        <v>214</v>
      </c>
      <c r="C232" s="221">
        <f t="shared" si="36"/>
        <v>0.76610169491525426</v>
      </c>
      <c r="D232" s="280" t="s">
        <v>649</v>
      </c>
      <c r="E232" s="281" t="s">
        <v>647</v>
      </c>
      <c r="F232" s="271">
        <v>2</v>
      </c>
      <c r="G232" s="287" t="s">
        <v>2067</v>
      </c>
      <c r="H232" s="291">
        <f t="shared" si="30"/>
        <v>27.283118491885016</v>
      </c>
      <c r="I232" s="291">
        <f t="shared" si="31"/>
        <v>73.469444444444449</v>
      </c>
      <c r="J232" s="291">
        <f t="shared" si="32"/>
        <v>54.478653846153847</v>
      </c>
      <c r="K232" s="291">
        <f t="shared" si="33"/>
        <v>27.520012315270936</v>
      </c>
      <c r="L232" s="291">
        <f>VLOOKUP(D232,ВПРдек, 24,FALSE)</f>
        <v>75.333333333333329</v>
      </c>
      <c r="M232" s="294">
        <v>0</v>
      </c>
      <c r="N232" s="291">
        <f t="shared" si="34"/>
        <v>0</v>
      </c>
      <c r="O232" s="296">
        <f t="shared" si="35"/>
        <v>39.705317297090396</v>
      </c>
    </row>
    <row r="233" spans="1:15">
      <c r="A233" s="220">
        <v>227</v>
      </c>
      <c r="B233" s="220">
        <v>215</v>
      </c>
      <c r="C233" s="221">
        <f t="shared" si="36"/>
        <v>0.76949152542372878</v>
      </c>
      <c r="D233" s="222" t="s">
        <v>619</v>
      </c>
      <c r="E233" s="223" t="s">
        <v>617</v>
      </c>
      <c r="F233" s="220">
        <v>9</v>
      </c>
      <c r="G233" s="220">
        <v>16</v>
      </c>
      <c r="H233" s="291">
        <f t="shared" si="30"/>
        <v>23.593947965886294</v>
      </c>
      <c r="I233" s="291">
        <f t="shared" si="31"/>
        <v>46.030111111111118</v>
      </c>
      <c r="J233" s="291">
        <f t="shared" si="32"/>
        <v>27.285</v>
      </c>
      <c r="K233" s="291">
        <f t="shared" si="33"/>
        <v>31.856527093596057</v>
      </c>
      <c r="L233" s="291">
        <f>VLOOKUP(D233,ВПРдек, 25,FALSE)</f>
        <v>45.2</v>
      </c>
      <c r="M233" s="294">
        <v>38</v>
      </c>
      <c r="N233" s="291">
        <f t="shared" si="34"/>
        <v>62.674897119341566</v>
      </c>
      <c r="O233" s="296">
        <f t="shared" si="35"/>
        <v>39.329305121528463</v>
      </c>
    </row>
    <row r="234" spans="1:15">
      <c r="A234" s="220">
        <v>228</v>
      </c>
      <c r="B234" s="220">
        <v>216</v>
      </c>
      <c r="C234" s="221">
        <f t="shared" si="36"/>
        <v>0.77288135593220342</v>
      </c>
      <c r="D234" s="222" t="s">
        <v>133</v>
      </c>
      <c r="E234" s="223" t="s">
        <v>131</v>
      </c>
      <c r="F234" s="220">
        <v>10</v>
      </c>
      <c r="G234" s="220">
        <v>15</v>
      </c>
      <c r="H234" s="291">
        <f t="shared" si="30"/>
        <v>24.57281022575075</v>
      </c>
      <c r="I234" s="291">
        <f t="shared" si="31"/>
        <v>39.027968750000014</v>
      </c>
      <c r="J234" s="291">
        <f t="shared" si="32"/>
        <v>35.362297435897439</v>
      </c>
      <c r="K234" s="291">
        <f t="shared" si="33"/>
        <v>25.406403940886701</v>
      </c>
      <c r="L234" s="291">
        <f>VLOOKUP(D234,ВПРдек, 25,FALSE)</f>
        <v>58.5</v>
      </c>
      <c r="M234" s="294">
        <v>49</v>
      </c>
      <c r="N234" s="291">
        <f t="shared" si="34"/>
        <v>48.235596707818928</v>
      </c>
      <c r="O234" s="296">
        <f t="shared" si="35"/>
        <v>39.323858009285203</v>
      </c>
    </row>
    <row r="235" spans="1:15">
      <c r="A235" s="220">
        <v>229</v>
      </c>
      <c r="B235" s="220">
        <v>217</v>
      </c>
      <c r="C235" s="221">
        <f t="shared" si="36"/>
        <v>0.77627118644067794</v>
      </c>
      <c r="D235" s="222" t="s">
        <v>658</v>
      </c>
      <c r="E235" s="223" t="s">
        <v>656</v>
      </c>
      <c r="F235" s="220">
        <v>9</v>
      </c>
      <c r="G235" s="220">
        <v>16</v>
      </c>
      <c r="H235" s="291">
        <f t="shared" si="30"/>
        <v>25.504796974929139</v>
      </c>
      <c r="I235" s="291">
        <f t="shared" si="31"/>
        <v>49.343277777777772</v>
      </c>
      <c r="J235" s="291">
        <f t="shared" si="32"/>
        <v>35.501730769230768</v>
      </c>
      <c r="K235" s="291">
        <f t="shared" si="33"/>
        <v>18.420566502463053</v>
      </c>
      <c r="L235" s="291">
        <f>VLOOKUP(D235,ВПРдек, 25,FALSE)</f>
        <v>51.5</v>
      </c>
      <c r="M235" s="294">
        <v>47</v>
      </c>
      <c r="N235" s="291">
        <f t="shared" si="34"/>
        <v>50.843621399176953</v>
      </c>
      <c r="O235" s="296">
        <f t="shared" si="35"/>
        <v>39.171383603627334</v>
      </c>
    </row>
    <row r="236" spans="1:15">
      <c r="A236" s="220">
        <v>230</v>
      </c>
      <c r="B236" s="220">
        <v>218</v>
      </c>
      <c r="C236" s="221">
        <f t="shared" si="36"/>
        <v>0.77966101694915257</v>
      </c>
      <c r="D236" s="222" t="s">
        <v>881</v>
      </c>
      <c r="E236" s="223" t="s">
        <v>879</v>
      </c>
      <c r="F236" s="220">
        <v>4</v>
      </c>
      <c r="G236" s="220">
        <v>5</v>
      </c>
      <c r="H236" s="291">
        <f t="shared" si="30"/>
        <v>21.787013867322237</v>
      </c>
      <c r="I236" s="291">
        <f t="shared" si="31"/>
        <v>42.403944444444463</v>
      </c>
      <c r="J236" s="291">
        <f t="shared" si="32"/>
        <v>29.1675</v>
      </c>
      <c r="K236" s="291">
        <f t="shared" si="33"/>
        <v>26.610221674876847</v>
      </c>
      <c r="L236" s="291">
        <f>VLOOKUP(D236,ВПРдек, 25,FALSE)</f>
        <v>55.2</v>
      </c>
      <c r="M236" s="294">
        <v>39</v>
      </c>
      <c r="N236" s="291">
        <f t="shared" si="34"/>
        <v>59.032921810699591</v>
      </c>
      <c r="O236" s="296">
        <f t="shared" si="35"/>
        <v>39.031015661129715</v>
      </c>
    </row>
    <row r="237" spans="1:15">
      <c r="A237" s="220">
        <v>231</v>
      </c>
      <c r="B237" s="220">
        <v>219</v>
      </c>
      <c r="C237" s="221">
        <f t="shared" si="36"/>
        <v>0.7830508474576271</v>
      </c>
      <c r="D237" s="222" t="s">
        <v>563</v>
      </c>
      <c r="E237" s="223" t="s">
        <v>561</v>
      </c>
      <c r="F237" s="220">
        <v>7</v>
      </c>
      <c r="G237" s="220">
        <v>10</v>
      </c>
      <c r="H237" s="291">
        <f t="shared" si="30"/>
        <v>17.228375246877452</v>
      </c>
      <c r="I237" s="291">
        <f t="shared" si="31"/>
        <v>41.458333333333343</v>
      </c>
      <c r="J237" s="291">
        <f t="shared" si="32"/>
        <v>43.456410256410251</v>
      </c>
      <c r="K237" s="291">
        <f t="shared" si="33"/>
        <v>5.3571428571428568</v>
      </c>
      <c r="L237" s="291">
        <f>VLOOKUP(D237,ВПРдек, 24,FALSE)</f>
        <v>51.666666666666671</v>
      </c>
      <c r="M237" s="294">
        <v>41</v>
      </c>
      <c r="N237" s="291">
        <f t="shared" si="34"/>
        <v>73.292181069958843</v>
      </c>
      <c r="O237" s="296">
        <f t="shared" si="35"/>
        <v>38.91678606621376</v>
      </c>
    </row>
    <row r="238" spans="1:15">
      <c r="A238" s="220">
        <v>232</v>
      </c>
      <c r="B238" s="220">
        <v>220</v>
      </c>
      <c r="C238" s="221">
        <f t="shared" si="36"/>
        <v>0.78644067796610173</v>
      </c>
      <c r="D238" s="222" t="s">
        <v>277</v>
      </c>
      <c r="E238" s="223" t="s">
        <v>275</v>
      </c>
      <c r="F238" s="220">
        <v>4</v>
      </c>
      <c r="G238" s="220">
        <v>6</v>
      </c>
      <c r="H238" s="291">
        <f t="shared" si="30"/>
        <v>24.567242793850724</v>
      </c>
      <c r="I238" s="291">
        <f t="shared" si="31"/>
        <v>39.343722222222226</v>
      </c>
      <c r="J238" s="291">
        <f t="shared" si="32"/>
        <v>36.735256410256412</v>
      </c>
      <c r="K238" s="291">
        <f t="shared" si="33"/>
        <v>9.9137931034482758</v>
      </c>
      <c r="L238" s="291">
        <f>VLOOKUP(D238,ВПРдек, 25,FALSE)</f>
        <v>57</v>
      </c>
      <c r="M238" s="294">
        <v>53</v>
      </c>
      <c r="N238" s="291">
        <f t="shared" si="34"/>
        <v>58.74485596707818</v>
      </c>
      <c r="O238" s="296">
        <f t="shared" si="35"/>
        <v>38.893056999516276</v>
      </c>
    </row>
    <row r="239" spans="1:15">
      <c r="A239" s="220">
        <v>233</v>
      </c>
      <c r="B239" s="220">
        <v>221</v>
      </c>
      <c r="C239" s="221">
        <f t="shared" si="36"/>
        <v>0.78983050847457625</v>
      </c>
      <c r="D239" s="280" t="s">
        <v>253</v>
      </c>
      <c r="E239" s="281" t="s">
        <v>251</v>
      </c>
      <c r="F239" s="271" t="s">
        <v>1002</v>
      </c>
      <c r="G239" s="271" t="s">
        <v>2059</v>
      </c>
      <c r="H239" s="291">
        <f t="shared" si="30"/>
        <v>32.413494285740981</v>
      </c>
      <c r="I239" s="291">
        <f t="shared" si="31"/>
        <v>33.867694444444453</v>
      </c>
      <c r="J239" s="291">
        <f t="shared" si="32"/>
        <v>68.617500000000007</v>
      </c>
      <c r="K239" s="291">
        <f t="shared" si="33"/>
        <v>0</v>
      </c>
      <c r="L239" s="291">
        <f>VLOOKUP(D239,ВПРдек, 25,FALSE)</f>
        <v>42.2</v>
      </c>
      <c r="M239" s="294">
        <v>60</v>
      </c>
      <c r="N239" s="291">
        <f t="shared" si="34"/>
        <v>44.053497942386826</v>
      </c>
      <c r="O239" s="296">
        <f t="shared" si="35"/>
        <v>38.6387979496265</v>
      </c>
    </row>
    <row r="240" spans="1:15">
      <c r="A240" s="220">
        <v>234</v>
      </c>
      <c r="B240" s="220">
        <v>222</v>
      </c>
      <c r="C240" s="221">
        <f t="shared" si="36"/>
        <v>0.79322033898305089</v>
      </c>
      <c r="D240" s="222" t="s">
        <v>835</v>
      </c>
      <c r="E240" s="223" t="s">
        <v>833</v>
      </c>
      <c r="F240" s="220">
        <v>10</v>
      </c>
      <c r="G240" s="220">
        <v>14</v>
      </c>
      <c r="H240" s="291">
        <f t="shared" si="30"/>
        <v>29.37323710063799</v>
      </c>
      <c r="I240" s="291">
        <f t="shared" si="31"/>
        <v>33.619888888888887</v>
      </c>
      <c r="J240" s="291">
        <f t="shared" si="32"/>
        <v>46.196346153846157</v>
      </c>
      <c r="K240" s="291">
        <f t="shared" si="33"/>
        <v>11.86884236453202</v>
      </c>
      <c r="L240" s="291">
        <f>VLOOKUP(D240,ВПРдек, 24,FALSE)</f>
        <v>55.333333333333329</v>
      </c>
      <c r="M240" s="294">
        <v>47</v>
      </c>
      <c r="N240" s="291">
        <f t="shared" si="34"/>
        <v>50.925925925925931</v>
      </c>
      <c r="O240" s="296">
        <f t="shared" si="35"/>
        <v>38.587319041102198</v>
      </c>
    </row>
    <row r="241" spans="1:15">
      <c r="A241" s="220">
        <v>235</v>
      </c>
      <c r="B241" s="220">
        <v>223</v>
      </c>
      <c r="C241" s="221">
        <f t="shared" si="36"/>
        <v>0.79661016949152541</v>
      </c>
      <c r="D241" s="222" t="s">
        <v>322</v>
      </c>
      <c r="E241" s="223" t="s">
        <v>1851</v>
      </c>
      <c r="F241" s="220">
        <v>11</v>
      </c>
      <c r="G241" s="220">
        <v>14</v>
      </c>
      <c r="H241" s="291">
        <f t="shared" si="30"/>
        <v>33.299989029039025</v>
      </c>
      <c r="I241" s="291">
        <f t="shared" si="31"/>
        <v>22.701388888888889</v>
      </c>
      <c r="J241" s="291">
        <f t="shared" si="32"/>
        <v>29.501538461538463</v>
      </c>
      <c r="K241" s="291">
        <f t="shared" si="33"/>
        <v>20.443349753694584</v>
      </c>
      <c r="L241" s="291">
        <f>VLOOKUP(D241,ВПРдек, 25,FALSE)</f>
        <v>59.3</v>
      </c>
      <c r="M241" s="294">
        <v>47</v>
      </c>
      <c r="N241" s="291">
        <f t="shared" si="34"/>
        <v>61.31687242798354</v>
      </c>
      <c r="O241" s="296">
        <f t="shared" si="35"/>
        <v>38.471252086329919</v>
      </c>
    </row>
    <row r="242" spans="1:15">
      <c r="A242" s="220">
        <v>236</v>
      </c>
      <c r="B242" s="220">
        <v>224</v>
      </c>
      <c r="C242" s="221">
        <f t="shared" si="36"/>
        <v>0.8</v>
      </c>
      <c r="D242" s="222" t="s">
        <v>33</v>
      </c>
      <c r="E242" s="223" t="s">
        <v>31</v>
      </c>
      <c r="F242" s="240">
        <v>4</v>
      </c>
      <c r="G242" s="240">
        <v>6</v>
      </c>
      <c r="H242" s="291">
        <f t="shared" si="30"/>
        <v>33.224774496052035</v>
      </c>
      <c r="I242" s="291">
        <f t="shared" si="31"/>
        <v>28.77763888888888</v>
      </c>
      <c r="J242" s="291">
        <f t="shared" si="32"/>
        <v>32.423397435897428</v>
      </c>
      <c r="K242" s="291">
        <f t="shared" si="33"/>
        <v>19.867610837438427</v>
      </c>
      <c r="L242" s="291">
        <f>VLOOKUP(D242,ВПРдек, 25,FALSE)</f>
        <v>54.5</v>
      </c>
      <c r="M242" s="294">
        <v>52</v>
      </c>
      <c r="N242" s="291">
        <f t="shared" si="34"/>
        <v>53.20987654320988</v>
      </c>
      <c r="O242" s="296">
        <f t="shared" si="35"/>
        <v>38.154353569459481</v>
      </c>
    </row>
    <row r="243" spans="1:15">
      <c r="A243" s="220">
        <v>237</v>
      </c>
      <c r="B243" s="220">
        <v>225</v>
      </c>
      <c r="C243" s="221">
        <f t="shared" si="36"/>
        <v>0.80338983050847457</v>
      </c>
      <c r="D243" s="222" t="s">
        <v>631</v>
      </c>
      <c r="E243" s="223" t="s">
        <v>629</v>
      </c>
      <c r="F243" s="220">
        <v>6</v>
      </c>
      <c r="G243" s="220">
        <v>7</v>
      </c>
      <c r="H243" s="291">
        <f t="shared" si="30"/>
        <v>26.532362284250588</v>
      </c>
      <c r="I243" s="291">
        <f t="shared" si="31"/>
        <v>42.754722222222213</v>
      </c>
      <c r="J243" s="291">
        <f t="shared" si="32"/>
        <v>45.147884615384612</v>
      </c>
      <c r="K243" s="291">
        <f t="shared" si="33"/>
        <v>12.530788177339902</v>
      </c>
      <c r="L243" s="291">
        <f>VLOOKUP(D243,ВПРдек, 24,FALSE)</f>
        <v>35</v>
      </c>
      <c r="M243" s="294">
        <v>47</v>
      </c>
      <c r="N243" s="291">
        <f t="shared" si="34"/>
        <v>62.469135802469147</v>
      </c>
      <c r="O243" s="296">
        <f t="shared" si="35"/>
        <v>38.143829707948683</v>
      </c>
    </row>
    <row r="244" spans="1:15">
      <c r="A244" s="220">
        <v>238</v>
      </c>
      <c r="B244" s="220">
        <v>226</v>
      </c>
      <c r="C244" s="221">
        <f t="shared" si="36"/>
        <v>0.8067796610169492</v>
      </c>
      <c r="D244" s="222" t="s">
        <v>727</v>
      </c>
      <c r="E244" s="223" t="s">
        <v>725</v>
      </c>
      <c r="F244" s="220">
        <v>7</v>
      </c>
      <c r="G244" s="220">
        <v>11</v>
      </c>
      <c r="H244" s="291">
        <f t="shared" si="30"/>
        <v>29.286333103998302</v>
      </c>
      <c r="I244" s="291">
        <f t="shared" si="31"/>
        <v>38.633333333333354</v>
      </c>
      <c r="J244" s="291">
        <f t="shared" si="32"/>
        <v>30.015448717948718</v>
      </c>
      <c r="K244" s="291">
        <f t="shared" si="33"/>
        <v>5.3263546798029555</v>
      </c>
      <c r="L244" s="291">
        <f t="shared" ref="L244:L249" si="38">VLOOKUP(D244,ВПРдек, 25,FALSE)</f>
        <v>56.5</v>
      </c>
      <c r="M244" s="294">
        <v>41</v>
      </c>
      <c r="N244" s="291">
        <f t="shared" si="34"/>
        <v>66.769547325102877</v>
      </c>
      <c r="O244" s="296">
        <f t="shared" si="35"/>
        <v>38.004771870797882</v>
      </c>
    </row>
    <row r="245" spans="1:15">
      <c r="A245" s="220">
        <v>239</v>
      </c>
      <c r="B245" s="220">
        <v>227</v>
      </c>
      <c r="C245" s="221">
        <f t="shared" si="36"/>
        <v>0.81016949152542372</v>
      </c>
      <c r="D245" s="222" t="s">
        <v>760</v>
      </c>
      <c r="E245" s="223" t="s">
        <v>758</v>
      </c>
      <c r="F245" s="220">
        <v>4</v>
      </c>
      <c r="G245" s="220">
        <v>6</v>
      </c>
      <c r="H245" s="291">
        <f t="shared" si="30"/>
        <v>18.717352839643588</v>
      </c>
      <c r="I245" s="291">
        <f t="shared" si="31"/>
        <v>15.983333333333331</v>
      </c>
      <c r="J245" s="291">
        <f t="shared" si="32"/>
        <v>50.901089743589736</v>
      </c>
      <c r="K245" s="291">
        <f t="shared" si="33"/>
        <v>26.847290640394093</v>
      </c>
      <c r="L245" s="291">
        <f t="shared" si="38"/>
        <v>42</v>
      </c>
      <c r="M245" s="294">
        <v>54</v>
      </c>
      <c r="N245" s="291">
        <f t="shared" si="34"/>
        <v>65.041152263374485</v>
      </c>
      <c r="O245" s="296">
        <f t="shared" si="35"/>
        <v>37.921572126205426</v>
      </c>
    </row>
    <row r="246" spans="1:15">
      <c r="A246" s="220">
        <v>240</v>
      </c>
      <c r="B246" s="220">
        <v>228</v>
      </c>
      <c r="C246" s="221">
        <f t="shared" si="36"/>
        <v>0.81355932203389836</v>
      </c>
      <c r="D246" s="222" t="s">
        <v>485</v>
      </c>
      <c r="E246" s="223" t="s">
        <v>483</v>
      </c>
      <c r="F246" s="220">
        <v>5</v>
      </c>
      <c r="G246" s="220">
        <v>9</v>
      </c>
      <c r="H246" s="291">
        <f t="shared" si="30"/>
        <v>23.629400362588846</v>
      </c>
      <c r="I246" s="291">
        <f t="shared" si="31"/>
        <v>32.332888888888888</v>
      </c>
      <c r="J246" s="291">
        <f t="shared" si="32"/>
        <v>37.419679487179486</v>
      </c>
      <c r="K246" s="291">
        <f t="shared" si="33"/>
        <v>29.125615763546797</v>
      </c>
      <c r="L246" s="291">
        <f t="shared" si="38"/>
        <v>45.9</v>
      </c>
      <c r="M246" s="294">
        <v>36</v>
      </c>
      <c r="N246" s="291">
        <f t="shared" si="34"/>
        <v>60.041152263374485</v>
      </c>
      <c r="O246" s="296">
        <f t="shared" si="35"/>
        <v>37.915190271627466</v>
      </c>
    </row>
    <row r="247" spans="1:15">
      <c r="A247" s="220">
        <v>241</v>
      </c>
      <c r="B247" s="220">
        <v>229</v>
      </c>
      <c r="C247" s="221">
        <f t="shared" si="36"/>
        <v>0.81694915254237288</v>
      </c>
      <c r="D247" s="222" t="s">
        <v>757</v>
      </c>
      <c r="E247" s="223" t="s">
        <v>1933</v>
      </c>
      <c r="F247" s="220">
        <v>8</v>
      </c>
      <c r="G247" s="220">
        <v>11</v>
      </c>
      <c r="H247" s="291">
        <f t="shared" si="30"/>
        <v>29.732110432715679</v>
      </c>
      <c r="I247" s="291">
        <f t="shared" si="31"/>
        <v>31.899999999999984</v>
      </c>
      <c r="J247" s="291">
        <f t="shared" si="32"/>
        <v>33.593974358974364</v>
      </c>
      <c r="K247" s="291">
        <f t="shared" si="33"/>
        <v>8.6206896551724128</v>
      </c>
      <c r="L247" s="291">
        <f t="shared" si="38"/>
        <v>54.3</v>
      </c>
      <c r="M247" s="294">
        <v>52</v>
      </c>
      <c r="N247" s="291">
        <f t="shared" si="34"/>
        <v>58.333333333333336</v>
      </c>
      <c r="O247" s="296">
        <f t="shared" si="35"/>
        <v>37.304631966183962</v>
      </c>
    </row>
    <row r="248" spans="1:15">
      <c r="A248" s="220">
        <v>242</v>
      </c>
      <c r="B248" s="220">
        <v>230</v>
      </c>
      <c r="C248" s="221">
        <f t="shared" si="36"/>
        <v>0.8203389830508474</v>
      </c>
      <c r="D248" s="222" t="s">
        <v>770</v>
      </c>
      <c r="E248" s="223" t="s">
        <v>1947</v>
      </c>
      <c r="F248" s="220">
        <v>9</v>
      </c>
      <c r="G248" s="220">
        <v>14</v>
      </c>
      <c r="H248" s="291">
        <f t="shared" si="30"/>
        <v>28.601019993222636</v>
      </c>
      <c r="I248" s="291">
        <f t="shared" si="31"/>
        <v>34.816083333333324</v>
      </c>
      <c r="J248" s="291">
        <f t="shared" si="32"/>
        <v>38.343627884615387</v>
      </c>
      <c r="K248" s="291">
        <f t="shared" si="33"/>
        <v>6.6964285714285712</v>
      </c>
      <c r="L248" s="291">
        <f t="shared" si="38"/>
        <v>30.4</v>
      </c>
      <c r="M248" s="294">
        <v>56</v>
      </c>
      <c r="N248" s="291">
        <f t="shared" si="34"/>
        <v>75.349794238683117</v>
      </c>
      <c r="O248" s="296">
        <f t="shared" si="35"/>
        <v>37.26260831096662</v>
      </c>
    </row>
    <row r="249" spans="1:15">
      <c r="A249" s="220">
        <v>243</v>
      </c>
      <c r="B249" s="220">
        <v>231</v>
      </c>
      <c r="C249" s="221">
        <f t="shared" si="36"/>
        <v>0.82372881355932204</v>
      </c>
      <c r="D249" s="222" t="s">
        <v>497</v>
      </c>
      <c r="E249" s="223" t="s">
        <v>495</v>
      </c>
      <c r="F249" s="220">
        <v>5</v>
      </c>
      <c r="G249" s="220">
        <v>9</v>
      </c>
      <c r="H249" s="291">
        <f t="shared" si="30"/>
        <v>24.834103583756722</v>
      </c>
      <c r="I249" s="291">
        <f t="shared" si="31"/>
        <v>34.00905555555557</v>
      </c>
      <c r="J249" s="291">
        <f t="shared" si="32"/>
        <v>27.446538461538463</v>
      </c>
      <c r="K249" s="291">
        <f t="shared" si="33"/>
        <v>15.555726600985222</v>
      </c>
      <c r="L249" s="291">
        <f t="shared" si="38"/>
        <v>56</v>
      </c>
      <c r="M249" s="294">
        <v>35</v>
      </c>
      <c r="N249" s="291">
        <f t="shared" si="34"/>
        <v>64.89711934156378</v>
      </c>
      <c r="O249" s="296">
        <f t="shared" si="35"/>
        <v>36.960391314369197</v>
      </c>
    </row>
    <row r="250" spans="1:15">
      <c r="A250" s="220">
        <v>244</v>
      </c>
      <c r="B250" s="220">
        <v>232</v>
      </c>
      <c r="C250" s="221">
        <f t="shared" si="36"/>
        <v>0.82711864406779656</v>
      </c>
      <c r="D250" s="222" t="s">
        <v>382</v>
      </c>
      <c r="E250" s="223" t="s">
        <v>380</v>
      </c>
      <c r="F250" s="220">
        <v>6</v>
      </c>
      <c r="G250" s="220">
        <v>7</v>
      </c>
      <c r="H250" s="291">
        <f t="shared" si="30"/>
        <v>15.883247712834144</v>
      </c>
      <c r="I250" s="291">
        <f t="shared" si="31"/>
        <v>23.091638888888877</v>
      </c>
      <c r="J250" s="291">
        <f t="shared" si="32"/>
        <v>32.156217948717952</v>
      </c>
      <c r="K250" s="291">
        <f t="shared" si="33"/>
        <v>10.129310344827587</v>
      </c>
      <c r="L250" s="291">
        <f>VLOOKUP(D250,ВПРдек, 24,FALSE)</f>
        <v>73.333333333333343</v>
      </c>
      <c r="M250" s="294">
        <v>40</v>
      </c>
      <c r="N250" s="291">
        <f t="shared" si="34"/>
        <v>64.979423868312765</v>
      </c>
      <c r="O250" s="296">
        <f t="shared" si="35"/>
        <v>36.857411091833029</v>
      </c>
    </row>
    <row r="251" spans="1:15">
      <c r="A251" s="220">
        <v>245</v>
      </c>
      <c r="B251" s="220">
        <v>233</v>
      </c>
      <c r="C251" s="221">
        <f t="shared" si="36"/>
        <v>0.83050847457627119</v>
      </c>
      <c r="D251" s="222" t="s">
        <v>646</v>
      </c>
      <c r="E251" s="239" t="s">
        <v>644</v>
      </c>
      <c r="F251" s="220">
        <v>8</v>
      </c>
      <c r="G251" s="220">
        <v>10</v>
      </c>
      <c r="H251" s="291">
        <f t="shared" si="30"/>
        <v>26.472667593744013</v>
      </c>
      <c r="I251" s="291">
        <f t="shared" si="31"/>
        <v>69.186111111111117</v>
      </c>
      <c r="J251" s="291">
        <f t="shared" si="32"/>
        <v>49.319230769230771</v>
      </c>
      <c r="K251" s="291">
        <f t="shared" si="33"/>
        <v>40.879002463054185</v>
      </c>
      <c r="L251" s="291">
        <f t="shared" ref="L251:L259" si="39">VLOOKUP(D251,ВПРдек, 25,FALSE)</f>
        <v>33.5</v>
      </c>
      <c r="M251" s="294">
        <v>40</v>
      </c>
      <c r="N251" s="291">
        <f t="shared" si="34"/>
        <v>0</v>
      </c>
      <c r="O251" s="296">
        <f t="shared" si="35"/>
        <v>36.824155682636942</v>
      </c>
    </row>
    <row r="252" spans="1:15">
      <c r="A252" s="220">
        <v>246</v>
      </c>
      <c r="B252" s="220">
        <v>234</v>
      </c>
      <c r="C252" s="221">
        <f t="shared" si="36"/>
        <v>0.83389830508474572</v>
      </c>
      <c r="D252" s="222" t="s">
        <v>595</v>
      </c>
      <c r="E252" s="223" t="s">
        <v>593</v>
      </c>
      <c r="F252" s="220">
        <v>10</v>
      </c>
      <c r="G252" s="220">
        <v>15</v>
      </c>
      <c r="H252" s="291">
        <f t="shared" si="30"/>
        <v>21.167952478260851</v>
      </c>
      <c r="I252" s="291">
        <f t="shared" si="31"/>
        <v>43.638305555555561</v>
      </c>
      <c r="J252" s="291">
        <f t="shared" si="32"/>
        <v>30.766987179487181</v>
      </c>
      <c r="K252" s="291">
        <f t="shared" si="33"/>
        <v>12.130541871921183</v>
      </c>
      <c r="L252" s="291">
        <f t="shared" si="39"/>
        <v>55</v>
      </c>
      <c r="M252" s="294">
        <v>29</v>
      </c>
      <c r="N252" s="291">
        <f t="shared" si="34"/>
        <v>61.028806584362137</v>
      </c>
      <c r="O252" s="296">
        <f t="shared" si="35"/>
        <v>36.651168256859528</v>
      </c>
    </row>
    <row r="253" spans="1:15">
      <c r="A253" s="220">
        <v>247</v>
      </c>
      <c r="B253" s="220">
        <v>235</v>
      </c>
      <c r="C253" s="221">
        <f t="shared" si="36"/>
        <v>0.83728813559322035</v>
      </c>
      <c r="D253" s="222" t="s">
        <v>262</v>
      </c>
      <c r="E253" s="223" t="s">
        <v>260</v>
      </c>
      <c r="F253" s="220">
        <v>6</v>
      </c>
      <c r="G253" s="220">
        <v>7</v>
      </c>
      <c r="H253" s="291">
        <f t="shared" si="30"/>
        <v>29.541355883701804</v>
      </c>
      <c r="I253" s="291">
        <f t="shared" si="31"/>
        <v>37.2138611111111</v>
      </c>
      <c r="J253" s="291">
        <f t="shared" si="32"/>
        <v>36.606923076923074</v>
      </c>
      <c r="K253" s="291">
        <f t="shared" si="33"/>
        <v>16.714901477832512</v>
      </c>
      <c r="L253" s="291">
        <f t="shared" si="39"/>
        <v>29.5</v>
      </c>
      <c r="M253" s="294">
        <v>47</v>
      </c>
      <c r="N253" s="291">
        <f t="shared" si="34"/>
        <v>64.423868312757207</v>
      </c>
      <c r="O253" s="296">
        <f t="shared" si="35"/>
        <v>36.538601517280874</v>
      </c>
    </row>
    <row r="254" spans="1:15">
      <c r="A254" s="220">
        <v>248</v>
      </c>
      <c r="B254" s="220">
        <v>236</v>
      </c>
      <c r="C254" s="221">
        <f t="shared" si="36"/>
        <v>0.84067796610169487</v>
      </c>
      <c r="D254" s="222" t="s">
        <v>30</v>
      </c>
      <c r="E254" s="223" t="s">
        <v>1793</v>
      </c>
      <c r="F254" s="220">
        <v>7</v>
      </c>
      <c r="G254" s="220">
        <v>11</v>
      </c>
      <c r="H254" s="291">
        <f t="shared" si="30"/>
        <v>31.662229752626224</v>
      </c>
      <c r="I254" s="291">
        <f t="shared" si="31"/>
        <v>48.919791666666669</v>
      </c>
      <c r="J254" s="291">
        <f t="shared" si="32"/>
        <v>34.962575000000001</v>
      </c>
      <c r="K254" s="291">
        <f t="shared" si="33"/>
        <v>29.048645320197046</v>
      </c>
      <c r="L254" s="291">
        <f t="shared" si="39"/>
        <v>28.8</v>
      </c>
      <c r="M254" s="294">
        <v>27</v>
      </c>
      <c r="N254" s="291">
        <f t="shared" si="34"/>
        <v>47.273662551440331</v>
      </c>
      <c r="O254" s="296">
        <f t="shared" si="35"/>
        <v>36.025677583220045</v>
      </c>
    </row>
    <row r="255" spans="1:15">
      <c r="A255" s="220">
        <v>249</v>
      </c>
      <c r="B255" s="220">
        <v>237</v>
      </c>
      <c r="C255" s="221">
        <f t="shared" si="36"/>
        <v>0.84406779661016951</v>
      </c>
      <c r="D255" s="222" t="s">
        <v>569</v>
      </c>
      <c r="E255" s="223" t="s">
        <v>567</v>
      </c>
      <c r="F255" s="220">
        <v>9</v>
      </c>
      <c r="G255" s="220">
        <v>15</v>
      </c>
      <c r="H255" s="291">
        <f t="shared" si="30"/>
        <v>28.748533610295731</v>
      </c>
      <c r="I255" s="291">
        <f t="shared" si="31"/>
        <v>30.086555555555556</v>
      </c>
      <c r="J255" s="291">
        <f t="shared" si="32"/>
        <v>35.382628205128206</v>
      </c>
      <c r="K255" s="291">
        <f t="shared" si="33"/>
        <v>10.9067118226601</v>
      </c>
      <c r="L255" s="291">
        <f t="shared" si="39"/>
        <v>39</v>
      </c>
      <c r="M255" s="294">
        <v>63</v>
      </c>
      <c r="N255" s="291">
        <f t="shared" si="34"/>
        <v>54.094650205761319</v>
      </c>
      <c r="O255" s="296">
        <f t="shared" si="35"/>
        <v>35.341396830677063</v>
      </c>
    </row>
    <row r="256" spans="1:15">
      <c r="A256" s="220">
        <v>250</v>
      </c>
      <c r="B256" s="220">
        <v>238</v>
      </c>
      <c r="C256" s="221">
        <f t="shared" si="36"/>
        <v>0.84745762711864403</v>
      </c>
      <c r="D256" s="222" t="s">
        <v>640</v>
      </c>
      <c r="E256" s="223" t="s">
        <v>638</v>
      </c>
      <c r="F256" s="220">
        <v>10</v>
      </c>
      <c r="G256" s="220">
        <v>16</v>
      </c>
      <c r="H256" s="291">
        <f t="shared" si="30"/>
        <v>29.152471581282157</v>
      </c>
      <c r="I256" s="291">
        <f t="shared" si="31"/>
        <v>42.558916666666676</v>
      </c>
      <c r="J256" s="291">
        <f t="shared" si="32"/>
        <v>30.717564102564097</v>
      </c>
      <c r="K256" s="291">
        <f t="shared" si="33"/>
        <v>16.850369458128078</v>
      </c>
      <c r="L256" s="291">
        <f t="shared" si="39"/>
        <v>40</v>
      </c>
      <c r="M256" s="294">
        <v>43</v>
      </c>
      <c r="N256" s="291">
        <f t="shared" si="34"/>
        <v>48.148148148148152</v>
      </c>
      <c r="O256" s="296">
        <f t="shared" si="35"/>
        <v>35.219610762582946</v>
      </c>
    </row>
    <row r="257" spans="1:15">
      <c r="A257" s="220">
        <v>251</v>
      </c>
      <c r="B257" s="220">
        <v>239</v>
      </c>
      <c r="C257" s="221">
        <f t="shared" si="36"/>
        <v>0.85084745762711866</v>
      </c>
      <c r="D257" s="222" t="s">
        <v>817</v>
      </c>
      <c r="E257" s="223" t="s">
        <v>814</v>
      </c>
      <c r="F257" s="220">
        <v>7</v>
      </c>
      <c r="G257" s="220">
        <v>12</v>
      </c>
      <c r="H257" s="291">
        <f t="shared" si="30"/>
        <v>19.477494218947964</v>
      </c>
      <c r="I257" s="291">
        <f t="shared" si="31"/>
        <v>12.458333333333337</v>
      </c>
      <c r="J257" s="291">
        <f t="shared" si="32"/>
        <v>35.936346153846159</v>
      </c>
      <c r="K257" s="291">
        <f t="shared" si="33"/>
        <v>11.607142857142858</v>
      </c>
      <c r="L257" s="291">
        <f t="shared" si="39"/>
        <v>51.5</v>
      </c>
      <c r="M257" s="294">
        <v>66</v>
      </c>
      <c r="N257" s="291">
        <f t="shared" si="34"/>
        <v>63.909465020576128</v>
      </c>
      <c r="O257" s="296">
        <f t="shared" si="35"/>
        <v>35.059812551360992</v>
      </c>
    </row>
    <row r="258" spans="1:15">
      <c r="A258" s="220">
        <v>252</v>
      </c>
      <c r="B258" s="220">
        <v>240</v>
      </c>
      <c r="C258" s="221">
        <f t="shared" si="36"/>
        <v>0.85423728813559319</v>
      </c>
      <c r="D258" s="222" t="s">
        <v>826</v>
      </c>
      <c r="E258" s="223" t="s">
        <v>824</v>
      </c>
      <c r="F258" s="220">
        <v>11</v>
      </c>
      <c r="G258" s="220">
        <v>15</v>
      </c>
      <c r="H258" s="291">
        <f t="shared" si="30"/>
        <v>29.533501980366566</v>
      </c>
      <c r="I258" s="291">
        <f t="shared" si="31"/>
        <v>46.750111111111124</v>
      </c>
      <c r="J258" s="291">
        <f t="shared" si="32"/>
        <v>34.34685897435898</v>
      </c>
      <c r="K258" s="291">
        <f t="shared" si="33"/>
        <v>8.1896551724137936</v>
      </c>
      <c r="L258" s="291">
        <f t="shared" si="39"/>
        <v>38.200000000000003</v>
      </c>
      <c r="M258" s="294">
        <v>36</v>
      </c>
      <c r="N258" s="291">
        <f t="shared" si="34"/>
        <v>52.201646090534979</v>
      </c>
      <c r="O258" s="296">
        <f t="shared" si="35"/>
        <v>34.957195896736224</v>
      </c>
    </row>
    <row r="259" spans="1:15">
      <c r="A259" s="220">
        <v>253</v>
      </c>
      <c r="B259" s="220">
        <v>241</v>
      </c>
      <c r="C259" s="221">
        <f t="shared" si="36"/>
        <v>0.85762711864406782</v>
      </c>
      <c r="D259" s="222" t="s">
        <v>434</v>
      </c>
      <c r="E259" s="223" t="s">
        <v>432</v>
      </c>
      <c r="F259" s="220">
        <v>1</v>
      </c>
      <c r="G259" s="220">
        <v>3</v>
      </c>
      <c r="H259" s="291">
        <f t="shared" si="30"/>
        <v>33.772256167718723</v>
      </c>
      <c r="I259" s="291">
        <f t="shared" si="31"/>
        <v>22.020388888888881</v>
      </c>
      <c r="J259" s="291">
        <f t="shared" si="32"/>
        <v>46.842884615384619</v>
      </c>
      <c r="K259" s="291">
        <f t="shared" si="33"/>
        <v>7.1428571428571432</v>
      </c>
      <c r="L259" s="291">
        <f t="shared" si="39"/>
        <v>48</v>
      </c>
      <c r="M259" s="294">
        <v>23</v>
      </c>
      <c r="N259" s="291">
        <f t="shared" si="34"/>
        <v>57.201646090534972</v>
      </c>
      <c r="O259" s="296">
        <f t="shared" si="35"/>
        <v>34.843081985443746</v>
      </c>
    </row>
    <row r="260" spans="1:15">
      <c r="A260" s="220">
        <v>254</v>
      </c>
      <c r="B260" s="220">
        <v>242</v>
      </c>
      <c r="C260" s="221">
        <f t="shared" si="36"/>
        <v>0.86101694915254234</v>
      </c>
      <c r="D260" s="222" t="s">
        <v>604</v>
      </c>
      <c r="E260" s="223" t="s">
        <v>602</v>
      </c>
      <c r="F260" s="220">
        <v>4</v>
      </c>
      <c r="G260" s="220">
        <v>5</v>
      </c>
      <c r="H260" s="291">
        <f t="shared" si="30"/>
        <v>20.177607281131511</v>
      </c>
      <c r="I260" s="291">
        <f t="shared" si="31"/>
        <v>26.687138888888899</v>
      </c>
      <c r="J260" s="291">
        <f t="shared" si="32"/>
        <v>48.709166666666661</v>
      </c>
      <c r="K260" s="291">
        <f t="shared" si="33"/>
        <v>0</v>
      </c>
      <c r="L260" s="291">
        <f>VLOOKUP(D260,ВПРдек, 24,FALSE)</f>
        <v>52</v>
      </c>
      <c r="M260" s="294">
        <v>76</v>
      </c>
      <c r="N260" s="291">
        <f t="shared" si="34"/>
        <v>40.514403292181079</v>
      </c>
      <c r="O260" s="296">
        <f t="shared" si="35"/>
        <v>34.782817865979716</v>
      </c>
    </row>
    <row r="261" spans="1:15">
      <c r="A261" s="220">
        <v>255</v>
      </c>
      <c r="B261" s="220">
        <v>243</v>
      </c>
      <c r="C261" s="221">
        <f t="shared" si="36"/>
        <v>0.86440677966101698</v>
      </c>
      <c r="D261" s="222" t="s">
        <v>42</v>
      </c>
      <c r="E261" s="223" t="s">
        <v>40</v>
      </c>
      <c r="F261" s="220">
        <v>5</v>
      </c>
      <c r="G261" s="220">
        <v>7</v>
      </c>
      <c r="H261" s="291">
        <f t="shared" si="30"/>
        <v>39.51005494657435</v>
      </c>
      <c r="I261" s="291">
        <f t="shared" si="31"/>
        <v>28.370611111111124</v>
      </c>
      <c r="J261" s="291">
        <f t="shared" si="32"/>
        <v>55.755000000000003</v>
      </c>
      <c r="K261" s="291">
        <f t="shared" si="33"/>
        <v>0</v>
      </c>
      <c r="L261" s="291">
        <f>VLOOKUP(D261,ВПРдек, 24,FALSE)</f>
        <v>41</v>
      </c>
      <c r="M261" s="294">
        <v>53</v>
      </c>
      <c r="N261" s="291">
        <f t="shared" si="34"/>
        <v>33.086419753086425</v>
      </c>
      <c r="O261" s="296">
        <f t="shared" si="35"/>
        <v>34.495705509349527</v>
      </c>
    </row>
    <row r="262" spans="1:15">
      <c r="A262" s="220">
        <v>256</v>
      </c>
      <c r="B262" s="220">
        <v>244</v>
      </c>
      <c r="C262" s="221">
        <f t="shared" si="36"/>
        <v>0.8677966101694915</v>
      </c>
      <c r="D262" s="222" t="s">
        <v>721</v>
      </c>
      <c r="E262" s="223" t="s">
        <v>719</v>
      </c>
      <c r="F262" s="220">
        <v>11</v>
      </c>
      <c r="G262" s="220">
        <v>16</v>
      </c>
      <c r="H262" s="291">
        <f t="shared" si="30"/>
        <v>37.062120953595759</v>
      </c>
      <c r="I262" s="291">
        <f t="shared" si="31"/>
        <v>26.879027777777786</v>
      </c>
      <c r="J262" s="291">
        <f t="shared" si="32"/>
        <v>39.369679487179482</v>
      </c>
      <c r="K262" s="291">
        <f t="shared" si="33"/>
        <v>12.607758620689655</v>
      </c>
      <c r="L262" s="291">
        <f>VLOOKUP(D262,ВПРдек, 25,FALSE)</f>
        <v>37.200000000000003</v>
      </c>
      <c r="M262" s="294">
        <v>48</v>
      </c>
      <c r="N262" s="291">
        <f t="shared" si="34"/>
        <v>45.5761316872428</v>
      </c>
      <c r="O262" s="296">
        <f t="shared" si="35"/>
        <v>34.260725927151611</v>
      </c>
    </row>
    <row r="263" spans="1:15">
      <c r="A263" s="220">
        <v>257</v>
      </c>
      <c r="B263" s="220">
        <v>245</v>
      </c>
      <c r="C263" s="221">
        <f t="shared" si="36"/>
        <v>0.87118644067796613</v>
      </c>
      <c r="D263" s="222" t="s">
        <v>91</v>
      </c>
      <c r="E263" s="223" t="s">
        <v>1925</v>
      </c>
      <c r="F263" s="220">
        <v>3</v>
      </c>
      <c r="G263" s="220">
        <v>6</v>
      </c>
      <c r="H263" s="291">
        <f t="shared" ref="H263:H301" si="40">((VLOOKUP(D263, ВПРдек, 8, FALSE))*(0.4) + VLOOKUP(D263, матанВесна, 4,FALSE)*0.317*0.6) / (40+0.6*0.317*100) * 100</f>
        <v>26.036766411756268</v>
      </c>
      <c r="I263" s="291">
        <f t="shared" ref="I263:I301" si="41">(VLOOKUP(D263,ВПРдек, 11,FALSE) * 0.2 + VLOOKUP(E263, StatSpring, 18,FALSE) * 0.2) * 2.5</f>
        <v>29.31388888888889</v>
      </c>
      <c r="J263" s="291">
        <f t="shared" ref="J263:J301" si="42">VLOOKUP(D263, ВПРдек, 5, FALSE)</f>
        <v>47.394358974358973</v>
      </c>
      <c r="K263" s="291">
        <f t="shared" ref="K263:K301" si="43">VLOOKUP(E263, MacroSpring1, 8,FALSE)</f>
        <v>9.5289408866995071</v>
      </c>
      <c r="L263" s="291">
        <f>VLOOKUP(D263,ВПРдек, 25,FALSE)</f>
        <v>36</v>
      </c>
      <c r="M263" s="294">
        <v>60</v>
      </c>
      <c r="N263" s="291">
        <f t="shared" ref="N263:N301" si="44">(VLOOKUP(D263, ВПРдек, 23,FALSE) * 0.25 + VLOOKUP(D263,EngMarch,2,FALSE) / 9 * 100 * 0.2) / 45 * 100</f>
        <v>44.341563786008223</v>
      </c>
      <c r="O263" s="296">
        <f t="shared" ref="O263:O301" si="45">(H263 +I263+J263+K263+L263+M263*0.5+N263)/6.5</f>
        <v>34.248541376571055</v>
      </c>
    </row>
    <row r="264" spans="1:15">
      <c r="A264" s="220">
        <v>258</v>
      </c>
      <c r="B264" s="220">
        <v>246</v>
      </c>
      <c r="C264" s="221">
        <f t="shared" ref="C264:C301" si="46">A264/295</f>
        <v>0.87457627118644066</v>
      </c>
      <c r="D264" s="222" t="s">
        <v>947</v>
      </c>
      <c r="E264" s="223" t="s">
        <v>945</v>
      </c>
      <c r="F264" s="220">
        <v>5</v>
      </c>
      <c r="G264" s="220">
        <v>8</v>
      </c>
      <c r="H264" s="291">
        <f t="shared" si="40"/>
        <v>23.471522969958887</v>
      </c>
      <c r="I264" s="291">
        <f t="shared" si="41"/>
        <v>50.371055555555557</v>
      </c>
      <c r="J264" s="291">
        <f t="shared" si="42"/>
        <v>39.943782051282049</v>
      </c>
      <c r="K264" s="291">
        <f t="shared" si="43"/>
        <v>38.525246305418719</v>
      </c>
      <c r="L264" s="291">
        <v>0</v>
      </c>
      <c r="M264" s="294">
        <v>46</v>
      </c>
      <c r="N264" s="291">
        <f t="shared" si="44"/>
        <v>46.769547325102884</v>
      </c>
      <c r="O264" s="296">
        <f t="shared" si="45"/>
        <v>34.166331416510474</v>
      </c>
    </row>
    <row r="265" spans="1:15">
      <c r="A265" s="220">
        <v>259</v>
      </c>
      <c r="B265" s="220">
        <v>247</v>
      </c>
      <c r="C265" s="221">
        <f t="shared" si="46"/>
        <v>0.87796610169491529</v>
      </c>
      <c r="D265" s="222" t="s">
        <v>283</v>
      </c>
      <c r="E265" s="223" t="s">
        <v>281</v>
      </c>
      <c r="F265" s="220">
        <v>6</v>
      </c>
      <c r="G265" s="220">
        <v>8</v>
      </c>
      <c r="H265" s="291">
        <f t="shared" si="40"/>
        <v>25.498840848912696</v>
      </c>
      <c r="I265" s="291">
        <f t="shared" si="41"/>
        <v>55.995388888888904</v>
      </c>
      <c r="J265" s="291">
        <f t="shared" si="42"/>
        <v>34.670448717948716</v>
      </c>
      <c r="K265" s="291">
        <f t="shared" si="43"/>
        <v>8.8669950738916263</v>
      </c>
      <c r="L265" s="291">
        <f t="shared" ref="L265:L271" si="47">VLOOKUP(D265,ВПРдек, 25,FALSE)</f>
        <v>18</v>
      </c>
      <c r="M265" s="294">
        <v>23</v>
      </c>
      <c r="N265" s="291">
        <f t="shared" si="44"/>
        <v>66.152263374485599</v>
      </c>
      <c r="O265" s="296">
        <f t="shared" si="45"/>
        <v>33.951374908327317</v>
      </c>
    </row>
    <row r="266" spans="1:15">
      <c r="A266" s="220">
        <v>260</v>
      </c>
      <c r="B266" s="220">
        <v>248</v>
      </c>
      <c r="C266" s="221">
        <f t="shared" si="46"/>
        <v>0.88135593220338981</v>
      </c>
      <c r="D266" s="222" t="s">
        <v>181</v>
      </c>
      <c r="E266" s="223" t="s">
        <v>179</v>
      </c>
      <c r="F266" s="220">
        <v>8</v>
      </c>
      <c r="G266" s="220">
        <v>11</v>
      </c>
      <c r="H266" s="291">
        <f t="shared" si="40"/>
        <v>20.021723148204664</v>
      </c>
      <c r="I266" s="291">
        <f t="shared" si="41"/>
        <v>17.830555555555556</v>
      </c>
      <c r="J266" s="291">
        <f t="shared" si="42"/>
        <v>28.284102564102565</v>
      </c>
      <c r="K266" s="291">
        <f t="shared" si="43"/>
        <v>12.653940886699507</v>
      </c>
      <c r="L266" s="291">
        <f t="shared" si="47"/>
        <v>57</v>
      </c>
      <c r="M266" s="294">
        <v>32</v>
      </c>
      <c r="N266" s="291">
        <f t="shared" si="44"/>
        <v>67.283950617283949</v>
      </c>
      <c r="O266" s="296">
        <f t="shared" si="45"/>
        <v>33.703734272591731</v>
      </c>
    </row>
    <row r="267" spans="1:15">
      <c r="A267" s="220">
        <v>261</v>
      </c>
      <c r="B267" s="220">
        <v>249</v>
      </c>
      <c r="C267" s="221">
        <f t="shared" si="46"/>
        <v>0.88474576271186445</v>
      </c>
      <c r="D267" s="222" t="s">
        <v>959</v>
      </c>
      <c r="E267" s="223" t="s">
        <v>957</v>
      </c>
      <c r="F267" s="220">
        <v>5</v>
      </c>
      <c r="G267" s="220">
        <v>7</v>
      </c>
      <c r="H267" s="291">
        <f t="shared" si="40"/>
        <v>30.839842193564458</v>
      </c>
      <c r="I267" s="291">
        <f t="shared" si="41"/>
        <v>24.997222222222231</v>
      </c>
      <c r="J267" s="291">
        <f t="shared" si="42"/>
        <v>31.743589743589745</v>
      </c>
      <c r="K267" s="291">
        <f t="shared" si="43"/>
        <v>9.8214285714285712</v>
      </c>
      <c r="L267" s="291">
        <f t="shared" si="47"/>
        <v>53.7</v>
      </c>
      <c r="M267" s="294">
        <v>35</v>
      </c>
      <c r="N267" s="291">
        <f t="shared" si="44"/>
        <v>50.308641975308646</v>
      </c>
      <c r="O267" s="296">
        <f t="shared" si="45"/>
        <v>33.678573031709789</v>
      </c>
    </row>
    <row r="268" spans="1:15">
      <c r="A268" s="220">
        <v>262</v>
      </c>
      <c r="B268" s="220">
        <v>250</v>
      </c>
      <c r="C268" s="221">
        <f t="shared" si="46"/>
        <v>0.88813559322033897</v>
      </c>
      <c r="D268" s="222" t="s">
        <v>527</v>
      </c>
      <c r="E268" s="223" t="s">
        <v>525</v>
      </c>
      <c r="F268" s="220">
        <v>9</v>
      </c>
      <c r="G268" s="220">
        <v>15</v>
      </c>
      <c r="H268" s="291">
        <f t="shared" si="40"/>
        <v>15.899011409540046</v>
      </c>
      <c r="I268" s="291">
        <f t="shared" si="41"/>
        <v>28.513444444444431</v>
      </c>
      <c r="J268" s="291">
        <f t="shared" si="42"/>
        <v>32.005128205128202</v>
      </c>
      <c r="K268" s="291">
        <f t="shared" si="43"/>
        <v>0</v>
      </c>
      <c r="L268" s="291">
        <f t="shared" si="47"/>
        <v>62</v>
      </c>
      <c r="M268" s="294">
        <v>42</v>
      </c>
      <c r="N268" s="291">
        <f t="shared" si="44"/>
        <v>58.518518518518526</v>
      </c>
      <c r="O268" s="296">
        <f t="shared" si="45"/>
        <v>33.528631165789413</v>
      </c>
    </row>
    <row r="269" spans="1:15">
      <c r="A269" s="220">
        <v>263</v>
      </c>
      <c r="B269" s="220">
        <v>251</v>
      </c>
      <c r="C269" s="221">
        <f t="shared" si="46"/>
        <v>0.8915254237288136</v>
      </c>
      <c r="D269" s="222" t="s">
        <v>45</v>
      </c>
      <c r="E269" s="223" t="s">
        <v>43</v>
      </c>
      <c r="F269" s="220">
        <v>7</v>
      </c>
      <c r="G269" s="220">
        <v>10</v>
      </c>
      <c r="H269" s="291">
        <f t="shared" si="40"/>
        <v>32.1479828101414</v>
      </c>
      <c r="I269" s="291">
        <f t="shared" si="41"/>
        <v>26.113888888888887</v>
      </c>
      <c r="J269" s="291">
        <f t="shared" si="42"/>
        <v>50.639551282051286</v>
      </c>
      <c r="K269" s="291">
        <f t="shared" si="43"/>
        <v>7.5738916256157642</v>
      </c>
      <c r="L269" s="291">
        <f t="shared" si="47"/>
        <v>37.5</v>
      </c>
      <c r="M269" s="294">
        <v>25</v>
      </c>
      <c r="N269" s="291">
        <f t="shared" si="44"/>
        <v>48.724279835390952</v>
      </c>
      <c r="O269" s="296">
        <f t="shared" si="45"/>
        <v>33.107629914167426</v>
      </c>
    </row>
    <row r="270" spans="1:15">
      <c r="A270" s="220">
        <v>264</v>
      </c>
      <c r="B270" s="220">
        <v>252</v>
      </c>
      <c r="C270" s="221">
        <f t="shared" si="46"/>
        <v>0.89491525423728813</v>
      </c>
      <c r="D270" s="222" t="s">
        <v>337</v>
      </c>
      <c r="E270" s="223" t="s">
        <v>335</v>
      </c>
      <c r="F270" s="220">
        <v>11</v>
      </c>
      <c r="G270" s="220">
        <v>13</v>
      </c>
      <c r="H270" s="291">
        <f t="shared" si="40"/>
        <v>20.035002510099236</v>
      </c>
      <c r="I270" s="291">
        <f t="shared" si="41"/>
        <v>24.298388888888894</v>
      </c>
      <c r="J270" s="291">
        <f t="shared" si="42"/>
        <v>33.331666666666663</v>
      </c>
      <c r="K270" s="291">
        <f t="shared" si="43"/>
        <v>13.300492610837438</v>
      </c>
      <c r="L270" s="291">
        <f t="shared" si="47"/>
        <v>46.7</v>
      </c>
      <c r="M270" s="294">
        <v>37</v>
      </c>
      <c r="N270" s="291">
        <f t="shared" si="44"/>
        <v>58.662551440329224</v>
      </c>
      <c r="O270" s="296">
        <f t="shared" si="45"/>
        <v>33.050477248741757</v>
      </c>
    </row>
    <row r="271" spans="1:15">
      <c r="A271" s="220">
        <v>265</v>
      </c>
      <c r="B271" s="220">
        <v>253</v>
      </c>
      <c r="C271" s="221">
        <f t="shared" si="46"/>
        <v>0.89830508474576276</v>
      </c>
      <c r="D271" s="222" t="s">
        <v>112</v>
      </c>
      <c r="E271" s="223" t="s">
        <v>2080</v>
      </c>
      <c r="F271" s="220" t="s">
        <v>1002</v>
      </c>
      <c r="G271" s="220" t="s">
        <v>2059</v>
      </c>
      <c r="H271" s="291">
        <f t="shared" si="40"/>
        <v>37.755149718585848</v>
      </c>
      <c r="I271" s="291">
        <f t="shared" si="41"/>
        <v>42.172083333333319</v>
      </c>
      <c r="J271" s="291">
        <f t="shared" si="42"/>
        <v>21.183974358974357</v>
      </c>
      <c r="K271" s="291">
        <f t="shared" si="43"/>
        <v>14.516625615763548</v>
      </c>
      <c r="L271" s="291">
        <f t="shared" si="47"/>
        <v>21</v>
      </c>
      <c r="M271" s="294">
        <v>16</v>
      </c>
      <c r="N271" s="291">
        <f t="shared" si="44"/>
        <v>68.106995884773667</v>
      </c>
      <c r="O271" s="296">
        <f t="shared" si="45"/>
        <v>32.728435217143186</v>
      </c>
    </row>
    <row r="272" spans="1:15">
      <c r="A272" s="220">
        <v>266</v>
      </c>
      <c r="B272" s="220">
        <v>254</v>
      </c>
      <c r="C272" s="221">
        <f t="shared" si="46"/>
        <v>0.90169491525423728</v>
      </c>
      <c r="D272" s="222" t="s">
        <v>801</v>
      </c>
      <c r="E272" s="223" t="s">
        <v>799</v>
      </c>
      <c r="F272" s="220">
        <v>9</v>
      </c>
      <c r="G272" s="220">
        <v>12</v>
      </c>
      <c r="H272" s="291">
        <f t="shared" si="40"/>
        <v>16.662815989688237</v>
      </c>
      <c r="I272" s="291">
        <f t="shared" si="41"/>
        <v>37.010083333333327</v>
      </c>
      <c r="J272" s="291">
        <f t="shared" si="42"/>
        <v>33.764294871794874</v>
      </c>
      <c r="K272" s="291">
        <f t="shared" si="43"/>
        <v>21.548645320197046</v>
      </c>
      <c r="L272" s="291">
        <f>VLOOKUP(D272,ВПРдек, 24,FALSE)</f>
        <v>38.333333333333329</v>
      </c>
      <c r="M272" s="294">
        <v>49</v>
      </c>
      <c r="N272" s="291">
        <f t="shared" si="44"/>
        <v>40.720164609053505</v>
      </c>
      <c r="O272" s="296">
        <f t="shared" si="45"/>
        <v>32.698359608830813</v>
      </c>
    </row>
    <row r="273" spans="1:15">
      <c r="A273" s="220">
        <v>267</v>
      </c>
      <c r="B273" s="220">
        <v>255</v>
      </c>
      <c r="C273" s="221">
        <f t="shared" si="46"/>
        <v>0.90508474576271192</v>
      </c>
      <c r="D273" s="222" t="s">
        <v>67</v>
      </c>
      <c r="E273" s="223" t="s">
        <v>65</v>
      </c>
      <c r="F273" s="220">
        <v>1</v>
      </c>
      <c r="G273" s="220">
        <v>3</v>
      </c>
      <c r="H273" s="291">
        <f t="shared" si="40"/>
        <v>28.590797230180492</v>
      </c>
      <c r="I273" s="291">
        <f t="shared" si="41"/>
        <v>35.155111111111125</v>
      </c>
      <c r="J273" s="291">
        <f t="shared" si="42"/>
        <v>44.367692307692309</v>
      </c>
      <c r="K273" s="291">
        <f t="shared" si="43"/>
        <v>7.1428571428571432</v>
      </c>
      <c r="L273" s="291">
        <f t="shared" ref="L273:L280" si="48">VLOOKUP(D273,ВПРдек, 25,FALSE)</f>
        <v>32</v>
      </c>
      <c r="M273" s="294">
        <v>14</v>
      </c>
      <c r="N273" s="291">
        <f t="shared" si="44"/>
        <v>58.065843621399182</v>
      </c>
      <c r="O273" s="296">
        <f t="shared" si="45"/>
        <v>32.664969448190803</v>
      </c>
    </row>
    <row r="274" spans="1:15">
      <c r="A274" s="220">
        <v>268</v>
      </c>
      <c r="B274" s="220">
        <v>256</v>
      </c>
      <c r="C274" s="221">
        <f t="shared" si="46"/>
        <v>0.90847457627118644</v>
      </c>
      <c r="D274" s="222" t="s">
        <v>798</v>
      </c>
      <c r="E274" s="223" t="s">
        <v>796</v>
      </c>
      <c r="F274" s="220">
        <v>2</v>
      </c>
      <c r="G274" s="220">
        <v>3</v>
      </c>
      <c r="H274" s="291">
        <f t="shared" si="40"/>
        <v>26.812971516980326</v>
      </c>
      <c r="I274" s="291">
        <f t="shared" si="41"/>
        <v>32.99166666666666</v>
      </c>
      <c r="J274" s="291">
        <f t="shared" si="42"/>
        <v>29.615064102564101</v>
      </c>
      <c r="K274" s="291">
        <f t="shared" si="43"/>
        <v>11.237684729064039</v>
      </c>
      <c r="L274" s="291">
        <f t="shared" si="48"/>
        <v>40</v>
      </c>
      <c r="M274" s="294">
        <v>29</v>
      </c>
      <c r="N274" s="291">
        <f t="shared" si="44"/>
        <v>55.802469135802482</v>
      </c>
      <c r="O274" s="296">
        <f t="shared" si="45"/>
        <v>32.455362484781169</v>
      </c>
    </row>
    <row r="275" spans="1:15">
      <c r="A275" s="220">
        <v>269</v>
      </c>
      <c r="B275" s="220">
        <v>257</v>
      </c>
      <c r="C275" s="221">
        <f t="shared" si="46"/>
        <v>0.91186440677966096</v>
      </c>
      <c r="D275" s="222" t="s">
        <v>589</v>
      </c>
      <c r="E275" s="223" t="s">
        <v>587</v>
      </c>
      <c r="F275" s="220">
        <v>1</v>
      </c>
      <c r="G275" s="220">
        <v>2</v>
      </c>
      <c r="H275" s="291">
        <f t="shared" si="40"/>
        <v>28.227278722256699</v>
      </c>
      <c r="I275" s="291">
        <f t="shared" si="41"/>
        <v>23.466888888888899</v>
      </c>
      <c r="J275" s="291">
        <f t="shared" si="42"/>
        <v>30.527564102564099</v>
      </c>
      <c r="K275" s="291">
        <f t="shared" si="43"/>
        <v>9.3596059113300498</v>
      </c>
      <c r="L275" s="291">
        <f t="shared" si="48"/>
        <v>49.8</v>
      </c>
      <c r="M275" s="294">
        <v>18</v>
      </c>
      <c r="N275" s="291">
        <f t="shared" si="44"/>
        <v>60.473251028806587</v>
      </c>
      <c r="O275" s="296">
        <f t="shared" si="45"/>
        <v>32.439167485207129</v>
      </c>
    </row>
    <row r="276" spans="1:15">
      <c r="A276" s="220">
        <v>270</v>
      </c>
      <c r="B276" s="220">
        <v>258</v>
      </c>
      <c r="C276" s="221">
        <f t="shared" si="46"/>
        <v>0.9152542372881356</v>
      </c>
      <c r="D276" s="222" t="s">
        <v>598</v>
      </c>
      <c r="E276" s="223" t="s">
        <v>596</v>
      </c>
      <c r="F276" s="220">
        <v>6</v>
      </c>
      <c r="G276" s="220">
        <v>7</v>
      </c>
      <c r="H276" s="291">
        <f t="shared" si="40"/>
        <v>29.424148228905988</v>
      </c>
      <c r="I276" s="291">
        <f t="shared" si="41"/>
        <v>32.680555555555564</v>
      </c>
      <c r="J276" s="291">
        <f t="shared" si="42"/>
        <v>51.999074038461536</v>
      </c>
      <c r="K276" s="291">
        <f t="shared" si="43"/>
        <v>20.812807881773399</v>
      </c>
      <c r="L276" s="291">
        <f t="shared" si="48"/>
        <v>44</v>
      </c>
      <c r="M276" s="294">
        <v>9</v>
      </c>
      <c r="N276" s="291">
        <f t="shared" si="44"/>
        <v>24.691358024691361</v>
      </c>
      <c r="O276" s="296">
        <f t="shared" si="45"/>
        <v>32.016606727598131</v>
      </c>
    </row>
    <row r="277" spans="1:15">
      <c r="A277" s="220">
        <v>271</v>
      </c>
      <c r="B277" s="220">
        <v>259</v>
      </c>
      <c r="C277" s="221">
        <f t="shared" si="46"/>
        <v>0.91864406779661012</v>
      </c>
      <c r="D277" s="222" t="s">
        <v>908</v>
      </c>
      <c r="E277" s="223" t="s">
        <v>906</v>
      </c>
      <c r="F277" s="220">
        <v>11</v>
      </c>
      <c r="G277" s="220">
        <v>15</v>
      </c>
      <c r="H277" s="291">
        <f t="shared" si="40"/>
        <v>17.111387129969778</v>
      </c>
      <c r="I277" s="291">
        <f t="shared" si="41"/>
        <v>26.513444444444435</v>
      </c>
      <c r="J277" s="291">
        <f t="shared" si="42"/>
        <v>39.126089743589745</v>
      </c>
      <c r="K277" s="291">
        <f t="shared" si="43"/>
        <v>11.66871921182266</v>
      </c>
      <c r="L277" s="291">
        <f t="shared" si="48"/>
        <v>49.6</v>
      </c>
      <c r="M277" s="294">
        <v>30</v>
      </c>
      <c r="N277" s="291">
        <f t="shared" si="44"/>
        <v>48.518518518518519</v>
      </c>
      <c r="O277" s="296">
        <f t="shared" si="45"/>
        <v>31.928947545899256</v>
      </c>
    </row>
    <row r="278" spans="1:15">
      <c r="A278" s="220">
        <v>272</v>
      </c>
      <c r="B278" s="220">
        <v>260</v>
      </c>
      <c r="C278" s="221">
        <f t="shared" si="46"/>
        <v>0.92203389830508475</v>
      </c>
      <c r="D278" s="222" t="s">
        <v>259</v>
      </c>
      <c r="E278" s="223" t="s">
        <v>257</v>
      </c>
      <c r="F278" s="220">
        <v>5</v>
      </c>
      <c r="G278" s="220">
        <v>9</v>
      </c>
      <c r="H278" s="291">
        <f t="shared" si="40"/>
        <v>21.866844135280473</v>
      </c>
      <c r="I278" s="291">
        <f t="shared" si="41"/>
        <v>15.61549999999999</v>
      </c>
      <c r="J278" s="291">
        <f t="shared" si="42"/>
        <v>24.513910256410256</v>
      </c>
      <c r="K278" s="291">
        <f t="shared" si="43"/>
        <v>7.1428571428571432</v>
      </c>
      <c r="L278" s="291">
        <f t="shared" si="48"/>
        <v>52.7</v>
      </c>
      <c r="M278" s="294">
        <v>29</v>
      </c>
      <c r="N278" s="291">
        <f t="shared" si="44"/>
        <v>61.646090534979422</v>
      </c>
      <c r="O278" s="296">
        <f t="shared" si="45"/>
        <v>30.459261856850354</v>
      </c>
    </row>
    <row r="279" spans="1:15">
      <c r="A279" s="220">
        <v>273</v>
      </c>
      <c r="B279" s="220">
        <v>261</v>
      </c>
      <c r="C279" s="221">
        <f t="shared" si="46"/>
        <v>0.92542372881355928</v>
      </c>
      <c r="D279" s="222" t="s">
        <v>899</v>
      </c>
      <c r="E279" s="223" t="s">
        <v>1944</v>
      </c>
      <c r="F279" s="220">
        <v>7</v>
      </c>
      <c r="G279" s="220">
        <v>12</v>
      </c>
      <c r="H279" s="291">
        <f t="shared" si="40"/>
        <v>23.769107832940431</v>
      </c>
      <c r="I279" s="291">
        <f t="shared" si="41"/>
        <v>16.302777777777777</v>
      </c>
      <c r="J279" s="291">
        <f t="shared" si="42"/>
        <v>33.024871794871792</v>
      </c>
      <c r="K279" s="291">
        <f t="shared" si="43"/>
        <v>6.8349753694581281</v>
      </c>
      <c r="L279" s="291">
        <f t="shared" si="48"/>
        <v>47.5</v>
      </c>
      <c r="M279" s="294">
        <v>41</v>
      </c>
      <c r="N279" s="291">
        <f t="shared" si="44"/>
        <v>49.691358024691368</v>
      </c>
      <c r="O279" s="296">
        <f t="shared" si="45"/>
        <v>30.403552430729157</v>
      </c>
    </row>
    <row r="280" spans="1:15">
      <c r="A280" s="220">
        <v>274</v>
      </c>
      <c r="B280" s="220">
        <v>262</v>
      </c>
      <c r="C280" s="221">
        <f t="shared" si="46"/>
        <v>0.92881355932203391</v>
      </c>
      <c r="D280" s="222" t="s">
        <v>932</v>
      </c>
      <c r="E280" s="223" t="s">
        <v>930</v>
      </c>
      <c r="F280" s="220">
        <v>9</v>
      </c>
      <c r="G280" s="220">
        <v>16</v>
      </c>
      <c r="H280" s="291">
        <f t="shared" si="40"/>
        <v>16.536153992850029</v>
      </c>
      <c r="I280" s="291">
        <f t="shared" si="41"/>
        <v>27.4</v>
      </c>
      <c r="J280" s="291">
        <f t="shared" si="42"/>
        <v>29.77192307692308</v>
      </c>
      <c r="K280" s="291">
        <f t="shared" si="43"/>
        <v>8.9285714285714288</v>
      </c>
      <c r="L280" s="291">
        <f t="shared" si="48"/>
        <v>54</v>
      </c>
      <c r="M280" s="294">
        <v>42</v>
      </c>
      <c r="N280" s="291">
        <f t="shared" si="44"/>
        <v>39.917695473251023</v>
      </c>
      <c r="O280" s="296">
        <f t="shared" si="45"/>
        <v>30.392975995630085</v>
      </c>
    </row>
    <row r="281" spans="1:15">
      <c r="A281" s="220">
        <v>275</v>
      </c>
      <c r="B281" s="220">
        <v>263</v>
      </c>
      <c r="C281" s="221">
        <f t="shared" si="46"/>
        <v>0.93220338983050843</v>
      </c>
      <c r="D281" s="222" t="s">
        <v>500</v>
      </c>
      <c r="E281" s="223" t="s">
        <v>498</v>
      </c>
      <c r="F281" s="220">
        <v>5</v>
      </c>
      <c r="G281" s="220">
        <v>7</v>
      </c>
      <c r="H281" s="291">
        <f t="shared" si="40"/>
        <v>21.707902536124163</v>
      </c>
      <c r="I281" s="291">
        <f t="shared" si="41"/>
        <v>18.019888888888897</v>
      </c>
      <c r="J281" s="291">
        <f t="shared" si="42"/>
        <v>32.604230769230767</v>
      </c>
      <c r="K281" s="291">
        <f t="shared" si="43"/>
        <v>14.362684729064039</v>
      </c>
      <c r="L281" s="291">
        <f>VLOOKUP(D281,ВПРдек, 24,FALSE)</f>
        <v>55.666666666666664</v>
      </c>
      <c r="M281" s="294">
        <v>37</v>
      </c>
      <c r="N281" s="291">
        <f t="shared" si="44"/>
        <v>33.518518518518512</v>
      </c>
      <c r="O281" s="296">
        <f t="shared" si="45"/>
        <v>29.904598785922005</v>
      </c>
    </row>
    <row r="282" spans="1:15">
      <c r="A282" s="220">
        <v>276</v>
      </c>
      <c r="B282" s="220">
        <v>264</v>
      </c>
      <c r="C282" s="221">
        <f t="shared" si="46"/>
        <v>0.93559322033898307</v>
      </c>
      <c r="D282" s="222" t="s">
        <v>217</v>
      </c>
      <c r="E282" s="223" t="s">
        <v>215</v>
      </c>
      <c r="F282" s="220">
        <v>8</v>
      </c>
      <c r="G282" s="220">
        <v>12</v>
      </c>
      <c r="H282" s="291">
        <f t="shared" si="40"/>
        <v>27.662743862757129</v>
      </c>
      <c r="I282" s="291">
        <f t="shared" si="41"/>
        <v>13.516666666666675</v>
      </c>
      <c r="J282" s="291">
        <f t="shared" si="42"/>
        <v>36.590897435897432</v>
      </c>
      <c r="K282" s="291">
        <f t="shared" si="43"/>
        <v>0</v>
      </c>
      <c r="L282" s="291">
        <f>VLOOKUP(D282,ВПРдек, 25,FALSE)</f>
        <v>55.5</v>
      </c>
      <c r="M282" s="294">
        <v>54</v>
      </c>
      <c r="N282" s="291">
        <f t="shared" si="44"/>
        <v>30.308641975308642</v>
      </c>
      <c r="O282" s="296">
        <f t="shared" si="45"/>
        <v>29.319838452404596</v>
      </c>
    </row>
    <row r="283" spans="1:15">
      <c r="A283" s="220">
        <v>277</v>
      </c>
      <c r="B283" s="220">
        <v>265</v>
      </c>
      <c r="C283" s="221">
        <f t="shared" si="46"/>
        <v>0.93898305084745759</v>
      </c>
      <c r="D283" s="222" t="s">
        <v>515</v>
      </c>
      <c r="E283" s="223" t="s">
        <v>513</v>
      </c>
      <c r="F283" s="220">
        <v>9</v>
      </c>
      <c r="G283" s="220">
        <v>16</v>
      </c>
      <c r="H283" s="291">
        <f t="shared" si="40"/>
        <v>11.274290494747543</v>
      </c>
      <c r="I283" s="291">
        <f t="shared" si="41"/>
        <v>24.835666666666654</v>
      </c>
      <c r="J283" s="291">
        <f t="shared" si="42"/>
        <v>23.801153846153845</v>
      </c>
      <c r="K283" s="291">
        <f t="shared" si="43"/>
        <v>11.607142857142858</v>
      </c>
      <c r="L283" s="291">
        <f>VLOOKUP(D283,ВПРдек, 25,FALSE)</f>
        <v>47</v>
      </c>
      <c r="M283" s="294">
        <v>37</v>
      </c>
      <c r="N283" s="291">
        <f t="shared" si="44"/>
        <v>51.769547325102884</v>
      </c>
      <c r="O283" s="296">
        <f t="shared" si="45"/>
        <v>29.0442771061252</v>
      </c>
    </row>
    <row r="284" spans="1:15">
      <c r="A284" s="220">
        <v>278</v>
      </c>
      <c r="B284" s="220">
        <v>266</v>
      </c>
      <c r="C284" s="221">
        <f t="shared" si="46"/>
        <v>0.94237288135593222</v>
      </c>
      <c r="D284" s="222" t="s">
        <v>592</v>
      </c>
      <c r="E284" s="223" t="s">
        <v>590</v>
      </c>
      <c r="F284" s="220">
        <v>4</v>
      </c>
      <c r="G284" s="220">
        <v>5</v>
      </c>
      <c r="H284" s="291">
        <f t="shared" si="40"/>
        <v>26.087594485127525</v>
      </c>
      <c r="I284" s="291">
        <f t="shared" si="41"/>
        <v>28.412277777777778</v>
      </c>
      <c r="J284" s="291">
        <f t="shared" si="42"/>
        <v>17.852756410256411</v>
      </c>
      <c r="K284" s="291">
        <f t="shared" si="43"/>
        <v>14.100985221674877</v>
      </c>
      <c r="L284" s="291">
        <f>VLOOKUP(D284,ВПРдек, 25,FALSE)</f>
        <v>41</v>
      </c>
      <c r="M284" s="294">
        <v>25</v>
      </c>
      <c r="N284" s="291">
        <f t="shared" si="44"/>
        <v>47.057613168724274</v>
      </c>
      <c r="O284" s="296">
        <f t="shared" si="45"/>
        <v>28.770958009778592</v>
      </c>
    </row>
    <row r="285" spans="1:15">
      <c r="A285" s="220">
        <v>279</v>
      </c>
      <c r="B285" s="220">
        <v>267</v>
      </c>
      <c r="C285" s="221">
        <f t="shared" si="46"/>
        <v>0.94576271186440675</v>
      </c>
      <c r="D285" s="222" t="s">
        <v>116</v>
      </c>
      <c r="E285" s="223" t="s">
        <v>114</v>
      </c>
      <c r="F285" s="220">
        <v>5</v>
      </c>
      <c r="G285" s="220">
        <v>9</v>
      </c>
      <c r="H285" s="291">
        <f t="shared" si="40"/>
        <v>26.653825051947454</v>
      </c>
      <c r="I285" s="291">
        <f t="shared" si="41"/>
        <v>23.716222222222218</v>
      </c>
      <c r="J285" s="291">
        <f t="shared" si="42"/>
        <v>35.976474358974357</v>
      </c>
      <c r="K285" s="291">
        <f t="shared" si="43"/>
        <v>12.222906403940886</v>
      </c>
      <c r="L285" s="291">
        <f>VLOOKUP(D285,ВПРдек, 24,FALSE)</f>
        <v>21</v>
      </c>
      <c r="M285" s="294">
        <v>24</v>
      </c>
      <c r="N285" s="291">
        <f t="shared" si="44"/>
        <v>46.522633744855973</v>
      </c>
      <c r="O285" s="296">
        <f t="shared" si="45"/>
        <v>27.398778735683209</v>
      </c>
    </row>
    <row r="286" spans="1:15">
      <c r="A286" s="220">
        <v>280</v>
      </c>
      <c r="B286" s="220">
        <v>268</v>
      </c>
      <c r="C286" s="221">
        <f t="shared" si="46"/>
        <v>0.94915254237288138</v>
      </c>
      <c r="D286" s="222" t="s">
        <v>226</v>
      </c>
      <c r="E286" s="223" t="s">
        <v>224</v>
      </c>
      <c r="F286" s="220">
        <v>6</v>
      </c>
      <c r="G286" s="220">
        <v>8</v>
      </c>
      <c r="H286" s="291">
        <f t="shared" si="40"/>
        <v>23.177749659621284</v>
      </c>
      <c r="I286" s="291">
        <f t="shared" si="41"/>
        <v>14.394583333333347</v>
      </c>
      <c r="J286" s="291">
        <f t="shared" si="42"/>
        <v>32.034807692307695</v>
      </c>
      <c r="K286" s="291">
        <f t="shared" si="43"/>
        <v>0</v>
      </c>
      <c r="L286" s="291">
        <f>VLOOKUP(D286,ВПРдек, 25,FALSE)</f>
        <v>52.5</v>
      </c>
      <c r="M286" s="294">
        <v>45</v>
      </c>
      <c r="N286" s="291">
        <f t="shared" si="44"/>
        <v>31.275720164609051</v>
      </c>
      <c r="O286" s="296">
        <f t="shared" si="45"/>
        <v>27.058901669210982</v>
      </c>
    </row>
    <row r="287" spans="1:15">
      <c r="A287" s="220">
        <v>281</v>
      </c>
      <c r="B287" s="220">
        <v>269</v>
      </c>
      <c r="C287" s="221">
        <f t="shared" si="46"/>
        <v>0.9525423728813559</v>
      </c>
      <c r="D287" s="222" t="s">
        <v>61</v>
      </c>
      <c r="E287" s="223" t="s">
        <v>59</v>
      </c>
      <c r="F287" s="220">
        <v>10</v>
      </c>
      <c r="G287" s="220">
        <v>15</v>
      </c>
      <c r="H287" s="291">
        <f t="shared" si="40"/>
        <v>17.04642949805945</v>
      </c>
      <c r="I287" s="291">
        <f t="shared" si="41"/>
        <v>20.199861111111119</v>
      </c>
      <c r="J287" s="291">
        <f t="shared" si="42"/>
        <v>28.600384615384613</v>
      </c>
      <c r="K287" s="291">
        <f t="shared" si="43"/>
        <v>8.8823891625615765</v>
      </c>
      <c r="L287" s="291">
        <f>VLOOKUP(D287,ВПРдек, 25,FALSE)</f>
        <v>62.5</v>
      </c>
      <c r="M287" s="294">
        <v>0</v>
      </c>
      <c r="N287" s="291">
        <f t="shared" si="44"/>
        <v>36.522633744855973</v>
      </c>
      <c r="O287" s="296">
        <f t="shared" si="45"/>
        <v>26.731030481841955</v>
      </c>
    </row>
    <row r="288" spans="1:15">
      <c r="A288" s="220">
        <v>282</v>
      </c>
      <c r="B288" s="220">
        <v>270</v>
      </c>
      <c r="C288" s="221">
        <f t="shared" si="46"/>
        <v>0.95593220338983054</v>
      </c>
      <c r="D288" s="222" t="s">
        <v>702</v>
      </c>
      <c r="E288" s="223" t="s">
        <v>700</v>
      </c>
      <c r="F288" s="220">
        <v>6</v>
      </c>
      <c r="G288" s="220">
        <v>8</v>
      </c>
      <c r="H288" s="291">
        <f t="shared" si="40"/>
        <v>22.241305064195458</v>
      </c>
      <c r="I288" s="291">
        <f t="shared" si="41"/>
        <v>17.113416666666666</v>
      </c>
      <c r="J288" s="291">
        <f t="shared" si="42"/>
        <v>27.466153846153844</v>
      </c>
      <c r="K288" s="291">
        <f t="shared" si="43"/>
        <v>0</v>
      </c>
      <c r="L288" s="291">
        <f>VLOOKUP(D288,ВПРдек, 24,FALSE)</f>
        <v>31</v>
      </c>
      <c r="M288" s="294">
        <v>23</v>
      </c>
      <c r="N288" s="291">
        <f t="shared" si="44"/>
        <v>59.362139917695465</v>
      </c>
      <c r="O288" s="296">
        <f t="shared" si="45"/>
        <v>25.951233153032529</v>
      </c>
    </row>
    <row r="289" spans="1:15">
      <c r="A289" s="220">
        <v>283</v>
      </c>
      <c r="B289" s="220">
        <v>271</v>
      </c>
      <c r="C289" s="221">
        <f t="shared" si="46"/>
        <v>0.95932203389830506</v>
      </c>
      <c r="D289" s="222" t="s">
        <v>446</v>
      </c>
      <c r="E289" s="223" t="s">
        <v>444</v>
      </c>
      <c r="F289" s="220">
        <v>3</v>
      </c>
      <c r="G289" s="240" t="s">
        <v>2067</v>
      </c>
      <c r="H289" s="291">
        <f t="shared" si="40"/>
        <v>27.911661708169174</v>
      </c>
      <c r="I289" s="291">
        <f t="shared" si="41"/>
        <v>46.25555555555556</v>
      </c>
      <c r="J289" s="291">
        <f t="shared" si="42"/>
        <v>30.998525641025644</v>
      </c>
      <c r="K289" s="291">
        <f t="shared" si="43"/>
        <v>40.994458128078819</v>
      </c>
      <c r="L289" s="291">
        <f>VLOOKUP(D289,ВПРдек, 24,FALSE)</f>
        <v>0</v>
      </c>
      <c r="M289" s="294">
        <v>43</v>
      </c>
      <c r="N289" s="291">
        <f t="shared" si="44"/>
        <v>0</v>
      </c>
      <c r="O289" s="296">
        <f t="shared" si="45"/>
        <v>25.793877081973726</v>
      </c>
    </row>
    <row r="290" spans="1:15">
      <c r="A290" s="220">
        <v>284</v>
      </c>
      <c r="B290" s="220">
        <v>272</v>
      </c>
      <c r="C290" s="221">
        <f t="shared" si="46"/>
        <v>0.96271186440677969</v>
      </c>
      <c r="D290" s="222" t="s">
        <v>968</v>
      </c>
      <c r="E290" s="223" t="s">
        <v>966</v>
      </c>
      <c r="F290" s="220">
        <v>5</v>
      </c>
      <c r="G290" s="220">
        <v>8</v>
      </c>
      <c r="H290" s="291">
        <f t="shared" si="40"/>
        <v>17.755188186404993</v>
      </c>
      <c r="I290" s="291">
        <f t="shared" si="41"/>
        <v>6.8083333333333389</v>
      </c>
      <c r="J290" s="291">
        <f t="shared" si="42"/>
        <v>0</v>
      </c>
      <c r="K290" s="291">
        <f t="shared" si="43"/>
        <v>18.51908866995074</v>
      </c>
      <c r="L290" s="291">
        <f>VLOOKUP(D290,ВПРдек, 25,FALSE)</f>
        <v>45.6</v>
      </c>
      <c r="M290" s="294">
        <v>28</v>
      </c>
      <c r="N290" s="291">
        <f t="shared" si="44"/>
        <v>57.592592592592609</v>
      </c>
      <c r="O290" s="296">
        <f t="shared" si="45"/>
        <v>24.657723504966409</v>
      </c>
    </row>
    <row r="291" spans="1:15">
      <c r="A291" s="220">
        <v>285</v>
      </c>
      <c r="B291" s="220">
        <v>273</v>
      </c>
      <c r="C291" s="221">
        <f t="shared" si="46"/>
        <v>0.96610169491525422</v>
      </c>
      <c r="D291" s="222" t="s">
        <v>346</v>
      </c>
      <c r="E291" s="223" t="s">
        <v>344</v>
      </c>
      <c r="F291" s="220" t="s">
        <v>1002</v>
      </c>
      <c r="G291" s="220" t="s">
        <v>2059</v>
      </c>
      <c r="H291" s="291">
        <f t="shared" si="40"/>
        <v>30.661285102694801</v>
      </c>
      <c r="I291" s="291">
        <f t="shared" si="41"/>
        <v>19.962277777777771</v>
      </c>
      <c r="J291" s="291">
        <f t="shared" si="42"/>
        <v>15.418333333333333</v>
      </c>
      <c r="K291" s="291">
        <f t="shared" si="43"/>
        <v>6.6502463054187189</v>
      </c>
      <c r="L291" s="291">
        <f>VLOOKUP(D291,ВПРдек, 24,FALSE)</f>
        <v>28.666666666666668</v>
      </c>
      <c r="M291" s="294">
        <v>3</v>
      </c>
      <c r="N291" s="291">
        <f t="shared" si="44"/>
        <v>55.246913580246925</v>
      </c>
      <c r="O291" s="296">
        <f t="shared" si="45"/>
        <v>24.32395734863665</v>
      </c>
    </row>
    <row r="292" spans="1:15">
      <c r="A292" s="220">
        <v>286</v>
      </c>
      <c r="B292" s="220">
        <v>274</v>
      </c>
      <c r="C292" s="221">
        <f t="shared" si="46"/>
        <v>0.96949152542372885</v>
      </c>
      <c r="D292" s="222" t="s">
        <v>76</v>
      </c>
      <c r="E292" s="223" t="s">
        <v>74</v>
      </c>
      <c r="F292" s="220">
        <v>4</v>
      </c>
      <c r="G292" s="220">
        <v>6</v>
      </c>
      <c r="H292" s="291">
        <f t="shared" si="40"/>
        <v>24.330735343951204</v>
      </c>
      <c r="I292" s="291">
        <f t="shared" si="41"/>
        <v>17.534944444444449</v>
      </c>
      <c r="J292" s="291">
        <f t="shared" si="42"/>
        <v>57.83</v>
      </c>
      <c r="K292" s="291">
        <f t="shared" si="43"/>
        <v>0</v>
      </c>
      <c r="L292" s="291">
        <f>VLOOKUP(D292,ВПРдек, 25,FALSE)</f>
        <v>22</v>
      </c>
      <c r="M292" s="294">
        <v>2</v>
      </c>
      <c r="N292" s="291">
        <f t="shared" si="44"/>
        <v>23.868312757201647</v>
      </c>
      <c r="O292" s="296">
        <f t="shared" si="45"/>
        <v>22.548306545476507</v>
      </c>
    </row>
    <row r="293" spans="1:15">
      <c r="A293" s="220">
        <v>287</v>
      </c>
      <c r="B293" s="220">
        <v>275</v>
      </c>
      <c r="C293" s="221">
        <f t="shared" si="46"/>
        <v>0.97288135593220337</v>
      </c>
      <c r="D293" s="222" t="s">
        <v>349</v>
      </c>
      <c r="E293" s="223" t="s">
        <v>347</v>
      </c>
      <c r="F293" s="220" t="s">
        <v>1002</v>
      </c>
      <c r="G293" s="220" t="s">
        <v>2059</v>
      </c>
      <c r="H293" s="291">
        <f t="shared" si="40"/>
        <v>30.890854887198504</v>
      </c>
      <c r="I293" s="291">
        <f t="shared" si="41"/>
        <v>8.8888888888888999</v>
      </c>
      <c r="J293" s="291">
        <f t="shared" si="42"/>
        <v>16.6525</v>
      </c>
      <c r="K293" s="291">
        <f t="shared" si="43"/>
        <v>2.6785714285714284</v>
      </c>
      <c r="L293" s="291">
        <f>VLOOKUP(D293,ВПРдек, 24,FALSE)</f>
        <v>22</v>
      </c>
      <c r="M293" s="294">
        <v>5</v>
      </c>
      <c r="N293" s="291">
        <f t="shared" si="44"/>
        <v>57.716049382716051</v>
      </c>
      <c r="O293" s="296">
        <f t="shared" si="45"/>
        <v>21.742594551903828</v>
      </c>
    </row>
    <row r="294" spans="1:15">
      <c r="A294" s="220">
        <v>288</v>
      </c>
      <c r="B294" s="220">
        <v>276</v>
      </c>
      <c r="C294" s="221">
        <f t="shared" si="46"/>
        <v>0.97627118644067801</v>
      </c>
      <c r="D294" s="222" t="s">
        <v>211</v>
      </c>
      <c r="E294" s="223" t="s">
        <v>209</v>
      </c>
      <c r="F294" s="220">
        <v>2</v>
      </c>
      <c r="G294" s="220">
        <v>12</v>
      </c>
      <c r="H294" s="291">
        <f t="shared" si="40"/>
        <v>20.949101070246442</v>
      </c>
      <c r="I294" s="291">
        <f t="shared" si="41"/>
        <v>13.983333333333348</v>
      </c>
      <c r="J294" s="291">
        <f t="shared" si="42"/>
        <v>20.433076923076925</v>
      </c>
      <c r="K294" s="291">
        <f t="shared" si="43"/>
        <v>0</v>
      </c>
      <c r="L294" s="291">
        <f>VLOOKUP(D294,ВПРдек, 25,FALSE)</f>
        <v>35.5</v>
      </c>
      <c r="M294" s="294">
        <v>21</v>
      </c>
      <c r="N294" s="291">
        <f t="shared" si="44"/>
        <v>27.304526748971199</v>
      </c>
      <c r="O294" s="296">
        <f t="shared" si="45"/>
        <v>19.795390473173526</v>
      </c>
    </row>
    <row r="295" spans="1:15">
      <c r="A295" s="220">
        <v>289</v>
      </c>
      <c r="B295" s="220">
        <v>277</v>
      </c>
      <c r="C295" s="221">
        <f t="shared" si="46"/>
        <v>0.97966101694915253</v>
      </c>
      <c r="D295" s="222" t="s">
        <v>367</v>
      </c>
      <c r="E295" s="223" t="s">
        <v>365</v>
      </c>
      <c r="F295" s="220">
        <v>4</v>
      </c>
      <c r="G295" s="220">
        <v>6</v>
      </c>
      <c r="H295" s="291">
        <f t="shared" si="40"/>
        <v>13.082947457947455</v>
      </c>
      <c r="I295" s="291">
        <f t="shared" si="41"/>
        <v>7.7334722222222272</v>
      </c>
      <c r="J295" s="291">
        <f t="shared" si="42"/>
        <v>13.745064102564104</v>
      </c>
      <c r="K295" s="291">
        <f t="shared" si="43"/>
        <v>0</v>
      </c>
      <c r="L295" s="291">
        <f>VLOOKUP(D295,ВПРдек, 25,FALSE)</f>
        <v>42.3</v>
      </c>
      <c r="M295" s="294">
        <v>57</v>
      </c>
      <c r="N295" s="291">
        <f t="shared" si="44"/>
        <v>17.489711934156379</v>
      </c>
      <c r="O295" s="296">
        <f t="shared" si="45"/>
        <v>18.900183956444639</v>
      </c>
    </row>
    <row r="296" spans="1:15">
      <c r="A296" s="220">
        <v>290</v>
      </c>
      <c r="B296" s="220">
        <v>278</v>
      </c>
      <c r="C296" s="221">
        <f t="shared" si="46"/>
        <v>0.98305084745762716</v>
      </c>
      <c r="D296" s="222" t="s">
        <v>172</v>
      </c>
      <c r="E296" s="223" t="s">
        <v>170</v>
      </c>
      <c r="F296" s="220">
        <v>11</v>
      </c>
      <c r="G296" s="220">
        <v>13</v>
      </c>
      <c r="H296" s="291">
        <f t="shared" si="40"/>
        <v>14.37414961679662</v>
      </c>
      <c r="I296" s="291">
        <f t="shared" si="41"/>
        <v>11.626972222222216</v>
      </c>
      <c r="J296" s="291">
        <f t="shared" si="42"/>
        <v>19.101025641025643</v>
      </c>
      <c r="K296" s="291">
        <f t="shared" si="43"/>
        <v>4.4642857142857144</v>
      </c>
      <c r="L296" s="291">
        <f>VLOOKUP(D296,ВПРдек, 24,FALSE)</f>
        <v>25</v>
      </c>
      <c r="M296" s="294">
        <v>11</v>
      </c>
      <c r="N296" s="291">
        <f t="shared" si="44"/>
        <v>35.596707818930042</v>
      </c>
      <c r="O296" s="296">
        <f t="shared" si="45"/>
        <v>17.79432938665542</v>
      </c>
    </row>
    <row r="297" spans="1:15">
      <c r="A297" s="220">
        <v>291</v>
      </c>
      <c r="B297" s="220">
        <v>279</v>
      </c>
      <c r="C297" s="221">
        <f t="shared" si="46"/>
        <v>0.98644067796610169</v>
      </c>
      <c r="D297" s="222" t="s">
        <v>235</v>
      </c>
      <c r="E297" s="223" t="s">
        <v>233</v>
      </c>
      <c r="F297" s="220">
        <v>11</v>
      </c>
      <c r="G297" s="220">
        <v>12</v>
      </c>
      <c r="H297" s="291">
        <f t="shared" si="40"/>
        <v>18.361456855515467</v>
      </c>
      <c r="I297" s="291">
        <f t="shared" si="41"/>
        <v>9.642111111111122</v>
      </c>
      <c r="J297" s="291">
        <f t="shared" si="42"/>
        <v>10.043333333333335</v>
      </c>
      <c r="K297" s="291">
        <f t="shared" si="43"/>
        <v>0</v>
      </c>
      <c r="L297" s="291">
        <f>VLOOKUP(D297,ВПРдек, 25,FALSE)</f>
        <v>47.8</v>
      </c>
      <c r="M297" s="294">
        <v>12</v>
      </c>
      <c r="N297" s="291">
        <f t="shared" si="44"/>
        <v>17.901234567901234</v>
      </c>
      <c r="O297" s="296">
        <f t="shared" si="45"/>
        <v>16.88432859505556</v>
      </c>
    </row>
    <row r="298" spans="1:15">
      <c r="A298" s="220">
        <v>292</v>
      </c>
      <c r="B298" s="220">
        <v>280</v>
      </c>
      <c r="C298" s="221">
        <f t="shared" si="46"/>
        <v>0.98983050847457632</v>
      </c>
      <c r="D298" s="222" t="s">
        <v>187</v>
      </c>
      <c r="E298" s="223" t="s">
        <v>185</v>
      </c>
      <c r="F298" s="220">
        <v>6</v>
      </c>
      <c r="G298" s="220">
        <v>9</v>
      </c>
      <c r="H298" s="291">
        <f t="shared" si="40"/>
        <v>15.148191272866434</v>
      </c>
      <c r="I298" s="291">
        <f t="shared" si="41"/>
        <v>7.5887499999999974</v>
      </c>
      <c r="J298" s="291">
        <f t="shared" si="42"/>
        <v>10.894871794871795</v>
      </c>
      <c r="K298" s="291">
        <f t="shared" si="43"/>
        <v>0</v>
      </c>
      <c r="L298" s="291">
        <f>VLOOKUP(D298,ВПРдек, 25,FALSE)</f>
        <v>50</v>
      </c>
      <c r="M298" s="294">
        <v>5</v>
      </c>
      <c r="N298" s="291">
        <f t="shared" si="44"/>
        <v>22.716049382716047</v>
      </c>
      <c r="O298" s="296">
        <f t="shared" si="45"/>
        <v>16.745824992377582</v>
      </c>
    </row>
    <row r="299" spans="1:15">
      <c r="A299" s="220">
        <v>293</v>
      </c>
      <c r="B299" s="220">
        <v>281</v>
      </c>
      <c r="C299" s="221">
        <f t="shared" si="46"/>
        <v>0.99322033898305084</v>
      </c>
      <c r="D299" s="222" t="s">
        <v>866</v>
      </c>
      <c r="E299" s="223" t="s">
        <v>864</v>
      </c>
      <c r="F299" s="220">
        <v>11</v>
      </c>
      <c r="G299" s="220">
        <v>16</v>
      </c>
      <c r="H299" s="291">
        <f t="shared" si="40"/>
        <v>5.7491833276855306</v>
      </c>
      <c r="I299" s="291">
        <f t="shared" si="41"/>
        <v>7.5201666666666611</v>
      </c>
      <c r="J299" s="291">
        <f t="shared" si="42"/>
        <v>11.777564102564103</v>
      </c>
      <c r="K299" s="291">
        <f t="shared" si="43"/>
        <v>11.591748768472907</v>
      </c>
      <c r="L299" s="291">
        <f>VLOOKUP(D299,ВПРдек, 25,FALSE)</f>
        <v>12</v>
      </c>
      <c r="M299" s="294">
        <v>19</v>
      </c>
      <c r="N299" s="291">
        <f t="shared" si="44"/>
        <v>41.512345679012348</v>
      </c>
      <c r="O299" s="296">
        <f t="shared" si="45"/>
        <v>15.330924391446391</v>
      </c>
    </row>
    <row r="300" spans="1:15">
      <c r="A300" s="220">
        <v>294</v>
      </c>
      <c r="B300" s="220">
        <v>282</v>
      </c>
      <c r="C300" s="221">
        <f t="shared" si="46"/>
        <v>0.99661016949152548</v>
      </c>
      <c r="D300" s="222" t="s">
        <v>316</v>
      </c>
      <c r="E300" s="223" t="s">
        <v>314</v>
      </c>
      <c r="F300" s="220" t="s">
        <v>1002</v>
      </c>
      <c r="G300" s="220" t="s">
        <v>2059</v>
      </c>
      <c r="H300" s="291">
        <f t="shared" si="40"/>
        <v>8.8912538122670277</v>
      </c>
      <c r="I300" s="291">
        <f t="shared" si="41"/>
        <v>3.9999999999999991</v>
      </c>
      <c r="J300" s="291">
        <f t="shared" si="42"/>
        <v>5.0175000000000001</v>
      </c>
      <c r="K300" s="291">
        <f t="shared" si="43"/>
        <v>4.4642857142857144</v>
      </c>
      <c r="L300" s="291">
        <f>VLOOKUP(D300,ВПРдек, 25,FALSE)</f>
        <v>21.5</v>
      </c>
      <c r="M300" s="294">
        <v>27</v>
      </c>
      <c r="N300" s="291">
        <f t="shared" si="44"/>
        <v>39.094650205761319</v>
      </c>
      <c r="O300" s="296">
        <f t="shared" si="45"/>
        <v>14.841183035740624</v>
      </c>
    </row>
    <row r="301" spans="1:15">
      <c r="A301" s="220">
        <v>295</v>
      </c>
      <c r="B301" s="220">
        <v>283</v>
      </c>
      <c r="C301" s="221">
        <f t="shared" si="46"/>
        <v>1</v>
      </c>
      <c r="D301" s="222" t="s">
        <v>271</v>
      </c>
      <c r="E301" s="223" t="s">
        <v>269</v>
      </c>
      <c r="F301" s="220">
        <v>9</v>
      </c>
      <c r="G301" s="220">
        <v>16</v>
      </c>
      <c r="H301" s="291">
        <f t="shared" si="40"/>
        <v>7.5077058624195185</v>
      </c>
      <c r="I301" s="291">
        <f t="shared" si="41"/>
        <v>3.5267499999999998</v>
      </c>
      <c r="J301" s="291">
        <f t="shared" si="42"/>
        <v>14.340833333333334</v>
      </c>
      <c r="K301" s="291">
        <f t="shared" si="43"/>
        <v>7.3583743842364537</v>
      </c>
      <c r="L301" s="291">
        <f>VLOOKUP(D301,ВПРдек, 25,FALSE)</f>
        <v>24</v>
      </c>
      <c r="M301" s="294">
        <v>22</v>
      </c>
      <c r="N301" s="291">
        <f t="shared" si="44"/>
        <v>24.485596707818932</v>
      </c>
      <c r="O301" s="296">
        <f t="shared" si="45"/>
        <v>14.187578505816649</v>
      </c>
    </row>
  </sheetData>
  <sortState xmlns:xlrd2="http://schemas.microsoft.com/office/spreadsheetml/2017/richdata2" ref="A4:O301">
    <sortCondition descending="1" ref="O4:O301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872F0-D938-4EC3-8AF7-D93960646279}">
  <sheetPr codeName="Лист2"/>
  <dimension ref="A1:AT328"/>
  <sheetViews>
    <sheetView zoomScale="167" zoomScaleNormal="85" workbookViewId="0">
      <pane xSplit="6" ySplit="3" topLeftCell="X4" activePane="bottomRight" state="frozen"/>
      <selection pane="topRight" activeCell="E1" sqref="E1"/>
      <selection pane="bottomLeft" activeCell="A4" sqref="A4"/>
      <selection pane="bottomRight" activeCell="Z4" sqref="Z4"/>
    </sheetView>
  </sheetViews>
  <sheetFormatPr baseColWidth="10" defaultColWidth="9.1640625" defaultRowHeight="12"/>
  <cols>
    <col min="1" max="2" width="7.5" style="200" customWidth="1"/>
    <col min="3" max="3" width="10.6640625" style="200" customWidth="1"/>
    <col min="4" max="4" width="13" style="200" customWidth="1"/>
    <col min="5" max="5" width="6.1640625" style="200" hidden="1" customWidth="1"/>
    <col min="6" max="6" width="9.1640625" style="200" hidden="1" customWidth="1"/>
    <col min="7" max="7" width="12.1640625" style="200" customWidth="1"/>
    <col min="8" max="8" width="5" style="269" customWidth="1"/>
    <col min="9" max="10" width="5" style="200" customWidth="1"/>
    <col min="11" max="11" width="5" style="269" customWidth="1"/>
    <col min="12" max="13" width="5" style="200" customWidth="1"/>
    <col min="14" max="14" width="5" style="269" customWidth="1"/>
    <col min="15" max="16" width="5" style="200" customWidth="1"/>
    <col min="17" max="17" width="5.6640625" style="269" customWidth="1"/>
    <col min="18" max="22" width="5" style="200" customWidth="1"/>
    <col min="23" max="23" width="5" style="269" customWidth="1"/>
    <col min="24" max="25" width="5" style="200" customWidth="1"/>
    <col min="26" max="26" width="7.83203125" style="269" customWidth="1"/>
    <col min="27" max="28" width="8.6640625" style="269" customWidth="1"/>
    <col min="29" max="29" width="6.5" style="200" bestFit="1" customWidth="1"/>
    <col min="30" max="34" width="9.1640625" style="200"/>
    <col min="35" max="35" width="8.6640625" style="200" bestFit="1" customWidth="1"/>
    <col min="36" max="36" width="11" style="200" bestFit="1" customWidth="1"/>
    <col min="37" max="16384" width="9.1640625" style="200"/>
  </cols>
  <sheetData>
    <row r="1" spans="1:46" s="192" customFormat="1" ht="13" thickBot="1">
      <c r="A1" s="190" t="s">
        <v>2026</v>
      </c>
      <c r="B1" s="191"/>
      <c r="C1" s="191"/>
      <c r="I1" s="194"/>
      <c r="J1" s="194"/>
      <c r="K1" s="193"/>
      <c r="L1" s="195"/>
      <c r="M1" s="195"/>
      <c r="N1" s="193"/>
      <c r="O1" s="194"/>
      <c r="P1" s="194"/>
      <c r="Q1" s="193"/>
      <c r="R1" s="194"/>
      <c r="S1" s="194"/>
      <c r="T1" s="196"/>
      <c r="U1" s="194"/>
      <c r="V1" s="194"/>
      <c r="W1" s="193"/>
      <c r="X1" s="194"/>
      <c r="Y1" s="194"/>
      <c r="Z1" s="193"/>
      <c r="AA1" s="197"/>
      <c r="AB1" s="198"/>
      <c r="AC1" s="199"/>
      <c r="AD1" s="199"/>
      <c r="AE1" s="200"/>
      <c r="AF1" s="200"/>
      <c r="AG1" s="200"/>
    </row>
    <row r="2" spans="1:46" s="192" customFormat="1" ht="34.75" customHeight="1" thickBot="1">
      <c r="A2" s="300" t="s">
        <v>2027</v>
      </c>
      <c r="B2" s="300" t="s">
        <v>2028</v>
      </c>
      <c r="C2" s="300" t="s">
        <v>2029</v>
      </c>
      <c r="D2" s="302" t="s">
        <v>1593</v>
      </c>
      <c r="E2" s="302" t="s">
        <v>2030</v>
      </c>
      <c r="F2" s="201" t="s">
        <v>2031</v>
      </c>
      <c r="G2" s="304" t="s">
        <v>2032</v>
      </c>
      <c r="H2" s="297" t="s">
        <v>2033</v>
      </c>
      <c r="I2" s="298"/>
      <c r="J2" s="299"/>
      <c r="K2" s="297" t="s">
        <v>2034</v>
      </c>
      <c r="L2" s="298"/>
      <c r="M2" s="299"/>
      <c r="N2" s="298" t="s">
        <v>2035</v>
      </c>
      <c r="O2" s="298"/>
      <c r="P2" s="298"/>
      <c r="Q2" s="297" t="s">
        <v>2036</v>
      </c>
      <c r="R2" s="298"/>
      <c r="S2" s="299"/>
      <c r="T2" s="298" t="s">
        <v>2037</v>
      </c>
      <c r="U2" s="298"/>
      <c r="V2" s="298"/>
      <c r="W2" s="297" t="s">
        <v>2038</v>
      </c>
      <c r="X2" s="298"/>
      <c r="Y2" s="299"/>
      <c r="Z2" s="202" t="s">
        <v>2039</v>
      </c>
      <c r="AA2" s="203" t="s">
        <v>2040</v>
      </c>
      <c r="AB2" s="204" t="s">
        <v>2041</v>
      </c>
      <c r="AC2" s="205" t="s">
        <v>2042</v>
      </c>
      <c r="AD2" s="206" t="s">
        <v>2043</v>
      </c>
      <c r="AE2" s="200"/>
      <c r="AF2" s="200"/>
      <c r="AG2" s="200"/>
    </row>
    <row r="3" spans="1:46" s="219" customFormat="1" ht="19.25" customHeight="1" thickBot="1">
      <c r="A3" s="301"/>
      <c r="B3" s="301"/>
      <c r="C3" s="301"/>
      <c r="D3" s="303"/>
      <c r="E3" s="303"/>
      <c r="F3" s="207"/>
      <c r="G3" s="305"/>
      <c r="H3" s="208" t="s">
        <v>6</v>
      </c>
      <c r="I3" s="209" t="s">
        <v>7</v>
      </c>
      <c r="J3" s="210" t="s">
        <v>8</v>
      </c>
      <c r="K3" s="208" t="s">
        <v>6</v>
      </c>
      <c r="L3" s="209" t="s">
        <v>7</v>
      </c>
      <c r="M3" s="210" t="s">
        <v>8</v>
      </c>
      <c r="N3" s="211" t="s">
        <v>6</v>
      </c>
      <c r="O3" s="209" t="s">
        <v>7</v>
      </c>
      <c r="P3" s="212" t="s">
        <v>8</v>
      </c>
      <c r="Q3" s="208" t="s">
        <v>6</v>
      </c>
      <c r="R3" s="209" t="s">
        <v>7</v>
      </c>
      <c r="S3" s="210" t="s">
        <v>8</v>
      </c>
      <c r="T3" s="213" t="s">
        <v>6</v>
      </c>
      <c r="U3" s="209" t="s">
        <v>7</v>
      </c>
      <c r="V3" s="212" t="s">
        <v>8</v>
      </c>
      <c r="W3" s="208" t="s">
        <v>6</v>
      </c>
      <c r="X3" s="209" t="s">
        <v>7</v>
      </c>
      <c r="Y3" s="210" t="s">
        <v>8</v>
      </c>
      <c r="Z3" s="214" t="s">
        <v>6</v>
      </c>
      <c r="AA3" s="215" t="s">
        <v>6</v>
      </c>
      <c r="AB3" s="216" t="s">
        <v>6</v>
      </c>
      <c r="AC3" s="217"/>
      <c r="AD3" s="218"/>
      <c r="AI3" s="219" t="s">
        <v>2044</v>
      </c>
      <c r="AJ3" s="219" t="s">
        <v>2045</v>
      </c>
      <c r="AK3" s="219" t="s">
        <v>2046</v>
      </c>
      <c r="AL3" s="219" t="s">
        <v>2047</v>
      </c>
      <c r="AM3" s="219" t="s">
        <v>2048</v>
      </c>
      <c r="AN3" s="219" t="s">
        <v>2049</v>
      </c>
      <c r="AO3" s="219" t="s">
        <v>2050</v>
      </c>
      <c r="AP3" s="219" t="s">
        <v>2051</v>
      </c>
      <c r="AQ3" s="219" t="s">
        <v>2052</v>
      </c>
      <c r="AR3" s="219" t="s">
        <v>2053</v>
      </c>
      <c r="AS3" s="219" t="s">
        <v>2054</v>
      </c>
      <c r="AT3" s="219" t="s">
        <v>2055</v>
      </c>
    </row>
    <row r="4" spans="1:46">
      <c r="A4" s="270">
        <v>1</v>
      </c>
      <c r="B4" s="271" t="s">
        <v>1993</v>
      </c>
      <c r="C4" s="272">
        <f t="shared" ref="C4:C67" si="0">A4/298</f>
        <v>3.3557046979865771E-3</v>
      </c>
      <c r="D4" s="273" t="s">
        <v>109</v>
      </c>
      <c r="E4" s="274" t="s">
        <v>107</v>
      </c>
      <c r="F4" s="275">
        <v>1</v>
      </c>
      <c r="G4" s="275">
        <v>2</v>
      </c>
      <c r="H4" s="276">
        <v>90.317179487179487</v>
      </c>
      <c r="I4" s="277">
        <v>10</v>
      </c>
      <c r="J4" s="277">
        <v>5</v>
      </c>
      <c r="K4" s="276">
        <v>89.334283477633477</v>
      </c>
      <c r="L4" s="277">
        <v>10</v>
      </c>
      <c r="M4" s="277">
        <v>5</v>
      </c>
      <c r="N4" s="276">
        <v>94.895166666666654</v>
      </c>
      <c r="O4" s="277">
        <v>10</v>
      </c>
      <c r="P4" s="277">
        <v>5</v>
      </c>
      <c r="Q4" s="276"/>
      <c r="R4" s="277"/>
      <c r="S4" s="277"/>
      <c r="T4" s="277"/>
      <c r="U4" s="277"/>
      <c r="V4" s="277"/>
      <c r="W4" s="276">
        <v>89.4</v>
      </c>
      <c r="X4" s="277">
        <v>10</v>
      </c>
      <c r="Y4" s="277">
        <v>5</v>
      </c>
      <c r="Z4" s="276">
        <v>71</v>
      </c>
      <c r="AA4" s="276">
        <v>94.666666666666657</v>
      </c>
      <c r="AB4" s="276"/>
      <c r="AC4" s="278">
        <v>5.5</v>
      </c>
      <c r="AD4" s="227">
        <v>88.166053872390236</v>
      </c>
      <c r="AI4" s="200" t="b">
        <f>AND(F4 = 1)</f>
        <v>1</v>
      </c>
      <c r="AJ4" s="200" t="b">
        <f>AND(F4 = 2)</f>
        <v>0</v>
      </c>
      <c r="AK4" s="200" t="b">
        <f>AND(F4 = 3)</f>
        <v>0</v>
      </c>
      <c r="AL4" s="200" t="b">
        <f>AND(F4 = 4)</f>
        <v>0</v>
      </c>
      <c r="AM4" s="200" t="b">
        <f>AND(F4 = 5)</f>
        <v>0</v>
      </c>
      <c r="AN4" s="200" t="b">
        <f>AND(F4 = 6)</f>
        <v>0</v>
      </c>
      <c r="AO4" s="200" t="b">
        <f>AND(F4 = 7)</f>
        <v>0</v>
      </c>
      <c r="AP4" s="200" t="b">
        <f>AND(F4 = 8)</f>
        <v>0</v>
      </c>
      <c r="AQ4" s="200" t="b">
        <f>AND(F4 = 9)</f>
        <v>0</v>
      </c>
      <c r="AR4" s="200" t="b">
        <f>AND(F4 = 10)</f>
        <v>0</v>
      </c>
      <c r="AS4" s="200" t="b">
        <f>AND(F4 = 11)</f>
        <v>0</v>
      </c>
      <c r="AT4" s="200" t="b">
        <f>AND(F4 = "12 online")</f>
        <v>0</v>
      </c>
    </row>
    <row r="5" spans="1:46">
      <c r="A5" s="279">
        <v>2</v>
      </c>
      <c r="B5" s="271" t="s">
        <v>1993</v>
      </c>
      <c r="C5" s="272">
        <f t="shared" si="0"/>
        <v>6.7114093959731542E-3</v>
      </c>
      <c r="D5" s="280" t="s">
        <v>896</v>
      </c>
      <c r="E5" s="281" t="s">
        <v>894</v>
      </c>
      <c r="F5" s="271">
        <v>2</v>
      </c>
      <c r="G5" s="271">
        <v>1</v>
      </c>
      <c r="H5" s="224">
        <v>92.427390109890112</v>
      </c>
      <c r="I5" s="282">
        <v>10</v>
      </c>
      <c r="J5" s="282">
        <v>5</v>
      </c>
      <c r="K5" s="224">
        <v>84.077699855699834</v>
      </c>
      <c r="L5" s="282">
        <v>9</v>
      </c>
      <c r="M5" s="282">
        <v>5</v>
      </c>
      <c r="N5" s="224">
        <v>94.133333333333354</v>
      </c>
      <c r="O5" s="282">
        <v>10</v>
      </c>
      <c r="P5" s="282">
        <v>5</v>
      </c>
      <c r="Q5" s="224">
        <v>92</v>
      </c>
      <c r="R5" s="282">
        <v>10</v>
      </c>
      <c r="S5" s="282">
        <v>5</v>
      </c>
      <c r="T5" s="282"/>
      <c r="U5" s="282"/>
      <c r="V5" s="283"/>
      <c r="W5" s="282"/>
      <c r="X5" s="283"/>
      <c r="Y5" s="283"/>
      <c r="Z5" s="224">
        <v>80.666666666666657</v>
      </c>
      <c r="AA5" s="224">
        <v>83</v>
      </c>
      <c r="AB5" s="224"/>
      <c r="AC5" s="226">
        <v>5.5</v>
      </c>
      <c r="AD5" s="227">
        <v>87.328198175561795</v>
      </c>
    </row>
    <row r="6" spans="1:46">
      <c r="A6" s="279">
        <v>3</v>
      </c>
      <c r="B6" s="271" t="s">
        <v>1993</v>
      </c>
      <c r="C6" s="272">
        <f t="shared" si="0"/>
        <v>1.0067114093959731E-2</v>
      </c>
      <c r="D6" s="280" t="s">
        <v>711</v>
      </c>
      <c r="E6" s="281" t="s">
        <v>709</v>
      </c>
      <c r="F6" s="271">
        <v>3</v>
      </c>
      <c r="G6" s="271">
        <v>4</v>
      </c>
      <c r="H6" s="224">
        <v>83.808269230769241</v>
      </c>
      <c r="I6" s="282">
        <v>10</v>
      </c>
      <c r="J6" s="282">
        <v>5</v>
      </c>
      <c r="K6" s="224">
        <v>97.702045837904123</v>
      </c>
      <c r="L6" s="282">
        <v>10</v>
      </c>
      <c r="M6" s="282">
        <v>5</v>
      </c>
      <c r="N6" s="224">
        <v>89.677777777777806</v>
      </c>
      <c r="O6" s="282">
        <v>9</v>
      </c>
      <c r="P6" s="282">
        <v>5</v>
      </c>
      <c r="Q6" s="224"/>
      <c r="R6" s="282"/>
      <c r="S6" s="282"/>
      <c r="T6" s="282"/>
      <c r="U6" s="282"/>
      <c r="V6" s="282"/>
      <c r="W6" s="224">
        <v>70.5</v>
      </c>
      <c r="X6" s="282">
        <v>9</v>
      </c>
      <c r="Y6" s="282">
        <v>5</v>
      </c>
      <c r="Z6" s="224">
        <v>76.703703703703709</v>
      </c>
      <c r="AA6" s="224">
        <v>83.333333333333343</v>
      </c>
      <c r="AB6" s="224"/>
      <c r="AC6" s="226">
        <v>5.5</v>
      </c>
      <c r="AD6" s="227">
        <v>84.813659978816034</v>
      </c>
    </row>
    <row r="7" spans="1:46">
      <c r="A7" s="271">
        <v>4</v>
      </c>
      <c r="B7" s="271">
        <v>1</v>
      </c>
      <c r="C7" s="284">
        <f t="shared" si="0"/>
        <v>1.3422818791946308E-2</v>
      </c>
      <c r="D7" s="280" t="s">
        <v>85</v>
      </c>
      <c r="E7" s="281" t="s">
        <v>83</v>
      </c>
      <c r="F7" s="271">
        <v>3</v>
      </c>
      <c r="G7" s="271">
        <v>4</v>
      </c>
      <c r="H7" s="224">
        <v>77.282564102564095</v>
      </c>
      <c r="I7" s="282">
        <v>9</v>
      </c>
      <c r="J7" s="282">
        <v>5</v>
      </c>
      <c r="K7" s="224">
        <v>87.001813463557326</v>
      </c>
      <c r="L7" s="282">
        <v>10</v>
      </c>
      <c r="M7" s="282">
        <v>5</v>
      </c>
      <c r="N7" s="224">
        <v>91.416666666666657</v>
      </c>
      <c r="O7" s="282">
        <v>10</v>
      </c>
      <c r="P7" s="282">
        <v>5</v>
      </c>
      <c r="Q7" s="224">
        <v>97</v>
      </c>
      <c r="R7" s="282">
        <v>10</v>
      </c>
      <c r="S7" s="282">
        <v>5</v>
      </c>
      <c r="T7" s="282"/>
      <c r="U7" s="282"/>
      <c r="V7" s="282"/>
      <c r="W7" s="282"/>
      <c r="X7" s="282"/>
      <c r="Y7" s="282"/>
      <c r="Z7" s="224">
        <v>82.888888888888886</v>
      </c>
      <c r="AA7" s="224"/>
      <c r="AB7" s="224">
        <v>76.2</v>
      </c>
      <c r="AC7" s="226">
        <v>5.5</v>
      </c>
      <c r="AD7" s="227">
        <v>84.234533294850351</v>
      </c>
      <c r="AI7" s="228" t="s">
        <v>987</v>
      </c>
      <c r="AJ7" s="229" t="s">
        <v>2056</v>
      </c>
    </row>
    <row r="8" spans="1:46">
      <c r="A8" s="271">
        <v>5</v>
      </c>
      <c r="B8" s="271">
        <v>2</v>
      </c>
      <c r="C8" s="284">
        <f t="shared" si="0"/>
        <v>1.6778523489932886E-2</v>
      </c>
      <c r="D8" s="280" t="s">
        <v>178</v>
      </c>
      <c r="E8" s="281" t="s">
        <v>176</v>
      </c>
      <c r="F8" s="271">
        <v>1</v>
      </c>
      <c r="G8" s="271">
        <v>1</v>
      </c>
      <c r="H8" s="224">
        <v>77.01711538461538</v>
      </c>
      <c r="I8" s="282">
        <v>9</v>
      </c>
      <c r="J8" s="282">
        <v>5</v>
      </c>
      <c r="K8" s="224">
        <v>65.547420562770569</v>
      </c>
      <c r="L8" s="282">
        <v>8</v>
      </c>
      <c r="M8" s="282">
        <v>5</v>
      </c>
      <c r="N8" s="224">
        <v>83.969722222222245</v>
      </c>
      <c r="O8" s="282">
        <v>9</v>
      </c>
      <c r="P8" s="282">
        <v>5</v>
      </c>
      <c r="Q8" s="224"/>
      <c r="R8" s="282"/>
      <c r="S8" s="282"/>
      <c r="T8" s="282"/>
      <c r="U8" s="282"/>
      <c r="V8" s="282"/>
      <c r="W8" s="224">
        <v>93.100000000000009</v>
      </c>
      <c r="X8" s="282">
        <v>10</v>
      </c>
      <c r="Y8" s="282">
        <v>5</v>
      </c>
      <c r="Z8" s="224">
        <v>80.629629629629633</v>
      </c>
      <c r="AA8" s="224"/>
      <c r="AB8" s="224">
        <v>84</v>
      </c>
      <c r="AC8" s="226">
        <v>5.5</v>
      </c>
      <c r="AD8" s="227">
        <v>79.584343236225052</v>
      </c>
      <c r="AF8" s="230"/>
      <c r="AI8" s="231">
        <v>1</v>
      </c>
      <c r="AJ8" s="232">
        <f>DAVERAGE(DATAA,29,AI3:AI4)</f>
        <v>5.5</v>
      </c>
    </row>
    <row r="9" spans="1:46">
      <c r="A9" s="271">
        <v>6</v>
      </c>
      <c r="B9" s="271">
        <v>3</v>
      </c>
      <c r="C9" s="284">
        <f t="shared" si="0"/>
        <v>2.0134228187919462E-2</v>
      </c>
      <c r="D9" s="280" t="s">
        <v>473</v>
      </c>
      <c r="E9" s="281" t="s">
        <v>471</v>
      </c>
      <c r="F9" s="271">
        <v>3</v>
      </c>
      <c r="G9" s="271">
        <v>4</v>
      </c>
      <c r="H9" s="224">
        <v>77.185128205128208</v>
      </c>
      <c r="I9" s="282">
        <v>9</v>
      </c>
      <c r="J9" s="282">
        <v>5</v>
      </c>
      <c r="K9" s="224">
        <v>73.399122762266501</v>
      </c>
      <c r="L9" s="282">
        <v>8</v>
      </c>
      <c r="M9" s="282">
        <v>5</v>
      </c>
      <c r="N9" s="224">
        <v>84.283333333333346</v>
      </c>
      <c r="O9" s="282">
        <v>9</v>
      </c>
      <c r="P9" s="282">
        <v>5</v>
      </c>
      <c r="Q9" s="224"/>
      <c r="R9" s="282"/>
      <c r="S9" s="282"/>
      <c r="T9" s="282"/>
      <c r="U9" s="282"/>
      <c r="V9" s="282"/>
      <c r="W9" s="224">
        <v>68.400000000000006</v>
      </c>
      <c r="X9" s="282">
        <v>8</v>
      </c>
      <c r="Y9" s="282">
        <v>5</v>
      </c>
      <c r="Z9" s="224">
        <v>77.370370370370367</v>
      </c>
      <c r="AA9" s="224"/>
      <c r="AB9" s="224">
        <v>88</v>
      </c>
      <c r="AC9" s="226">
        <v>5.5</v>
      </c>
      <c r="AD9" s="227">
        <v>78.988719031108815</v>
      </c>
      <c r="AE9" s="233"/>
      <c r="AI9" s="231">
        <v>2</v>
      </c>
      <c r="AJ9" s="232">
        <f>DAVERAGE(DATAA,29,AJ3:AJ4)</f>
        <v>5.5</v>
      </c>
    </row>
    <row r="10" spans="1:46">
      <c r="A10" s="271">
        <v>7</v>
      </c>
      <c r="B10" s="271">
        <v>4</v>
      </c>
      <c r="C10" s="284">
        <f t="shared" si="0"/>
        <v>2.3489932885906041E-2</v>
      </c>
      <c r="D10" s="280" t="s">
        <v>699</v>
      </c>
      <c r="E10" s="281" t="s">
        <v>697</v>
      </c>
      <c r="F10" s="271">
        <v>1</v>
      </c>
      <c r="G10" s="271">
        <v>2</v>
      </c>
      <c r="H10" s="224">
        <v>77.277500000000003</v>
      </c>
      <c r="I10" s="282">
        <v>9</v>
      </c>
      <c r="J10" s="282">
        <v>5</v>
      </c>
      <c r="K10" s="224">
        <v>75.021580735930741</v>
      </c>
      <c r="L10" s="282">
        <v>9</v>
      </c>
      <c r="M10" s="282">
        <v>5</v>
      </c>
      <c r="N10" s="224">
        <v>85.103722222222189</v>
      </c>
      <c r="O10" s="282">
        <v>9</v>
      </c>
      <c r="P10" s="282">
        <v>5</v>
      </c>
      <c r="Q10" s="224">
        <v>93</v>
      </c>
      <c r="R10" s="282">
        <v>10</v>
      </c>
      <c r="S10" s="282">
        <v>5</v>
      </c>
      <c r="T10" s="282"/>
      <c r="U10" s="282"/>
      <c r="V10" s="282"/>
      <c r="W10" s="282"/>
      <c r="X10" s="282"/>
      <c r="Y10" s="282"/>
      <c r="Z10" s="224">
        <v>67.888888888888886</v>
      </c>
      <c r="AA10" s="224"/>
      <c r="AB10" s="224">
        <v>73</v>
      </c>
      <c r="AC10" s="226">
        <v>5.5</v>
      </c>
      <c r="AD10" s="227">
        <v>77.234853063098527</v>
      </c>
      <c r="AI10" s="231">
        <v>3</v>
      </c>
      <c r="AJ10" s="232">
        <f>DAVERAGE(DATAA,29,AK3:AK4)</f>
        <v>5.4807692307692308</v>
      </c>
    </row>
    <row r="11" spans="1:46">
      <c r="A11" s="271">
        <v>8</v>
      </c>
      <c r="B11" s="271">
        <v>5</v>
      </c>
      <c r="C11" s="284">
        <f t="shared" si="0"/>
        <v>2.6845637583892617E-2</v>
      </c>
      <c r="D11" s="280" t="s">
        <v>634</v>
      </c>
      <c r="E11" s="281" t="s">
        <v>632</v>
      </c>
      <c r="F11" s="271">
        <v>3</v>
      </c>
      <c r="G11" s="271">
        <v>4</v>
      </c>
      <c r="H11" s="224">
        <v>79.075448717948717</v>
      </c>
      <c r="I11" s="282">
        <v>9</v>
      </c>
      <c r="J11" s="282">
        <v>5</v>
      </c>
      <c r="K11" s="224">
        <v>80.795320836822896</v>
      </c>
      <c r="L11" s="282">
        <v>9</v>
      </c>
      <c r="M11" s="282">
        <v>5</v>
      </c>
      <c r="N11" s="224">
        <v>83.816666666666649</v>
      </c>
      <c r="O11" s="282">
        <v>9</v>
      </c>
      <c r="P11" s="282">
        <v>5</v>
      </c>
      <c r="Q11" s="224">
        <v>98</v>
      </c>
      <c r="R11" s="282">
        <v>10</v>
      </c>
      <c r="S11" s="282">
        <v>5</v>
      </c>
      <c r="T11" s="282"/>
      <c r="U11" s="282"/>
      <c r="V11" s="282"/>
      <c r="W11" s="282"/>
      <c r="X11" s="282"/>
      <c r="Y11" s="282"/>
      <c r="Z11" s="224">
        <v>71.074074074074076</v>
      </c>
      <c r="AA11" s="224"/>
      <c r="AB11" s="224">
        <v>61</v>
      </c>
      <c r="AC11" s="226">
        <v>5.5</v>
      </c>
      <c r="AD11" s="227">
        <v>77.229365508274967</v>
      </c>
      <c r="AI11" s="231">
        <v>4</v>
      </c>
      <c r="AJ11" s="232">
        <f>DAVERAGE(DATAA,27,AL3:AL4)</f>
        <v>59.80952380952381</v>
      </c>
    </row>
    <row r="12" spans="1:46">
      <c r="A12" s="271">
        <v>9</v>
      </c>
      <c r="B12" s="271">
        <v>6</v>
      </c>
      <c r="C12" s="284">
        <f t="shared" si="0"/>
        <v>3.0201342281879196E-2</v>
      </c>
      <c r="D12" s="280" t="s">
        <v>193</v>
      </c>
      <c r="E12" s="281" t="s">
        <v>191</v>
      </c>
      <c r="F12" s="271">
        <v>1</v>
      </c>
      <c r="G12" s="271">
        <v>1</v>
      </c>
      <c r="H12" s="224">
        <v>63.852179487179484</v>
      </c>
      <c r="I12" s="282">
        <v>7</v>
      </c>
      <c r="J12" s="282">
        <v>4</v>
      </c>
      <c r="K12" s="224">
        <v>71.446427633477626</v>
      </c>
      <c r="L12" s="282">
        <v>8</v>
      </c>
      <c r="M12" s="282">
        <v>5</v>
      </c>
      <c r="N12" s="224">
        <v>82.907666666666643</v>
      </c>
      <c r="O12" s="282">
        <v>9</v>
      </c>
      <c r="P12" s="282">
        <v>5</v>
      </c>
      <c r="Q12" s="224">
        <v>82</v>
      </c>
      <c r="R12" s="282">
        <v>9</v>
      </c>
      <c r="S12" s="282">
        <v>5</v>
      </c>
      <c r="T12" s="282"/>
      <c r="U12" s="282"/>
      <c r="V12" s="282"/>
      <c r="W12" s="282"/>
      <c r="X12" s="282"/>
      <c r="Y12" s="282"/>
      <c r="Z12" s="224">
        <v>74.370370370370367</v>
      </c>
      <c r="AA12" s="224">
        <v>89.333333333333343</v>
      </c>
      <c r="AB12" s="224"/>
      <c r="AC12" s="226">
        <v>5.5</v>
      </c>
      <c r="AD12" s="227">
        <v>76.892723180186806</v>
      </c>
      <c r="AI12" s="231">
        <v>5</v>
      </c>
      <c r="AJ12" s="232">
        <f>DAVERAGE(DATAA,29,AM3:AM4)</f>
        <v>5.5</v>
      </c>
    </row>
    <row r="13" spans="1:46">
      <c r="A13" s="271">
        <v>10</v>
      </c>
      <c r="B13" s="271">
        <v>7</v>
      </c>
      <c r="C13" s="284">
        <f t="shared" si="0"/>
        <v>3.3557046979865772E-2</v>
      </c>
      <c r="D13" s="280" t="s">
        <v>103</v>
      </c>
      <c r="E13" s="281" t="s">
        <v>101</v>
      </c>
      <c r="F13" s="271">
        <v>3</v>
      </c>
      <c r="G13" s="271">
        <v>4</v>
      </c>
      <c r="H13" s="224">
        <v>78.536602564102566</v>
      </c>
      <c r="I13" s="282">
        <v>9</v>
      </c>
      <c r="J13" s="282">
        <v>5</v>
      </c>
      <c r="K13" s="224">
        <v>68.21094493494698</v>
      </c>
      <c r="L13" s="282">
        <v>8</v>
      </c>
      <c r="M13" s="282">
        <v>5</v>
      </c>
      <c r="N13" s="224">
        <v>77.461111111111137</v>
      </c>
      <c r="O13" s="282">
        <v>8</v>
      </c>
      <c r="P13" s="282">
        <v>5</v>
      </c>
      <c r="Q13" s="224">
        <v>90</v>
      </c>
      <c r="R13" s="282">
        <v>10</v>
      </c>
      <c r="S13" s="282">
        <v>5</v>
      </c>
      <c r="T13" s="282"/>
      <c r="U13" s="282"/>
      <c r="V13" s="282"/>
      <c r="W13" s="282"/>
      <c r="X13" s="282"/>
      <c r="Y13" s="282"/>
      <c r="Z13" s="224">
        <v>74.592592592592595</v>
      </c>
      <c r="AA13" s="224"/>
      <c r="AB13" s="224">
        <v>75.5</v>
      </c>
      <c r="AC13" s="226">
        <v>5.5</v>
      </c>
      <c r="AD13" s="227">
        <v>76.236591127773323</v>
      </c>
      <c r="AI13" s="231">
        <v>6</v>
      </c>
      <c r="AJ13" s="232">
        <f>DAVERAGE(DATAA,29,AN3:AN4)</f>
        <v>5.44</v>
      </c>
    </row>
    <row r="14" spans="1:46">
      <c r="A14" s="271">
        <v>11</v>
      </c>
      <c r="B14" s="271">
        <v>8</v>
      </c>
      <c r="C14" s="284">
        <f t="shared" si="0"/>
        <v>3.6912751677852351E-2</v>
      </c>
      <c r="D14" s="280" t="s">
        <v>664</v>
      </c>
      <c r="E14" s="281" t="s">
        <v>662</v>
      </c>
      <c r="F14" s="271">
        <v>3</v>
      </c>
      <c r="G14" s="271">
        <v>4</v>
      </c>
      <c r="H14" s="224">
        <v>83.172499999999985</v>
      </c>
      <c r="I14" s="282">
        <v>10</v>
      </c>
      <c r="J14" s="282">
        <v>5</v>
      </c>
      <c r="K14" s="224">
        <v>54.685703925199832</v>
      </c>
      <c r="L14" s="282">
        <v>6</v>
      </c>
      <c r="M14" s="282">
        <v>4</v>
      </c>
      <c r="N14" s="224">
        <v>75.055555555555543</v>
      </c>
      <c r="O14" s="282">
        <v>8</v>
      </c>
      <c r="P14" s="282">
        <v>5</v>
      </c>
      <c r="Q14" s="224">
        <v>85</v>
      </c>
      <c r="R14" s="282">
        <v>9</v>
      </c>
      <c r="S14" s="282">
        <v>5</v>
      </c>
      <c r="T14" s="282"/>
      <c r="U14" s="282"/>
      <c r="V14" s="282"/>
      <c r="W14" s="282"/>
      <c r="X14" s="282"/>
      <c r="Y14" s="282"/>
      <c r="Z14" s="224">
        <v>76.740740740740733</v>
      </c>
      <c r="AA14" s="224">
        <v>86.666666666666657</v>
      </c>
      <c r="AB14" s="224"/>
      <c r="AC14" s="226">
        <v>5.5</v>
      </c>
      <c r="AD14" s="227">
        <v>76.14930307057503</v>
      </c>
      <c r="AI14" s="231">
        <v>7</v>
      </c>
      <c r="AJ14" s="232">
        <f>DAVERAGE(DATAA,29,AO3:AO4)</f>
        <v>5.5</v>
      </c>
    </row>
    <row r="15" spans="1:46">
      <c r="A15" s="271">
        <v>12</v>
      </c>
      <c r="B15" s="271">
        <v>9</v>
      </c>
      <c r="C15" s="284">
        <f t="shared" si="0"/>
        <v>4.0268456375838924E-2</v>
      </c>
      <c r="D15" s="280" t="s">
        <v>160</v>
      </c>
      <c r="E15" s="281" t="s">
        <v>158</v>
      </c>
      <c r="F15" s="271">
        <v>1</v>
      </c>
      <c r="G15" s="271">
        <v>1</v>
      </c>
      <c r="H15" s="224">
        <v>77.788782051282055</v>
      </c>
      <c r="I15" s="282">
        <v>9</v>
      </c>
      <c r="J15" s="282">
        <v>5</v>
      </c>
      <c r="K15" s="224">
        <v>60.792241269841263</v>
      </c>
      <c r="L15" s="282">
        <v>7</v>
      </c>
      <c r="M15" s="282">
        <v>4</v>
      </c>
      <c r="N15" s="224">
        <v>81.968277777777786</v>
      </c>
      <c r="O15" s="282">
        <v>9</v>
      </c>
      <c r="P15" s="282">
        <v>5</v>
      </c>
      <c r="Q15" s="224">
        <v>73</v>
      </c>
      <c r="R15" s="282">
        <v>8</v>
      </c>
      <c r="S15" s="282">
        <v>5</v>
      </c>
      <c r="T15" s="282"/>
      <c r="U15" s="282"/>
      <c r="V15" s="282"/>
      <c r="W15" s="282"/>
      <c r="X15" s="282"/>
      <c r="Y15" s="282"/>
      <c r="Z15" s="224">
        <v>72.518518518518505</v>
      </c>
      <c r="AA15" s="224"/>
      <c r="AB15" s="224">
        <v>86</v>
      </c>
      <c r="AC15" s="226">
        <v>5.5</v>
      </c>
      <c r="AD15" s="227">
        <v>75.55778538498538</v>
      </c>
      <c r="AI15" s="231">
        <v>8</v>
      </c>
      <c r="AJ15" s="232">
        <f>DAVERAGE(DATAA,29,AP3:AP4)</f>
        <v>5.4565217391304346</v>
      </c>
    </row>
    <row r="16" spans="1:46">
      <c r="A16" s="271">
        <v>13</v>
      </c>
      <c r="B16" s="271">
        <v>10</v>
      </c>
      <c r="C16" s="284">
        <f t="shared" si="0"/>
        <v>4.3624161073825503E-2</v>
      </c>
      <c r="D16" s="280" t="s">
        <v>202</v>
      </c>
      <c r="E16" s="281" t="s">
        <v>200</v>
      </c>
      <c r="F16" s="271">
        <v>7</v>
      </c>
      <c r="G16" s="271">
        <v>10</v>
      </c>
      <c r="H16" s="224">
        <v>84.677307692307693</v>
      </c>
      <c r="I16" s="282">
        <v>10</v>
      </c>
      <c r="J16" s="282">
        <v>5</v>
      </c>
      <c r="K16" s="224">
        <v>67.156375541125556</v>
      </c>
      <c r="L16" s="282">
        <v>8</v>
      </c>
      <c r="M16" s="282">
        <v>5</v>
      </c>
      <c r="N16" s="224">
        <v>78.872222222222206</v>
      </c>
      <c r="O16" s="282">
        <v>8</v>
      </c>
      <c r="P16" s="282">
        <v>5</v>
      </c>
      <c r="Q16" s="224"/>
      <c r="R16" s="282"/>
      <c r="S16" s="282"/>
      <c r="T16" s="282">
        <v>93</v>
      </c>
      <c r="U16" s="282">
        <v>10</v>
      </c>
      <c r="V16" s="282">
        <v>5</v>
      </c>
      <c r="W16" s="282"/>
      <c r="X16" s="282"/>
      <c r="Y16" s="282"/>
      <c r="Z16" s="224">
        <v>70.518518518518505</v>
      </c>
      <c r="AA16" s="224"/>
      <c r="AB16" s="224">
        <v>63</v>
      </c>
      <c r="AC16" s="226">
        <v>5.5</v>
      </c>
      <c r="AD16" s="227">
        <v>74.677167995304359</v>
      </c>
      <c r="AI16" s="231">
        <v>9</v>
      </c>
      <c r="AJ16" s="232">
        <f>DAVERAGE(DATAA,29,AQ3:AQ4)</f>
        <v>5.5</v>
      </c>
    </row>
    <row r="17" spans="1:36">
      <c r="A17" s="271">
        <v>14</v>
      </c>
      <c r="B17" s="271">
        <v>11</v>
      </c>
      <c r="C17" s="284">
        <f t="shared" si="0"/>
        <v>4.6979865771812082E-2</v>
      </c>
      <c r="D17" s="280" t="s">
        <v>923</v>
      </c>
      <c r="E17" s="281" t="s">
        <v>921</v>
      </c>
      <c r="F17" s="271">
        <v>3</v>
      </c>
      <c r="G17" s="271">
        <v>4</v>
      </c>
      <c r="H17" s="224">
        <v>66.827307692307699</v>
      </c>
      <c r="I17" s="282">
        <v>8</v>
      </c>
      <c r="J17" s="282">
        <v>5</v>
      </c>
      <c r="K17" s="224">
        <v>76.858296953576229</v>
      </c>
      <c r="L17" s="282">
        <v>9</v>
      </c>
      <c r="M17" s="282">
        <v>5</v>
      </c>
      <c r="N17" s="224">
        <v>74.011111111111148</v>
      </c>
      <c r="O17" s="282">
        <v>8</v>
      </c>
      <c r="P17" s="282">
        <v>5</v>
      </c>
      <c r="Q17" s="224">
        <v>72</v>
      </c>
      <c r="R17" s="282">
        <v>8</v>
      </c>
      <c r="S17" s="282">
        <v>5</v>
      </c>
      <c r="T17" s="282"/>
      <c r="U17" s="282"/>
      <c r="V17" s="283"/>
      <c r="W17" s="282"/>
      <c r="X17" s="283"/>
      <c r="Y17" s="283"/>
      <c r="Z17" s="224">
        <v>80.296296296296291</v>
      </c>
      <c r="AA17" s="224"/>
      <c r="AB17" s="224">
        <v>76</v>
      </c>
      <c r="AC17" s="226">
        <v>5.5</v>
      </c>
      <c r="AD17" s="227">
        <v>74.544184009689332</v>
      </c>
      <c r="AI17" s="231">
        <v>10</v>
      </c>
      <c r="AJ17" s="232">
        <f>DAVERAGE(DATAA,29,AR3:AR4)</f>
        <v>5.4375</v>
      </c>
    </row>
    <row r="18" spans="1:36">
      <c r="A18" s="279">
        <v>15</v>
      </c>
      <c r="B18" s="271" t="s">
        <v>1993</v>
      </c>
      <c r="C18" s="284">
        <f t="shared" si="0"/>
        <v>5.0335570469798654E-2</v>
      </c>
      <c r="D18" s="280" t="s">
        <v>163</v>
      </c>
      <c r="E18" s="281" t="s">
        <v>161</v>
      </c>
      <c r="F18" s="271">
        <v>3</v>
      </c>
      <c r="G18" s="271">
        <v>4</v>
      </c>
      <c r="H18" s="224">
        <v>72.763205128205129</v>
      </c>
      <c r="I18" s="282">
        <v>9</v>
      </c>
      <c r="J18" s="282">
        <v>5</v>
      </c>
      <c r="K18" s="224">
        <v>76.269051649228771</v>
      </c>
      <c r="L18" s="282">
        <v>9</v>
      </c>
      <c r="M18" s="282">
        <v>5</v>
      </c>
      <c r="N18" s="224">
        <v>89.377777777777794</v>
      </c>
      <c r="O18" s="282">
        <v>9</v>
      </c>
      <c r="P18" s="282">
        <v>5</v>
      </c>
      <c r="Q18" s="224"/>
      <c r="R18" s="282"/>
      <c r="S18" s="282"/>
      <c r="T18" s="282"/>
      <c r="U18" s="282"/>
      <c r="V18" s="282"/>
      <c r="W18" s="224">
        <v>76</v>
      </c>
      <c r="X18" s="282">
        <v>8</v>
      </c>
      <c r="Y18" s="282">
        <v>5</v>
      </c>
      <c r="Z18" s="224">
        <v>58.888888888888886</v>
      </c>
      <c r="AA18" s="224"/>
      <c r="AB18" s="224">
        <v>74</v>
      </c>
      <c r="AC18" s="226">
        <v>5.5</v>
      </c>
      <c r="AD18" s="227">
        <v>74.417986080745564</v>
      </c>
      <c r="AI18" s="231">
        <v>11</v>
      </c>
      <c r="AJ18" s="232">
        <f>DAVERAGE(DATAA,29,AS3:AS4)</f>
        <v>5.5</v>
      </c>
    </row>
    <row r="19" spans="1:36">
      <c r="A19" s="270">
        <v>16</v>
      </c>
      <c r="B19" s="271">
        <v>12</v>
      </c>
      <c r="C19" s="284">
        <f t="shared" si="0"/>
        <v>5.3691275167785234E-2</v>
      </c>
      <c r="D19" s="280" t="s">
        <v>51</v>
      </c>
      <c r="E19" s="281" t="s">
        <v>49</v>
      </c>
      <c r="F19" s="271">
        <v>5</v>
      </c>
      <c r="G19" s="271">
        <v>7</v>
      </c>
      <c r="H19" s="224">
        <v>69.794038461538463</v>
      </c>
      <c r="I19" s="282">
        <v>8</v>
      </c>
      <c r="J19" s="282">
        <v>5</v>
      </c>
      <c r="K19" s="224">
        <v>61.076932718350697</v>
      </c>
      <c r="L19" s="282">
        <v>7</v>
      </c>
      <c r="M19" s="282">
        <v>4</v>
      </c>
      <c r="N19" s="224">
        <v>84.915111111111088</v>
      </c>
      <c r="O19" s="282">
        <v>9</v>
      </c>
      <c r="P19" s="282">
        <v>5</v>
      </c>
      <c r="Q19" s="224">
        <v>90</v>
      </c>
      <c r="R19" s="282">
        <v>10</v>
      </c>
      <c r="S19" s="282">
        <v>5</v>
      </c>
      <c r="T19" s="282"/>
      <c r="U19" s="282"/>
      <c r="V19" s="282"/>
      <c r="W19" s="282"/>
      <c r="X19" s="282"/>
      <c r="Y19" s="282"/>
      <c r="Z19" s="224">
        <v>71.666666666666657</v>
      </c>
      <c r="AA19" s="224"/>
      <c r="AB19" s="224">
        <v>74.5</v>
      </c>
      <c r="AC19" s="226">
        <v>5.5</v>
      </c>
      <c r="AD19" s="227">
        <v>73.991408901393982</v>
      </c>
      <c r="AI19" s="231">
        <v>12</v>
      </c>
      <c r="AJ19" s="232">
        <f>DAVERAGE(DATAA,29,AT3:AT4)</f>
        <v>5.4411764705882355</v>
      </c>
    </row>
    <row r="20" spans="1:36">
      <c r="A20" s="279">
        <v>17</v>
      </c>
      <c r="B20" s="271">
        <v>13</v>
      </c>
      <c r="C20" s="284">
        <f t="shared" si="0"/>
        <v>5.7046979865771813E-2</v>
      </c>
      <c r="D20" s="280" t="s">
        <v>307</v>
      </c>
      <c r="E20" s="281" t="s">
        <v>305</v>
      </c>
      <c r="F20" s="271">
        <v>1</v>
      </c>
      <c r="G20" s="271">
        <v>3</v>
      </c>
      <c r="H20" s="224">
        <v>79.992435897435897</v>
      </c>
      <c r="I20" s="282">
        <v>9</v>
      </c>
      <c r="J20" s="282">
        <v>5</v>
      </c>
      <c r="K20" s="224">
        <v>86.050213275613274</v>
      </c>
      <c r="L20" s="282">
        <v>10</v>
      </c>
      <c r="M20" s="282">
        <v>5</v>
      </c>
      <c r="N20" s="224">
        <v>86.051333333333332</v>
      </c>
      <c r="O20" s="282">
        <v>9</v>
      </c>
      <c r="P20" s="282">
        <v>5</v>
      </c>
      <c r="Q20" s="224"/>
      <c r="R20" s="282"/>
      <c r="S20" s="282"/>
      <c r="T20" s="282">
        <v>88</v>
      </c>
      <c r="U20" s="282">
        <v>9</v>
      </c>
      <c r="V20" s="282">
        <v>5</v>
      </c>
      <c r="W20" s="282"/>
      <c r="X20" s="282"/>
      <c r="Y20" s="282"/>
      <c r="Z20" s="224">
        <v>57.777777777777779</v>
      </c>
      <c r="AA20" s="224"/>
      <c r="AB20" s="224">
        <v>53</v>
      </c>
      <c r="AC20" s="226">
        <v>5.5</v>
      </c>
      <c r="AD20" s="227">
        <v>73.976683688029141</v>
      </c>
      <c r="AI20" s="237" t="s">
        <v>2057</v>
      </c>
      <c r="AJ20" s="238">
        <f>DAVERAGE(DATAA,29,AL32:AL33)</f>
        <v>5.474832214765101</v>
      </c>
    </row>
    <row r="21" spans="1:36">
      <c r="A21" s="279">
        <v>18</v>
      </c>
      <c r="B21" s="271">
        <v>14</v>
      </c>
      <c r="C21" s="284">
        <f t="shared" si="0"/>
        <v>6.0402684563758392E-2</v>
      </c>
      <c r="D21" s="280" t="s">
        <v>739</v>
      </c>
      <c r="E21" s="281" t="s">
        <v>737</v>
      </c>
      <c r="F21" s="271">
        <v>5</v>
      </c>
      <c r="G21" s="271">
        <v>7</v>
      </c>
      <c r="H21" s="224">
        <v>76.464166666666671</v>
      </c>
      <c r="I21" s="282">
        <v>9</v>
      </c>
      <c r="J21" s="282">
        <v>5</v>
      </c>
      <c r="K21" s="224">
        <v>51.537318684820256</v>
      </c>
      <c r="L21" s="282">
        <v>6</v>
      </c>
      <c r="M21" s="282">
        <v>4</v>
      </c>
      <c r="N21" s="224">
        <v>76.782833333333343</v>
      </c>
      <c r="O21" s="282">
        <v>8</v>
      </c>
      <c r="P21" s="282">
        <v>5</v>
      </c>
      <c r="Q21" s="224"/>
      <c r="R21" s="282"/>
      <c r="S21" s="282"/>
      <c r="T21" s="282">
        <v>86</v>
      </c>
      <c r="U21" s="282">
        <v>9</v>
      </c>
      <c r="V21" s="282">
        <v>5</v>
      </c>
      <c r="W21" s="282"/>
      <c r="X21" s="282"/>
      <c r="Y21" s="282"/>
      <c r="Z21" s="224">
        <v>78.703703703703709</v>
      </c>
      <c r="AA21" s="224"/>
      <c r="AB21" s="224">
        <v>79</v>
      </c>
      <c r="AC21" s="226">
        <v>5.5</v>
      </c>
      <c r="AD21" s="227">
        <v>73.725094979731637</v>
      </c>
    </row>
    <row r="22" spans="1:36">
      <c r="A22" s="270">
        <v>19</v>
      </c>
      <c r="B22" s="271">
        <v>15</v>
      </c>
      <c r="C22" s="284">
        <f t="shared" si="0"/>
        <v>6.3758389261744972E-2</v>
      </c>
      <c r="D22" s="280" t="s">
        <v>733</v>
      </c>
      <c r="E22" s="281" t="s">
        <v>731</v>
      </c>
      <c r="F22" s="271">
        <v>6</v>
      </c>
      <c r="G22" s="271">
        <v>7</v>
      </c>
      <c r="H22" s="224">
        <v>73.269935897435886</v>
      </c>
      <c r="I22" s="282">
        <v>9</v>
      </c>
      <c r="J22" s="282">
        <v>5</v>
      </c>
      <c r="K22" s="224">
        <v>66.014250036416442</v>
      </c>
      <c r="L22" s="282">
        <v>8</v>
      </c>
      <c r="M22" s="282">
        <v>5</v>
      </c>
      <c r="N22" s="224">
        <v>84.497888888888895</v>
      </c>
      <c r="O22" s="282">
        <v>9</v>
      </c>
      <c r="P22" s="282">
        <v>5</v>
      </c>
      <c r="Q22" s="224">
        <v>89</v>
      </c>
      <c r="R22" s="282">
        <v>10</v>
      </c>
      <c r="S22" s="282">
        <v>5</v>
      </c>
      <c r="T22" s="282"/>
      <c r="U22" s="282"/>
      <c r="V22" s="282"/>
      <c r="W22" s="282"/>
      <c r="X22" s="282"/>
      <c r="Y22" s="282"/>
      <c r="Z22" s="224">
        <v>69</v>
      </c>
      <c r="AA22" s="224"/>
      <c r="AB22" s="224">
        <v>66.8</v>
      </c>
      <c r="AC22" s="226">
        <v>5.5</v>
      </c>
      <c r="AD22" s="227">
        <v>73.469468149589318</v>
      </c>
    </row>
    <row r="23" spans="1:36">
      <c r="A23" s="279">
        <v>20</v>
      </c>
      <c r="B23" s="271">
        <v>16</v>
      </c>
      <c r="C23" s="284">
        <f t="shared" si="0"/>
        <v>6.7114093959731544E-2</v>
      </c>
      <c r="D23" s="280" t="s">
        <v>461</v>
      </c>
      <c r="E23" s="281" t="s">
        <v>459</v>
      </c>
      <c r="F23" s="271">
        <v>2</v>
      </c>
      <c r="G23" s="271">
        <v>3</v>
      </c>
      <c r="H23" s="224">
        <v>72.430128205128199</v>
      </c>
      <c r="I23" s="282">
        <v>9</v>
      </c>
      <c r="J23" s="282">
        <v>5</v>
      </c>
      <c r="K23" s="224">
        <v>83.609150974025965</v>
      </c>
      <c r="L23" s="282">
        <v>9</v>
      </c>
      <c r="M23" s="282">
        <v>5</v>
      </c>
      <c r="N23" s="224">
        <v>80.394444444444446</v>
      </c>
      <c r="O23" s="282">
        <v>9</v>
      </c>
      <c r="P23" s="282">
        <v>5</v>
      </c>
      <c r="Q23" s="224">
        <v>91</v>
      </c>
      <c r="R23" s="282">
        <v>10</v>
      </c>
      <c r="S23" s="282">
        <v>5</v>
      </c>
      <c r="T23" s="282"/>
      <c r="U23" s="282"/>
      <c r="V23" s="282"/>
      <c r="W23" s="282"/>
      <c r="X23" s="282"/>
      <c r="Y23" s="282"/>
      <c r="Z23" s="224">
        <v>72.407407407407405</v>
      </c>
      <c r="AA23" s="224"/>
      <c r="AB23" s="224">
        <v>49.3</v>
      </c>
      <c r="AC23" s="226">
        <v>5.5</v>
      </c>
      <c r="AD23" s="227">
        <v>73.389296551092002</v>
      </c>
    </row>
    <row r="24" spans="1:36">
      <c r="A24" s="279">
        <v>21</v>
      </c>
      <c r="B24" s="271">
        <v>17</v>
      </c>
      <c r="C24" s="284">
        <f t="shared" si="0"/>
        <v>7.0469798657718116E-2</v>
      </c>
      <c r="D24" s="280" t="s">
        <v>424</v>
      </c>
      <c r="E24" s="281" t="s">
        <v>422</v>
      </c>
      <c r="F24" s="271">
        <v>2</v>
      </c>
      <c r="G24" s="271">
        <v>2</v>
      </c>
      <c r="H24" s="224">
        <v>66.93967948717949</v>
      </c>
      <c r="I24" s="282">
        <v>8</v>
      </c>
      <c r="J24" s="282">
        <v>5</v>
      </c>
      <c r="K24" s="224">
        <v>70.589635642135633</v>
      </c>
      <c r="L24" s="282">
        <v>8</v>
      </c>
      <c r="M24" s="282">
        <v>5</v>
      </c>
      <c r="N24" s="224">
        <v>64.311111111111103</v>
      </c>
      <c r="O24" s="282">
        <v>7</v>
      </c>
      <c r="P24" s="282">
        <v>4</v>
      </c>
      <c r="Q24" s="224">
        <v>84</v>
      </c>
      <c r="R24" s="282">
        <v>9</v>
      </c>
      <c r="S24" s="282">
        <v>5</v>
      </c>
      <c r="T24" s="282"/>
      <c r="U24" s="282"/>
      <c r="V24" s="282"/>
      <c r="W24" s="282"/>
      <c r="X24" s="282"/>
      <c r="Y24" s="282"/>
      <c r="Z24" s="224">
        <v>66.407407407407405</v>
      </c>
      <c r="AA24" s="224"/>
      <c r="AB24" s="224">
        <v>89.3</v>
      </c>
      <c r="AC24" s="226">
        <v>5.5</v>
      </c>
      <c r="AD24" s="227">
        <v>72.645060663242489</v>
      </c>
    </row>
    <row r="25" spans="1:36">
      <c r="A25" s="270">
        <v>22</v>
      </c>
      <c r="B25" s="271" t="s">
        <v>1993</v>
      </c>
      <c r="C25" s="284">
        <f t="shared" si="0"/>
        <v>7.3825503355704702E-2</v>
      </c>
      <c r="D25" s="280" t="s">
        <v>175</v>
      </c>
      <c r="E25" s="281" t="s">
        <v>173</v>
      </c>
      <c r="F25" s="271">
        <v>1</v>
      </c>
      <c r="G25" s="271">
        <v>1</v>
      </c>
      <c r="H25" s="224">
        <v>77.816858974358979</v>
      </c>
      <c r="I25" s="282">
        <v>9</v>
      </c>
      <c r="J25" s="282">
        <v>5</v>
      </c>
      <c r="K25" s="224">
        <v>66.02306305916305</v>
      </c>
      <c r="L25" s="282">
        <v>8</v>
      </c>
      <c r="M25" s="282">
        <v>5</v>
      </c>
      <c r="N25" s="224">
        <v>81.694444444444443</v>
      </c>
      <c r="O25" s="282">
        <v>9</v>
      </c>
      <c r="P25" s="282">
        <v>5</v>
      </c>
      <c r="Q25" s="224">
        <v>76</v>
      </c>
      <c r="R25" s="282">
        <v>8</v>
      </c>
      <c r="S25" s="282">
        <v>5</v>
      </c>
      <c r="T25" s="282"/>
      <c r="U25" s="282"/>
      <c r="V25" s="282"/>
      <c r="W25" s="282"/>
      <c r="X25" s="282"/>
      <c r="Y25" s="282"/>
      <c r="Z25" s="224">
        <v>67.296296296296305</v>
      </c>
      <c r="AA25" s="224"/>
      <c r="AB25" s="224">
        <v>66</v>
      </c>
      <c r="AC25" s="226">
        <v>5.5</v>
      </c>
      <c r="AD25" s="227">
        <v>72.151029595320509</v>
      </c>
    </row>
    <row r="26" spans="1:36">
      <c r="A26" s="279">
        <v>23</v>
      </c>
      <c r="B26" s="271">
        <v>18</v>
      </c>
      <c r="C26" s="284">
        <f t="shared" si="0"/>
        <v>7.7181208053691275E-2</v>
      </c>
      <c r="D26" s="280" t="s">
        <v>313</v>
      </c>
      <c r="E26" s="281" t="s">
        <v>311</v>
      </c>
      <c r="F26" s="271">
        <v>3</v>
      </c>
      <c r="G26" s="271">
        <v>4</v>
      </c>
      <c r="H26" s="224">
        <v>76.663333333333327</v>
      </c>
      <c r="I26" s="282">
        <v>9</v>
      </c>
      <c r="J26" s="282">
        <v>5</v>
      </c>
      <c r="K26" s="224">
        <v>54.060726720297566</v>
      </c>
      <c r="L26" s="282">
        <v>6</v>
      </c>
      <c r="M26" s="282">
        <v>4</v>
      </c>
      <c r="N26" s="224">
        <v>71.188888888888897</v>
      </c>
      <c r="O26" s="282">
        <v>8</v>
      </c>
      <c r="P26" s="282">
        <v>5</v>
      </c>
      <c r="Q26" s="224">
        <v>86</v>
      </c>
      <c r="R26" s="282">
        <v>10</v>
      </c>
      <c r="S26" s="282">
        <v>5</v>
      </c>
      <c r="T26" s="282"/>
      <c r="U26" s="282"/>
      <c r="V26" s="282"/>
      <c r="W26" s="282"/>
      <c r="X26" s="282"/>
      <c r="Y26" s="282"/>
      <c r="Z26" s="224">
        <v>76.259259259259267</v>
      </c>
      <c r="AA26" s="224"/>
      <c r="AB26" s="224">
        <v>74</v>
      </c>
      <c r="AC26" s="226">
        <v>5.5</v>
      </c>
      <c r="AD26" s="227">
        <v>71.84949240032347</v>
      </c>
    </row>
    <row r="27" spans="1:36">
      <c r="A27" s="279">
        <v>24</v>
      </c>
      <c r="B27" s="271">
        <v>19</v>
      </c>
      <c r="C27" s="284">
        <f t="shared" si="0"/>
        <v>8.0536912751677847E-2</v>
      </c>
      <c r="D27" s="280" t="s">
        <v>142</v>
      </c>
      <c r="E27" s="281" t="s">
        <v>140</v>
      </c>
      <c r="F27" s="271">
        <v>3</v>
      </c>
      <c r="G27" s="271">
        <v>6</v>
      </c>
      <c r="H27" s="224">
        <v>65.366346153846152</v>
      </c>
      <c r="I27" s="282">
        <v>8</v>
      </c>
      <c r="J27" s="282">
        <v>5</v>
      </c>
      <c r="K27" s="224">
        <v>71.285699895018695</v>
      </c>
      <c r="L27" s="282">
        <v>8</v>
      </c>
      <c r="M27" s="282">
        <v>5</v>
      </c>
      <c r="N27" s="224">
        <v>74.066666666666649</v>
      </c>
      <c r="O27" s="282">
        <v>8</v>
      </c>
      <c r="P27" s="282">
        <v>5</v>
      </c>
      <c r="Q27" s="224">
        <v>96</v>
      </c>
      <c r="R27" s="282">
        <v>10</v>
      </c>
      <c r="S27" s="282">
        <v>5</v>
      </c>
      <c r="T27" s="282"/>
      <c r="U27" s="282"/>
      <c r="V27" s="282"/>
      <c r="W27" s="282"/>
      <c r="X27" s="282"/>
      <c r="Y27" s="282"/>
      <c r="Z27" s="224">
        <v>65.740740740740733</v>
      </c>
      <c r="AA27" s="224"/>
      <c r="AB27" s="224">
        <v>69.8</v>
      </c>
      <c r="AC27" s="226">
        <v>5.5</v>
      </c>
      <c r="AD27" s="227">
        <v>71.683536992049511</v>
      </c>
    </row>
    <row r="28" spans="1:36">
      <c r="A28" s="270">
        <v>25</v>
      </c>
      <c r="B28" s="271">
        <v>20</v>
      </c>
      <c r="C28" s="284">
        <f t="shared" si="0"/>
        <v>8.3892617449664433E-2</v>
      </c>
      <c r="D28" s="280" t="s">
        <v>938</v>
      </c>
      <c r="E28" s="281" t="s">
        <v>936</v>
      </c>
      <c r="F28" s="271">
        <v>3</v>
      </c>
      <c r="G28" s="271">
        <v>5</v>
      </c>
      <c r="H28" s="224">
        <v>77.776410256410259</v>
      </c>
      <c r="I28" s="282">
        <v>9</v>
      </c>
      <c r="J28" s="282">
        <v>5</v>
      </c>
      <c r="K28" s="224">
        <v>67.648540420750919</v>
      </c>
      <c r="L28" s="282">
        <v>8</v>
      </c>
      <c r="M28" s="282">
        <v>5</v>
      </c>
      <c r="N28" s="224">
        <v>74.194444444444443</v>
      </c>
      <c r="O28" s="282">
        <v>8</v>
      </c>
      <c r="P28" s="282">
        <v>5</v>
      </c>
      <c r="Q28" s="224">
        <v>90</v>
      </c>
      <c r="R28" s="282">
        <v>10</v>
      </c>
      <c r="S28" s="282">
        <v>5</v>
      </c>
      <c r="T28" s="282"/>
      <c r="U28" s="282"/>
      <c r="V28" s="283"/>
      <c r="W28" s="282"/>
      <c r="X28" s="283"/>
      <c r="Y28" s="283"/>
      <c r="Z28" s="224">
        <v>64.407407407407405</v>
      </c>
      <c r="AA28" s="224"/>
      <c r="AB28" s="224">
        <v>65</v>
      </c>
      <c r="AC28" s="226">
        <v>5.5</v>
      </c>
      <c r="AD28" s="227">
        <v>71.641236823456907</v>
      </c>
    </row>
    <row r="29" spans="1:36">
      <c r="A29" s="279">
        <v>26</v>
      </c>
      <c r="B29" s="271">
        <v>21</v>
      </c>
      <c r="C29" s="284">
        <f t="shared" si="0"/>
        <v>8.7248322147651006E-2</v>
      </c>
      <c r="D29" s="280" t="s">
        <v>157</v>
      </c>
      <c r="E29" s="281" t="s">
        <v>155</v>
      </c>
      <c r="F29" s="271">
        <v>3</v>
      </c>
      <c r="G29" s="271">
        <v>5</v>
      </c>
      <c r="H29" s="224">
        <v>80.541858974358973</v>
      </c>
      <c r="I29" s="282">
        <v>10</v>
      </c>
      <c r="J29" s="282">
        <v>5</v>
      </c>
      <c r="K29" s="224">
        <v>56.816203181090778</v>
      </c>
      <c r="L29" s="282">
        <v>7</v>
      </c>
      <c r="M29" s="282">
        <v>4</v>
      </c>
      <c r="N29" s="224">
        <v>68.633333333333297</v>
      </c>
      <c r="O29" s="282">
        <v>7</v>
      </c>
      <c r="P29" s="282">
        <v>4</v>
      </c>
      <c r="Q29" s="224">
        <v>67</v>
      </c>
      <c r="R29" s="282">
        <v>7</v>
      </c>
      <c r="S29" s="282">
        <v>4</v>
      </c>
      <c r="T29" s="282"/>
      <c r="U29" s="282"/>
      <c r="V29" s="282"/>
      <c r="W29" s="282"/>
      <c r="X29" s="282"/>
      <c r="Y29" s="282"/>
      <c r="Z29" s="224">
        <v>69.333333333333343</v>
      </c>
      <c r="AA29" s="224"/>
      <c r="AB29" s="224">
        <v>85</v>
      </c>
      <c r="AC29" s="226">
        <v>5.5</v>
      </c>
      <c r="AD29" s="227">
        <v>71.604496149475708</v>
      </c>
    </row>
    <row r="30" spans="1:36">
      <c r="A30" s="279">
        <v>27</v>
      </c>
      <c r="B30" s="271">
        <v>22</v>
      </c>
      <c r="C30" s="284">
        <f t="shared" si="0"/>
        <v>9.0604026845637578E-2</v>
      </c>
      <c r="D30" s="280" t="s">
        <v>577</v>
      </c>
      <c r="E30" s="281" t="s">
        <v>2058</v>
      </c>
      <c r="F30" s="271">
        <v>1</v>
      </c>
      <c r="G30" s="271">
        <v>1</v>
      </c>
      <c r="H30" s="224">
        <v>73.660192307692313</v>
      </c>
      <c r="I30" s="282">
        <v>9</v>
      </c>
      <c r="J30" s="282">
        <v>5</v>
      </c>
      <c r="K30" s="224">
        <v>42.32555331890331</v>
      </c>
      <c r="L30" s="282">
        <v>5</v>
      </c>
      <c r="M30" s="282">
        <v>3</v>
      </c>
      <c r="N30" s="224">
        <v>72.408611111111099</v>
      </c>
      <c r="O30" s="282">
        <v>8</v>
      </c>
      <c r="P30" s="282">
        <v>5</v>
      </c>
      <c r="Q30" s="224">
        <v>76</v>
      </c>
      <c r="R30" s="282">
        <v>8</v>
      </c>
      <c r="S30" s="282">
        <v>5</v>
      </c>
      <c r="T30" s="282"/>
      <c r="U30" s="282"/>
      <c r="V30" s="282"/>
      <c r="W30" s="282"/>
      <c r="X30" s="282"/>
      <c r="Y30" s="282"/>
      <c r="Z30" s="224">
        <v>80.81481481481481</v>
      </c>
      <c r="AA30" s="224"/>
      <c r="AB30" s="224">
        <v>84</v>
      </c>
      <c r="AC30" s="226">
        <v>5.5</v>
      </c>
      <c r="AD30" s="227">
        <v>71.128940282276645</v>
      </c>
    </row>
    <row r="31" spans="1:36">
      <c r="A31" s="270">
        <v>28</v>
      </c>
      <c r="B31" s="271">
        <v>23</v>
      </c>
      <c r="C31" s="284">
        <f t="shared" si="0"/>
        <v>9.3959731543624164E-2</v>
      </c>
      <c r="D31" s="280" t="s">
        <v>409</v>
      </c>
      <c r="E31" s="281" t="s">
        <v>407</v>
      </c>
      <c r="F31" s="271">
        <v>2</v>
      </c>
      <c r="G31" s="271">
        <v>1</v>
      </c>
      <c r="H31" s="224">
        <v>70.405576923076922</v>
      </c>
      <c r="I31" s="282">
        <v>8</v>
      </c>
      <c r="J31" s="282">
        <v>5</v>
      </c>
      <c r="K31" s="224">
        <v>54.564829004328999</v>
      </c>
      <c r="L31" s="282">
        <v>6</v>
      </c>
      <c r="M31" s="282">
        <v>4</v>
      </c>
      <c r="N31" s="224">
        <v>70.199999999999989</v>
      </c>
      <c r="O31" s="282">
        <v>8</v>
      </c>
      <c r="P31" s="282">
        <v>5</v>
      </c>
      <c r="Q31" s="224">
        <v>85</v>
      </c>
      <c r="R31" s="282">
        <v>9</v>
      </c>
      <c r="S31" s="282">
        <v>5</v>
      </c>
      <c r="T31" s="282"/>
      <c r="U31" s="282"/>
      <c r="V31" s="282"/>
      <c r="W31" s="282"/>
      <c r="X31" s="282"/>
      <c r="Y31" s="282"/>
      <c r="Z31" s="224">
        <v>76.962962962962962</v>
      </c>
      <c r="AA31" s="224"/>
      <c r="AB31" s="224">
        <v>76.3</v>
      </c>
      <c r="AC31" s="226">
        <v>5.5</v>
      </c>
      <c r="AD31" s="227">
        <v>71.078794343703422</v>
      </c>
    </row>
    <row r="32" spans="1:36">
      <c r="A32" s="279">
        <v>29</v>
      </c>
      <c r="B32" s="271" t="s">
        <v>1993</v>
      </c>
      <c r="C32" s="284">
        <f t="shared" si="0"/>
        <v>9.7315436241610737E-2</v>
      </c>
      <c r="D32" s="280" t="s">
        <v>545</v>
      </c>
      <c r="E32" s="281" t="s">
        <v>543</v>
      </c>
      <c r="F32" s="271" t="s">
        <v>1002</v>
      </c>
      <c r="G32" s="271" t="s">
        <v>2059</v>
      </c>
      <c r="H32" s="224">
        <v>63.897756410256406</v>
      </c>
      <c r="I32" s="282">
        <v>7</v>
      </c>
      <c r="J32" s="282">
        <v>4</v>
      </c>
      <c r="K32" s="224">
        <v>96.740499999999997</v>
      </c>
      <c r="L32" s="282">
        <v>10</v>
      </c>
      <c r="M32" s="282">
        <v>5</v>
      </c>
      <c r="N32" s="224">
        <v>72.327777777777783</v>
      </c>
      <c r="O32" s="282">
        <v>8</v>
      </c>
      <c r="P32" s="282">
        <v>5</v>
      </c>
      <c r="Q32" s="224"/>
      <c r="R32" s="282"/>
      <c r="S32" s="282"/>
      <c r="T32" s="282">
        <v>68</v>
      </c>
      <c r="U32" s="282">
        <v>7</v>
      </c>
      <c r="V32" s="282">
        <v>4</v>
      </c>
      <c r="W32" s="282"/>
      <c r="X32" s="282"/>
      <c r="Y32" s="282"/>
      <c r="Z32" s="224">
        <v>67.148148148148152</v>
      </c>
      <c r="AA32" s="224"/>
      <c r="AB32" s="224">
        <v>56.7</v>
      </c>
      <c r="AC32" s="226">
        <v>5.5</v>
      </c>
      <c r="AD32" s="227">
        <v>71.057124061124057</v>
      </c>
    </row>
    <row r="33" spans="1:30">
      <c r="A33" s="279">
        <v>30</v>
      </c>
      <c r="B33" s="271">
        <v>24</v>
      </c>
      <c r="C33" s="284">
        <f t="shared" si="0"/>
        <v>0.10067114093959731</v>
      </c>
      <c r="D33" s="280" t="s">
        <v>773</v>
      </c>
      <c r="E33" s="281" t="s">
        <v>771</v>
      </c>
      <c r="F33" s="271">
        <v>2</v>
      </c>
      <c r="G33" s="271">
        <v>1</v>
      </c>
      <c r="H33" s="224">
        <v>66.174807692307695</v>
      </c>
      <c r="I33" s="282">
        <v>8</v>
      </c>
      <c r="J33" s="282">
        <v>5</v>
      </c>
      <c r="K33" s="224">
        <v>56.567419913419911</v>
      </c>
      <c r="L33" s="282">
        <v>7</v>
      </c>
      <c r="M33" s="282">
        <v>4</v>
      </c>
      <c r="N33" s="224">
        <v>84.74444444444444</v>
      </c>
      <c r="O33" s="282">
        <v>9</v>
      </c>
      <c r="P33" s="282">
        <v>5</v>
      </c>
      <c r="Q33" s="224">
        <v>81</v>
      </c>
      <c r="R33" s="282">
        <v>9</v>
      </c>
      <c r="S33" s="282">
        <v>5</v>
      </c>
      <c r="T33" s="282"/>
      <c r="U33" s="282"/>
      <c r="V33" s="282"/>
      <c r="W33" s="282"/>
      <c r="X33" s="282"/>
      <c r="Y33" s="282"/>
      <c r="Z33" s="224">
        <v>70.111111111111114</v>
      </c>
      <c r="AA33" s="224"/>
      <c r="AB33" s="224">
        <v>72</v>
      </c>
      <c r="AC33" s="226">
        <v>5.5</v>
      </c>
      <c r="AD33" s="227">
        <v>70.926869665687846</v>
      </c>
    </row>
    <row r="34" spans="1:30">
      <c r="A34" s="270">
        <v>31</v>
      </c>
      <c r="B34" s="271">
        <v>25</v>
      </c>
      <c r="C34" s="284">
        <f t="shared" si="0"/>
        <v>0.1040268456375839</v>
      </c>
      <c r="D34" s="280" t="s">
        <v>628</v>
      </c>
      <c r="E34" s="281" t="s">
        <v>626</v>
      </c>
      <c r="F34" s="271">
        <v>3</v>
      </c>
      <c r="G34" s="271">
        <v>5</v>
      </c>
      <c r="H34" s="224">
        <v>67.951153846153844</v>
      </c>
      <c r="I34" s="282">
        <v>8</v>
      </c>
      <c r="J34" s="282">
        <v>5</v>
      </c>
      <c r="K34" s="224">
        <v>62.151246200817042</v>
      </c>
      <c r="L34" s="282">
        <v>7</v>
      </c>
      <c r="M34" s="282">
        <v>4</v>
      </c>
      <c r="N34" s="224">
        <v>84.361111111111143</v>
      </c>
      <c r="O34" s="282">
        <v>9</v>
      </c>
      <c r="P34" s="282">
        <v>5</v>
      </c>
      <c r="Q34" s="224">
        <v>83</v>
      </c>
      <c r="R34" s="282">
        <v>9</v>
      </c>
      <c r="S34" s="282">
        <v>5</v>
      </c>
      <c r="T34" s="282"/>
      <c r="U34" s="282"/>
      <c r="V34" s="282"/>
      <c r="W34" s="282"/>
      <c r="X34" s="282"/>
      <c r="Y34" s="282"/>
      <c r="Z34" s="224">
        <v>67.629629629629619</v>
      </c>
      <c r="AA34" s="224"/>
      <c r="AB34" s="224">
        <v>65.5</v>
      </c>
      <c r="AC34" s="226">
        <v>5.5</v>
      </c>
      <c r="AD34" s="227">
        <v>70.744207415947571</v>
      </c>
    </row>
    <row r="35" spans="1:30">
      <c r="A35" s="279">
        <v>32</v>
      </c>
      <c r="B35" s="271">
        <v>26</v>
      </c>
      <c r="C35" s="284">
        <f t="shared" si="0"/>
        <v>0.10738255033557047</v>
      </c>
      <c r="D35" s="280" t="s">
        <v>48</v>
      </c>
      <c r="E35" s="281" t="s">
        <v>46</v>
      </c>
      <c r="F35" s="271">
        <v>6</v>
      </c>
      <c r="G35" s="271">
        <v>8</v>
      </c>
      <c r="H35" s="224">
        <v>67.740897435897438</v>
      </c>
      <c r="I35" s="282">
        <v>8</v>
      </c>
      <c r="J35" s="282">
        <v>5</v>
      </c>
      <c r="K35" s="224">
        <v>52.961183188350383</v>
      </c>
      <c r="L35" s="282">
        <v>6</v>
      </c>
      <c r="M35" s="282">
        <v>4</v>
      </c>
      <c r="N35" s="224">
        <v>84.573166666666651</v>
      </c>
      <c r="O35" s="282">
        <v>9</v>
      </c>
      <c r="P35" s="282">
        <v>5</v>
      </c>
      <c r="Q35" s="224">
        <v>87</v>
      </c>
      <c r="R35" s="282">
        <v>10</v>
      </c>
      <c r="S35" s="282">
        <v>5</v>
      </c>
      <c r="T35" s="282"/>
      <c r="U35" s="282"/>
      <c r="V35" s="282"/>
      <c r="W35" s="282"/>
      <c r="X35" s="282"/>
      <c r="Y35" s="282"/>
      <c r="Z35" s="224">
        <v>66.481481481481481</v>
      </c>
      <c r="AA35" s="224"/>
      <c r="AB35" s="224">
        <v>73</v>
      </c>
      <c r="AC35" s="226">
        <v>5.5</v>
      </c>
      <c r="AD35" s="227">
        <v>70.592132504071984</v>
      </c>
    </row>
    <row r="36" spans="1:30">
      <c r="A36" s="279">
        <v>33</v>
      </c>
      <c r="B36" s="271" t="s">
        <v>1993</v>
      </c>
      <c r="C36" s="284">
        <f t="shared" si="0"/>
        <v>0.11073825503355705</v>
      </c>
      <c r="D36" s="280" t="s">
        <v>962</v>
      </c>
      <c r="E36" s="281" t="s">
        <v>960</v>
      </c>
      <c r="F36" s="271">
        <v>3</v>
      </c>
      <c r="G36" s="271">
        <v>4</v>
      </c>
      <c r="H36" s="224">
        <v>71.112499999999997</v>
      </c>
      <c r="I36" s="282">
        <v>8</v>
      </c>
      <c r="J36" s="282">
        <v>5</v>
      </c>
      <c r="K36" s="224">
        <v>76.567866815291893</v>
      </c>
      <c r="L36" s="282">
        <v>9</v>
      </c>
      <c r="M36" s="282">
        <v>5</v>
      </c>
      <c r="N36" s="224">
        <v>81.194444444444443</v>
      </c>
      <c r="O36" s="282">
        <v>9</v>
      </c>
      <c r="P36" s="282">
        <v>5</v>
      </c>
      <c r="Q36" s="224">
        <v>64</v>
      </c>
      <c r="R36" s="282">
        <v>7</v>
      </c>
      <c r="S36" s="282">
        <v>4</v>
      </c>
      <c r="T36" s="282"/>
      <c r="U36" s="282"/>
      <c r="V36" s="283"/>
      <c r="W36" s="282"/>
      <c r="X36" s="283"/>
      <c r="Y36" s="283"/>
      <c r="Z36" s="224">
        <v>67.111111111111114</v>
      </c>
      <c r="AA36" s="224"/>
      <c r="AB36" s="224">
        <v>60</v>
      </c>
      <c r="AC36" s="226">
        <v>5.5</v>
      </c>
      <c r="AD36" s="227">
        <v>70.542894976517715</v>
      </c>
    </row>
    <row r="37" spans="1:30">
      <c r="A37" s="270">
        <v>34</v>
      </c>
      <c r="B37" s="271">
        <v>27</v>
      </c>
      <c r="C37" s="284">
        <f t="shared" si="0"/>
        <v>0.11409395973154363</v>
      </c>
      <c r="D37" s="280" t="s">
        <v>298</v>
      </c>
      <c r="E37" s="281" t="s">
        <v>296</v>
      </c>
      <c r="F37" s="271">
        <v>2</v>
      </c>
      <c r="G37" s="271">
        <v>1</v>
      </c>
      <c r="H37" s="224">
        <v>78.778012820512828</v>
      </c>
      <c r="I37" s="282">
        <v>9</v>
      </c>
      <c r="J37" s="282">
        <v>5</v>
      </c>
      <c r="K37" s="224">
        <v>72.376402597402588</v>
      </c>
      <c r="L37" s="282">
        <v>8</v>
      </c>
      <c r="M37" s="282">
        <v>5</v>
      </c>
      <c r="N37" s="224">
        <v>81.511111111111148</v>
      </c>
      <c r="O37" s="282">
        <v>9</v>
      </c>
      <c r="P37" s="282">
        <v>5</v>
      </c>
      <c r="Q37" s="224">
        <v>93</v>
      </c>
      <c r="R37" s="282">
        <v>10</v>
      </c>
      <c r="S37" s="282">
        <v>5</v>
      </c>
      <c r="T37" s="282"/>
      <c r="U37" s="282"/>
      <c r="V37" s="282"/>
      <c r="W37" s="282"/>
      <c r="X37" s="282"/>
      <c r="Y37" s="282"/>
      <c r="Z37" s="224">
        <v>63.44444444444445</v>
      </c>
      <c r="AA37" s="224"/>
      <c r="AB37" s="224">
        <v>44</v>
      </c>
      <c r="AC37" s="226">
        <v>5.5</v>
      </c>
      <c r="AD37" s="227">
        <v>70.292721995176549</v>
      </c>
    </row>
    <row r="38" spans="1:30">
      <c r="A38" s="279">
        <v>35</v>
      </c>
      <c r="B38" s="271">
        <v>28</v>
      </c>
      <c r="C38" s="284">
        <f t="shared" si="0"/>
        <v>0.1174496644295302</v>
      </c>
      <c r="D38" s="280" t="s">
        <v>361</v>
      </c>
      <c r="E38" s="281" t="s">
        <v>359</v>
      </c>
      <c r="F38" s="271">
        <v>8</v>
      </c>
      <c r="G38" s="271">
        <v>11</v>
      </c>
      <c r="H38" s="224">
        <v>83.945128205128213</v>
      </c>
      <c r="I38" s="282">
        <v>10</v>
      </c>
      <c r="J38" s="282">
        <v>5</v>
      </c>
      <c r="K38" s="224">
        <v>57.617122582731284</v>
      </c>
      <c r="L38" s="282">
        <v>7</v>
      </c>
      <c r="M38" s="282">
        <v>4</v>
      </c>
      <c r="N38" s="224">
        <v>77.416666666666686</v>
      </c>
      <c r="O38" s="282">
        <v>8</v>
      </c>
      <c r="P38" s="282">
        <v>5</v>
      </c>
      <c r="Q38" s="224">
        <v>69</v>
      </c>
      <c r="R38" s="282">
        <v>7</v>
      </c>
      <c r="S38" s="282">
        <v>4</v>
      </c>
      <c r="T38" s="282"/>
      <c r="U38" s="282"/>
      <c r="V38" s="282"/>
      <c r="W38" s="282"/>
      <c r="X38" s="282"/>
      <c r="Y38" s="282"/>
      <c r="Z38" s="224">
        <v>70.074074074074076</v>
      </c>
      <c r="AA38" s="224"/>
      <c r="AB38" s="224">
        <v>62.8</v>
      </c>
      <c r="AC38" s="226">
        <v>5.5</v>
      </c>
      <c r="AD38" s="227">
        <v>70.245998459745508</v>
      </c>
    </row>
    <row r="39" spans="1:30">
      <c r="A39" s="279">
        <v>36</v>
      </c>
      <c r="B39" s="271" t="s">
        <v>1993</v>
      </c>
      <c r="C39" s="284">
        <f t="shared" si="0"/>
        <v>0.12080536912751678</v>
      </c>
      <c r="D39" s="280" t="s">
        <v>586</v>
      </c>
      <c r="E39" s="281" t="s">
        <v>584</v>
      </c>
      <c r="F39" s="271">
        <v>1</v>
      </c>
      <c r="G39" s="271">
        <v>1</v>
      </c>
      <c r="H39" s="224">
        <v>79.732500000000002</v>
      </c>
      <c r="I39" s="282">
        <v>9</v>
      </c>
      <c r="J39" s="282">
        <v>5</v>
      </c>
      <c r="K39" s="224">
        <v>61.331575324675327</v>
      </c>
      <c r="L39" s="282">
        <v>7</v>
      </c>
      <c r="M39" s="282">
        <v>4</v>
      </c>
      <c r="N39" s="224">
        <v>88.049277777777803</v>
      </c>
      <c r="O39" s="282">
        <v>9</v>
      </c>
      <c r="P39" s="282">
        <v>5</v>
      </c>
      <c r="Q39" s="224">
        <v>79</v>
      </c>
      <c r="R39" s="282">
        <v>9</v>
      </c>
      <c r="S39" s="282">
        <v>5</v>
      </c>
      <c r="T39" s="282"/>
      <c r="U39" s="282"/>
      <c r="V39" s="282"/>
      <c r="W39" s="282"/>
      <c r="X39" s="282"/>
      <c r="Y39" s="282"/>
      <c r="Z39" s="224">
        <v>48.888888888888886</v>
      </c>
      <c r="AA39" s="224"/>
      <c r="AB39" s="224">
        <v>67</v>
      </c>
      <c r="AC39" s="226">
        <v>5.5</v>
      </c>
      <c r="AD39" s="227">
        <v>69.909498543880375</v>
      </c>
    </row>
    <row r="40" spans="1:30">
      <c r="A40" s="270">
        <v>37</v>
      </c>
      <c r="B40" s="271">
        <v>29</v>
      </c>
      <c r="C40" s="284">
        <f t="shared" si="0"/>
        <v>0.12416107382550336</v>
      </c>
      <c r="D40" s="280" t="s">
        <v>807</v>
      </c>
      <c r="E40" s="281" t="s">
        <v>805</v>
      </c>
      <c r="F40" s="271">
        <v>2</v>
      </c>
      <c r="G40" s="271">
        <v>2</v>
      </c>
      <c r="H40" s="224">
        <v>59.237820512820512</v>
      </c>
      <c r="I40" s="282">
        <v>7</v>
      </c>
      <c r="J40" s="282">
        <v>4</v>
      </c>
      <c r="K40" s="224">
        <v>64.416481240981241</v>
      </c>
      <c r="L40" s="282">
        <v>7</v>
      </c>
      <c r="M40" s="282">
        <v>4</v>
      </c>
      <c r="N40" s="224">
        <v>79.899999999999991</v>
      </c>
      <c r="O40" s="282">
        <v>8</v>
      </c>
      <c r="P40" s="282">
        <v>5</v>
      </c>
      <c r="Q40" s="224">
        <v>85</v>
      </c>
      <c r="R40" s="282">
        <v>9</v>
      </c>
      <c r="S40" s="282">
        <v>5</v>
      </c>
      <c r="T40" s="282"/>
      <c r="U40" s="282"/>
      <c r="V40" s="282"/>
      <c r="W40" s="224"/>
      <c r="X40" s="282"/>
      <c r="Y40" s="282"/>
      <c r="Z40" s="224">
        <v>64.962962962962962</v>
      </c>
      <c r="AA40" s="224">
        <v>70</v>
      </c>
      <c r="AB40" s="224"/>
      <c r="AC40" s="226">
        <v>5.5</v>
      </c>
      <c r="AD40" s="227">
        <v>69.27586631213903</v>
      </c>
    </row>
    <row r="41" spans="1:30">
      <c r="A41" s="279">
        <v>38</v>
      </c>
      <c r="B41" s="271">
        <v>30</v>
      </c>
      <c r="C41" s="284">
        <f t="shared" si="0"/>
        <v>0.12751677852348994</v>
      </c>
      <c r="D41" s="280" t="s">
        <v>145</v>
      </c>
      <c r="E41" s="281" t="s">
        <v>143</v>
      </c>
      <c r="F41" s="271">
        <v>1</v>
      </c>
      <c r="G41" s="271">
        <v>1</v>
      </c>
      <c r="H41" s="224">
        <v>73.792243589743578</v>
      </c>
      <c r="I41" s="282">
        <v>9</v>
      </c>
      <c r="J41" s="282">
        <v>5</v>
      </c>
      <c r="K41" s="224">
        <v>55.154035137085138</v>
      </c>
      <c r="L41" s="282">
        <v>7</v>
      </c>
      <c r="M41" s="282">
        <v>4</v>
      </c>
      <c r="N41" s="224">
        <v>66.5932777777778</v>
      </c>
      <c r="O41" s="282">
        <v>7</v>
      </c>
      <c r="P41" s="282">
        <v>4</v>
      </c>
      <c r="Q41" s="224">
        <v>65</v>
      </c>
      <c r="R41" s="282">
        <v>7</v>
      </c>
      <c r="S41" s="282">
        <v>4</v>
      </c>
      <c r="T41" s="282"/>
      <c r="U41" s="282"/>
      <c r="V41" s="282"/>
      <c r="W41" s="282"/>
      <c r="X41" s="282"/>
      <c r="Y41" s="282"/>
      <c r="Z41" s="224">
        <v>74.370370370370367</v>
      </c>
      <c r="AA41" s="224"/>
      <c r="AB41" s="224">
        <v>78</v>
      </c>
      <c r="AC41" s="226">
        <v>5.5</v>
      </c>
      <c r="AD41" s="227">
        <v>69.165441249995808</v>
      </c>
    </row>
    <row r="42" spans="1:30">
      <c r="A42" s="279">
        <v>39</v>
      </c>
      <c r="B42" s="271" t="s">
        <v>1993</v>
      </c>
      <c r="C42" s="284">
        <f t="shared" si="0"/>
        <v>0.13087248322147652</v>
      </c>
      <c r="D42" s="280" t="s">
        <v>688</v>
      </c>
      <c r="E42" s="281" t="s">
        <v>686</v>
      </c>
      <c r="F42" s="271">
        <v>2</v>
      </c>
      <c r="G42" s="271">
        <v>1</v>
      </c>
      <c r="H42" s="224">
        <v>73.024743589743593</v>
      </c>
      <c r="I42" s="282">
        <v>9</v>
      </c>
      <c r="J42" s="282">
        <v>5</v>
      </c>
      <c r="K42" s="224">
        <v>52.394481240981236</v>
      </c>
      <c r="L42" s="282">
        <v>6</v>
      </c>
      <c r="M42" s="282">
        <v>4</v>
      </c>
      <c r="N42" s="224">
        <v>72.222222222222243</v>
      </c>
      <c r="O42" s="282">
        <v>8</v>
      </c>
      <c r="P42" s="282">
        <v>5</v>
      </c>
      <c r="Q42" s="224">
        <v>85</v>
      </c>
      <c r="R42" s="282">
        <v>9</v>
      </c>
      <c r="S42" s="282">
        <v>5</v>
      </c>
      <c r="T42" s="282"/>
      <c r="U42" s="282"/>
      <c r="V42" s="282"/>
      <c r="W42" s="282"/>
      <c r="X42" s="282"/>
      <c r="Y42" s="282"/>
      <c r="Z42" s="224">
        <v>74.18518518518519</v>
      </c>
      <c r="AA42" s="224"/>
      <c r="AB42" s="224">
        <v>64</v>
      </c>
      <c r="AC42" s="226">
        <v>5.5</v>
      </c>
      <c r="AD42" s="227">
        <v>68.786660406933137</v>
      </c>
    </row>
    <row r="43" spans="1:30">
      <c r="A43" s="270">
        <v>40</v>
      </c>
      <c r="B43" s="271">
        <v>31</v>
      </c>
      <c r="C43" s="284">
        <f t="shared" si="0"/>
        <v>0.13422818791946309</v>
      </c>
      <c r="D43" s="280" t="s">
        <v>893</v>
      </c>
      <c r="E43" s="281" t="s">
        <v>891</v>
      </c>
      <c r="F43" s="271">
        <v>1</v>
      </c>
      <c r="G43" s="271">
        <v>2</v>
      </c>
      <c r="H43" s="224">
        <v>76.319551282051293</v>
      </c>
      <c r="I43" s="282">
        <v>9</v>
      </c>
      <c r="J43" s="282">
        <v>5</v>
      </c>
      <c r="K43" s="224">
        <v>55.638012698412695</v>
      </c>
      <c r="L43" s="282">
        <v>7</v>
      </c>
      <c r="M43" s="282">
        <v>4</v>
      </c>
      <c r="N43" s="224">
        <v>73.734722222222189</v>
      </c>
      <c r="O43" s="282">
        <v>8</v>
      </c>
      <c r="P43" s="282">
        <v>5</v>
      </c>
      <c r="Q43" s="224"/>
      <c r="R43" s="282"/>
      <c r="S43" s="283"/>
      <c r="T43" s="282">
        <v>84</v>
      </c>
      <c r="U43" s="282">
        <v>9</v>
      </c>
      <c r="V43" s="283">
        <v>5</v>
      </c>
      <c r="W43" s="282"/>
      <c r="X43" s="283"/>
      <c r="Y43" s="283"/>
      <c r="Z43" s="224">
        <v>69.777777777777786</v>
      </c>
      <c r="AA43" s="224"/>
      <c r="AB43" s="224">
        <v>60</v>
      </c>
      <c r="AC43" s="226">
        <v>5.5</v>
      </c>
      <c r="AD43" s="227">
        <v>68.63092072372072</v>
      </c>
    </row>
    <row r="44" spans="1:30">
      <c r="A44" s="279">
        <v>41</v>
      </c>
      <c r="B44" s="271">
        <v>32</v>
      </c>
      <c r="C44" s="284">
        <f t="shared" si="0"/>
        <v>0.13758389261744966</v>
      </c>
      <c r="D44" s="280" t="s">
        <v>385</v>
      </c>
      <c r="E44" s="281" t="s">
        <v>383</v>
      </c>
      <c r="F44" s="271">
        <v>3</v>
      </c>
      <c r="G44" s="271">
        <v>5</v>
      </c>
      <c r="H44" s="224">
        <v>71.108846153846144</v>
      </c>
      <c r="I44" s="282">
        <v>8</v>
      </c>
      <c r="J44" s="282">
        <v>5</v>
      </c>
      <c r="K44" s="224">
        <v>60.396085322866661</v>
      </c>
      <c r="L44" s="282">
        <v>7</v>
      </c>
      <c r="M44" s="282">
        <v>4</v>
      </c>
      <c r="N44" s="224">
        <v>81</v>
      </c>
      <c r="O44" s="282">
        <v>9</v>
      </c>
      <c r="P44" s="282">
        <v>5</v>
      </c>
      <c r="Q44" s="224">
        <v>66</v>
      </c>
      <c r="R44" s="282">
        <v>7</v>
      </c>
      <c r="S44" s="282">
        <v>4</v>
      </c>
      <c r="T44" s="282"/>
      <c r="U44" s="282"/>
      <c r="V44" s="282"/>
      <c r="W44" s="282"/>
      <c r="X44" s="282"/>
      <c r="Y44" s="282"/>
      <c r="Z44" s="224">
        <v>71.888888888888886</v>
      </c>
      <c r="AA44" s="224"/>
      <c r="AB44" s="224">
        <v>60</v>
      </c>
      <c r="AC44" s="226">
        <v>5.5</v>
      </c>
      <c r="AD44" s="227">
        <v>68.617058248291215</v>
      </c>
    </row>
    <row r="45" spans="1:30">
      <c r="A45" s="279">
        <v>42</v>
      </c>
      <c r="B45" s="271">
        <v>33</v>
      </c>
      <c r="C45" s="284">
        <f t="shared" si="0"/>
        <v>0.14093959731543623</v>
      </c>
      <c r="D45" s="280" t="s">
        <v>754</v>
      </c>
      <c r="E45" s="281" t="s">
        <v>752</v>
      </c>
      <c r="F45" s="271">
        <v>2</v>
      </c>
      <c r="G45" s="271">
        <v>2</v>
      </c>
      <c r="H45" s="224">
        <v>69.379358974358979</v>
      </c>
      <c r="I45" s="282">
        <v>8</v>
      </c>
      <c r="J45" s="282">
        <v>5</v>
      </c>
      <c r="K45" s="224">
        <v>49.821250360750355</v>
      </c>
      <c r="L45" s="282">
        <v>6</v>
      </c>
      <c r="M45" s="282">
        <v>4</v>
      </c>
      <c r="N45" s="224">
        <v>71.7222222222222</v>
      </c>
      <c r="O45" s="282">
        <v>8</v>
      </c>
      <c r="P45" s="282">
        <v>5</v>
      </c>
      <c r="Q45" s="224">
        <v>67</v>
      </c>
      <c r="R45" s="282">
        <v>7</v>
      </c>
      <c r="S45" s="282">
        <v>4</v>
      </c>
      <c r="T45" s="282"/>
      <c r="U45" s="282"/>
      <c r="V45" s="282"/>
      <c r="W45" s="282"/>
      <c r="X45" s="282"/>
      <c r="Y45" s="282"/>
      <c r="Z45" s="224">
        <v>67.333333333333343</v>
      </c>
      <c r="AA45" s="224"/>
      <c r="AB45" s="224">
        <v>83.7</v>
      </c>
      <c r="AC45" s="226">
        <v>5.5</v>
      </c>
      <c r="AD45" s="227">
        <v>68.264757252848156</v>
      </c>
    </row>
    <row r="46" spans="1:30">
      <c r="A46" s="270">
        <v>43</v>
      </c>
      <c r="B46" s="271">
        <v>34</v>
      </c>
      <c r="C46" s="284">
        <f t="shared" si="0"/>
        <v>0.14429530201342283</v>
      </c>
      <c r="D46" s="280" t="s">
        <v>878</v>
      </c>
      <c r="E46" s="281" t="s">
        <v>876</v>
      </c>
      <c r="F46" s="271">
        <v>5</v>
      </c>
      <c r="G46" s="271">
        <v>8</v>
      </c>
      <c r="H46" s="224">
        <v>73.447435897435895</v>
      </c>
      <c r="I46" s="282">
        <v>9</v>
      </c>
      <c r="J46" s="282">
        <v>5</v>
      </c>
      <c r="K46" s="224">
        <v>50.55949823266463</v>
      </c>
      <c r="L46" s="282">
        <v>6</v>
      </c>
      <c r="M46" s="282">
        <v>4</v>
      </c>
      <c r="N46" s="224">
        <v>69.731722222222203</v>
      </c>
      <c r="O46" s="282">
        <v>7</v>
      </c>
      <c r="P46" s="282">
        <v>4</v>
      </c>
      <c r="Q46" s="224"/>
      <c r="R46" s="282"/>
      <c r="S46" s="283"/>
      <c r="T46" s="282">
        <v>77</v>
      </c>
      <c r="U46" s="282">
        <v>8</v>
      </c>
      <c r="V46" s="283">
        <v>5</v>
      </c>
      <c r="W46" s="282"/>
      <c r="X46" s="283"/>
      <c r="Y46" s="283"/>
      <c r="Z46" s="224">
        <v>70.777777777777786</v>
      </c>
      <c r="AA46" s="224">
        <v>71</v>
      </c>
      <c r="AB46" s="224"/>
      <c r="AC46" s="226">
        <v>5.5</v>
      </c>
      <c r="AD46" s="227">
        <v>68.002988023654638</v>
      </c>
    </row>
    <row r="47" spans="1:30">
      <c r="A47" s="279">
        <v>44</v>
      </c>
      <c r="B47" s="271">
        <v>35</v>
      </c>
      <c r="C47" s="284">
        <f t="shared" si="0"/>
        <v>0.1476510067114094</v>
      </c>
      <c r="D47" s="280" t="s">
        <v>820</v>
      </c>
      <c r="E47" s="281" t="s">
        <v>818</v>
      </c>
      <c r="F47" s="271">
        <v>10</v>
      </c>
      <c r="G47" s="271">
        <v>13</v>
      </c>
      <c r="H47" s="224">
        <v>67.330769230769221</v>
      </c>
      <c r="I47" s="282">
        <v>8</v>
      </c>
      <c r="J47" s="282">
        <v>5</v>
      </c>
      <c r="K47" s="224">
        <v>54.009709595959592</v>
      </c>
      <c r="L47" s="282">
        <v>6</v>
      </c>
      <c r="M47" s="282">
        <v>4</v>
      </c>
      <c r="N47" s="224">
        <v>75.142388888888888</v>
      </c>
      <c r="O47" s="282">
        <v>8</v>
      </c>
      <c r="P47" s="282">
        <v>5</v>
      </c>
      <c r="Q47" s="224">
        <v>65</v>
      </c>
      <c r="R47" s="282">
        <v>7</v>
      </c>
      <c r="S47" s="282">
        <v>4</v>
      </c>
      <c r="T47" s="282"/>
      <c r="U47" s="282"/>
      <c r="V47" s="282"/>
      <c r="W47" s="282"/>
      <c r="X47" s="282"/>
      <c r="Y47" s="282"/>
      <c r="Z47" s="224">
        <v>74.629629629629633</v>
      </c>
      <c r="AA47" s="224"/>
      <c r="AB47" s="224">
        <v>68.5</v>
      </c>
      <c r="AC47" s="226">
        <v>5.5</v>
      </c>
      <c r="AD47" s="227">
        <v>67.656817699135885</v>
      </c>
    </row>
    <row r="48" spans="1:30">
      <c r="A48" s="279">
        <v>45</v>
      </c>
      <c r="B48" s="271">
        <v>36</v>
      </c>
      <c r="C48" s="284">
        <f t="shared" si="0"/>
        <v>0.15100671140939598</v>
      </c>
      <c r="D48" s="280" t="s">
        <v>265</v>
      </c>
      <c r="E48" s="281" t="s">
        <v>2060</v>
      </c>
      <c r="F48" s="271" t="s">
        <v>1002</v>
      </c>
      <c r="G48" s="271" t="s">
        <v>2059</v>
      </c>
      <c r="H48" s="224">
        <v>49.34955128205128</v>
      </c>
      <c r="I48" s="282">
        <v>6</v>
      </c>
      <c r="J48" s="282">
        <v>4</v>
      </c>
      <c r="K48" s="224">
        <v>65.168626028626022</v>
      </c>
      <c r="L48" s="282">
        <v>8</v>
      </c>
      <c r="M48" s="282">
        <v>5</v>
      </c>
      <c r="N48" s="224">
        <v>67.176333333333346</v>
      </c>
      <c r="O48" s="282">
        <v>7</v>
      </c>
      <c r="P48" s="282">
        <v>4</v>
      </c>
      <c r="Q48" s="224">
        <v>75</v>
      </c>
      <c r="R48" s="282">
        <v>8</v>
      </c>
      <c r="S48" s="282">
        <v>5</v>
      </c>
      <c r="T48" s="282"/>
      <c r="U48" s="282"/>
      <c r="V48" s="282"/>
      <c r="W48" s="282"/>
      <c r="X48" s="282"/>
      <c r="Y48" s="282"/>
      <c r="Z48" s="224">
        <v>78.222222222222214</v>
      </c>
      <c r="AA48" s="224">
        <v>74.333333333333329</v>
      </c>
      <c r="AB48" s="224"/>
      <c r="AC48" s="226">
        <v>5.5</v>
      </c>
      <c r="AD48" s="227">
        <v>67.590921127193852</v>
      </c>
    </row>
    <row r="49" spans="1:30">
      <c r="A49" s="270">
        <v>46</v>
      </c>
      <c r="B49" s="271">
        <v>37</v>
      </c>
      <c r="C49" s="284">
        <f t="shared" si="0"/>
        <v>0.15436241610738255</v>
      </c>
      <c r="D49" s="280" t="s">
        <v>130</v>
      </c>
      <c r="E49" s="281" t="s">
        <v>128</v>
      </c>
      <c r="F49" s="271">
        <v>1</v>
      </c>
      <c r="G49" s="271">
        <v>2</v>
      </c>
      <c r="H49" s="224">
        <v>63.305192307692309</v>
      </c>
      <c r="I49" s="282">
        <v>7</v>
      </c>
      <c r="J49" s="282">
        <v>4</v>
      </c>
      <c r="K49" s="224">
        <v>53.885400793650781</v>
      </c>
      <c r="L49" s="282">
        <v>6</v>
      </c>
      <c r="M49" s="282">
        <v>4</v>
      </c>
      <c r="N49" s="224">
        <v>71.82383333333334</v>
      </c>
      <c r="O49" s="282">
        <v>8</v>
      </c>
      <c r="P49" s="282">
        <v>5</v>
      </c>
      <c r="Q49" s="224">
        <v>74</v>
      </c>
      <c r="R49" s="282">
        <v>8</v>
      </c>
      <c r="S49" s="282">
        <v>5</v>
      </c>
      <c r="T49" s="282"/>
      <c r="U49" s="282"/>
      <c r="V49" s="282"/>
      <c r="W49" s="282"/>
      <c r="X49" s="282"/>
      <c r="Y49" s="282"/>
      <c r="Z49" s="224">
        <v>66.407407407407405</v>
      </c>
      <c r="AA49" s="224"/>
      <c r="AB49" s="224">
        <v>79</v>
      </c>
      <c r="AC49" s="226">
        <v>5.5</v>
      </c>
      <c r="AD49" s="227">
        <v>67.531242516742523</v>
      </c>
    </row>
    <row r="50" spans="1:30">
      <c r="A50" s="279">
        <v>47</v>
      </c>
      <c r="B50" s="271">
        <v>38</v>
      </c>
      <c r="C50" s="284">
        <f t="shared" si="0"/>
        <v>0.15771812080536912</v>
      </c>
      <c r="D50" s="280" t="s">
        <v>364</v>
      </c>
      <c r="E50" s="281" t="s">
        <v>362</v>
      </c>
      <c r="F50" s="271">
        <v>1</v>
      </c>
      <c r="G50" s="271">
        <v>3</v>
      </c>
      <c r="H50" s="224">
        <v>59.056428571428569</v>
      </c>
      <c r="I50" s="282">
        <v>7</v>
      </c>
      <c r="J50" s="282">
        <v>4</v>
      </c>
      <c r="K50" s="224">
        <v>77.84538896103895</v>
      </c>
      <c r="L50" s="282">
        <v>9</v>
      </c>
      <c r="M50" s="282">
        <v>5</v>
      </c>
      <c r="N50" s="224">
        <v>84.5138888888889</v>
      </c>
      <c r="O50" s="282">
        <v>9</v>
      </c>
      <c r="P50" s="282">
        <v>5</v>
      </c>
      <c r="Q50" s="224"/>
      <c r="R50" s="282"/>
      <c r="S50" s="282"/>
      <c r="T50" s="282">
        <v>91</v>
      </c>
      <c r="U50" s="282">
        <v>10</v>
      </c>
      <c r="V50" s="282">
        <v>5</v>
      </c>
      <c r="W50" s="282"/>
      <c r="X50" s="282"/>
      <c r="Y50" s="282"/>
      <c r="Z50" s="224">
        <v>55</v>
      </c>
      <c r="AA50" s="224">
        <v>49.333333333333336</v>
      </c>
      <c r="AB50" s="224"/>
      <c r="AC50" s="226">
        <v>5.5</v>
      </c>
      <c r="AD50" s="227">
        <v>67.499825409943597</v>
      </c>
    </row>
    <row r="51" spans="1:30">
      <c r="A51" s="279">
        <v>48</v>
      </c>
      <c r="B51" s="271">
        <v>39</v>
      </c>
      <c r="C51" s="284">
        <f t="shared" si="0"/>
        <v>0.16107382550335569</v>
      </c>
      <c r="D51" s="280" t="s">
        <v>829</v>
      </c>
      <c r="E51" s="281" t="s">
        <v>827</v>
      </c>
      <c r="F51" s="271">
        <v>1</v>
      </c>
      <c r="G51" s="271">
        <v>3</v>
      </c>
      <c r="H51" s="224">
        <v>71.503589743589743</v>
      </c>
      <c r="I51" s="282">
        <v>8</v>
      </c>
      <c r="J51" s="282">
        <v>5</v>
      </c>
      <c r="K51" s="224">
        <v>57.518686002886</v>
      </c>
      <c r="L51" s="282">
        <v>7</v>
      </c>
      <c r="M51" s="282">
        <v>4</v>
      </c>
      <c r="N51" s="224">
        <v>79.203444444444443</v>
      </c>
      <c r="O51" s="282">
        <v>8</v>
      </c>
      <c r="P51" s="282">
        <v>5</v>
      </c>
      <c r="Q51" s="224"/>
      <c r="R51" s="282"/>
      <c r="S51" s="282"/>
      <c r="T51" s="282">
        <v>86</v>
      </c>
      <c r="U51" s="282">
        <v>9</v>
      </c>
      <c r="V51" s="282">
        <v>5</v>
      </c>
      <c r="W51" s="282"/>
      <c r="X51" s="282"/>
      <c r="Y51" s="282"/>
      <c r="Z51" s="224">
        <v>56.629629629629626</v>
      </c>
      <c r="AA51" s="224"/>
      <c r="AB51" s="224">
        <v>59.2</v>
      </c>
      <c r="AC51" s="226">
        <v>5.5</v>
      </c>
      <c r="AD51" s="227">
        <v>66.737336331009047</v>
      </c>
    </row>
    <row r="52" spans="1:30">
      <c r="A52" s="270">
        <v>49</v>
      </c>
      <c r="B52" s="271">
        <v>40</v>
      </c>
      <c r="C52" s="284">
        <f t="shared" si="0"/>
        <v>0.16442953020134229</v>
      </c>
      <c r="D52" s="280" t="s">
        <v>406</v>
      </c>
      <c r="E52" s="281" t="s">
        <v>404</v>
      </c>
      <c r="F52" s="271">
        <v>7</v>
      </c>
      <c r="G52" s="271">
        <v>10</v>
      </c>
      <c r="H52" s="224">
        <v>66.123012820512827</v>
      </c>
      <c r="I52" s="282">
        <v>8</v>
      </c>
      <c r="J52" s="282">
        <v>5</v>
      </c>
      <c r="K52" s="224">
        <v>49.943244949494947</v>
      </c>
      <c r="L52" s="282">
        <v>6</v>
      </c>
      <c r="M52" s="282">
        <v>4</v>
      </c>
      <c r="N52" s="224">
        <v>72.833333333333343</v>
      </c>
      <c r="O52" s="282">
        <v>8</v>
      </c>
      <c r="P52" s="282">
        <v>5</v>
      </c>
      <c r="Q52" s="224">
        <v>73</v>
      </c>
      <c r="R52" s="282">
        <v>8</v>
      </c>
      <c r="S52" s="282">
        <v>5</v>
      </c>
      <c r="T52" s="282"/>
      <c r="U52" s="282"/>
      <c r="V52" s="282"/>
      <c r="W52" s="282"/>
      <c r="X52" s="282"/>
      <c r="Y52" s="282"/>
      <c r="Z52" s="224">
        <v>71.666666666666657</v>
      </c>
      <c r="AA52" s="224"/>
      <c r="AB52" s="224">
        <v>69</v>
      </c>
      <c r="AC52" s="226">
        <v>5.5</v>
      </c>
      <c r="AD52" s="227">
        <v>66.557501412728683</v>
      </c>
    </row>
    <row r="53" spans="1:30">
      <c r="A53" s="279">
        <v>50</v>
      </c>
      <c r="B53" s="271">
        <v>41</v>
      </c>
      <c r="C53" s="284">
        <f t="shared" si="0"/>
        <v>0.16778523489932887</v>
      </c>
      <c r="D53" s="280" t="s">
        <v>238</v>
      </c>
      <c r="E53" s="281" t="s">
        <v>236</v>
      </c>
      <c r="F53" s="271">
        <v>1</v>
      </c>
      <c r="G53" s="271">
        <v>14</v>
      </c>
      <c r="H53" s="224">
        <v>67.538397435897437</v>
      </c>
      <c r="I53" s="282">
        <v>8</v>
      </c>
      <c r="J53" s="282">
        <v>5</v>
      </c>
      <c r="K53" s="224">
        <v>57.593893145743138</v>
      </c>
      <c r="L53" s="282">
        <v>7</v>
      </c>
      <c r="M53" s="282">
        <v>4</v>
      </c>
      <c r="N53" s="224">
        <v>61.159499999999994</v>
      </c>
      <c r="O53" s="282">
        <v>7</v>
      </c>
      <c r="P53" s="282">
        <v>4</v>
      </c>
      <c r="Q53" s="224">
        <v>69</v>
      </c>
      <c r="R53" s="282">
        <v>7</v>
      </c>
      <c r="S53" s="282">
        <v>4</v>
      </c>
      <c r="T53" s="282"/>
      <c r="U53" s="282"/>
      <c r="V53" s="282"/>
      <c r="W53" s="282"/>
      <c r="X53" s="282"/>
      <c r="Y53" s="282"/>
      <c r="Z53" s="224">
        <v>68.555555555555557</v>
      </c>
      <c r="AA53" s="224"/>
      <c r="AB53" s="224">
        <v>76</v>
      </c>
      <c r="AC53" s="226">
        <v>5.5</v>
      </c>
      <c r="AD53" s="227">
        <v>66.426790206762931</v>
      </c>
    </row>
    <row r="54" spans="1:30">
      <c r="A54" s="279">
        <v>51</v>
      </c>
      <c r="B54" s="271">
        <v>42</v>
      </c>
      <c r="C54" s="284">
        <f t="shared" si="0"/>
        <v>0.17114093959731544</v>
      </c>
      <c r="D54" s="280" t="s">
        <v>695</v>
      </c>
      <c r="E54" s="281" t="s">
        <v>693</v>
      </c>
      <c r="F54" s="271">
        <v>2</v>
      </c>
      <c r="G54" s="271">
        <v>2</v>
      </c>
      <c r="H54" s="224">
        <v>60.538333333333334</v>
      </c>
      <c r="I54" s="282">
        <v>7</v>
      </c>
      <c r="J54" s="282">
        <v>4</v>
      </c>
      <c r="K54" s="224">
        <v>41.332494949494951</v>
      </c>
      <c r="L54" s="282">
        <v>5</v>
      </c>
      <c r="M54" s="282">
        <v>3</v>
      </c>
      <c r="N54" s="224">
        <v>69.488888888888894</v>
      </c>
      <c r="O54" s="282">
        <v>7</v>
      </c>
      <c r="P54" s="282">
        <v>4</v>
      </c>
      <c r="Q54" s="224">
        <v>80</v>
      </c>
      <c r="R54" s="282">
        <v>9</v>
      </c>
      <c r="S54" s="282">
        <v>5</v>
      </c>
      <c r="T54" s="282"/>
      <c r="U54" s="282"/>
      <c r="V54" s="282"/>
      <c r="W54" s="282"/>
      <c r="X54" s="282"/>
      <c r="Y54" s="282"/>
      <c r="Z54" s="224">
        <v>68</v>
      </c>
      <c r="AA54" s="224"/>
      <c r="AB54" s="224">
        <v>85</v>
      </c>
      <c r="AC54" s="226">
        <v>5.5</v>
      </c>
      <c r="AD54" s="227">
        <v>66.247221303948578</v>
      </c>
    </row>
    <row r="55" spans="1:30">
      <c r="A55" s="270">
        <v>52</v>
      </c>
      <c r="B55" s="271">
        <v>43</v>
      </c>
      <c r="C55" s="284">
        <f t="shared" si="0"/>
        <v>0.17449664429530201</v>
      </c>
      <c r="D55" s="280" t="s">
        <v>319</v>
      </c>
      <c r="E55" s="281" t="s">
        <v>317</v>
      </c>
      <c r="F55" s="271">
        <v>7</v>
      </c>
      <c r="G55" s="271">
        <v>10</v>
      </c>
      <c r="H55" s="224">
        <v>58.846153846153854</v>
      </c>
      <c r="I55" s="282">
        <v>7</v>
      </c>
      <c r="J55" s="282">
        <v>4</v>
      </c>
      <c r="K55" s="224">
        <v>68.721228535353532</v>
      </c>
      <c r="L55" s="282">
        <v>8</v>
      </c>
      <c r="M55" s="282">
        <v>5</v>
      </c>
      <c r="N55" s="224">
        <v>69.538888888888863</v>
      </c>
      <c r="O55" s="282">
        <v>7</v>
      </c>
      <c r="P55" s="282">
        <v>4</v>
      </c>
      <c r="Q55" s="224">
        <v>75</v>
      </c>
      <c r="R55" s="282">
        <v>8</v>
      </c>
      <c r="S55" s="282">
        <v>5</v>
      </c>
      <c r="T55" s="282"/>
      <c r="U55" s="282"/>
      <c r="V55" s="282"/>
      <c r="W55" s="282"/>
      <c r="X55" s="282"/>
      <c r="Y55" s="282"/>
      <c r="Z55" s="224">
        <v>62.703703703703709</v>
      </c>
      <c r="AA55" s="224"/>
      <c r="AB55" s="224">
        <v>67</v>
      </c>
      <c r="AC55" s="226">
        <v>5.5</v>
      </c>
      <c r="AD55" s="227">
        <v>66.238177268018163</v>
      </c>
    </row>
    <row r="56" spans="1:30">
      <c r="A56" s="279">
        <v>53</v>
      </c>
      <c r="B56" s="271">
        <v>44</v>
      </c>
      <c r="C56" s="284">
        <f t="shared" si="0"/>
        <v>0.17785234899328858</v>
      </c>
      <c r="D56" s="280" t="s">
        <v>464</v>
      </c>
      <c r="E56" s="281" t="s">
        <v>462</v>
      </c>
      <c r="F56" s="271">
        <v>11</v>
      </c>
      <c r="G56" s="271">
        <v>13</v>
      </c>
      <c r="H56" s="224">
        <v>69.596346153846156</v>
      </c>
      <c r="I56" s="282">
        <v>8</v>
      </c>
      <c r="J56" s="282">
        <v>5</v>
      </c>
      <c r="K56" s="224">
        <v>48.326224637681158</v>
      </c>
      <c r="L56" s="282">
        <v>6</v>
      </c>
      <c r="M56" s="282">
        <v>4</v>
      </c>
      <c r="N56" s="224">
        <v>63.556277777777751</v>
      </c>
      <c r="O56" s="282">
        <v>7</v>
      </c>
      <c r="P56" s="282">
        <v>4</v>
      </c>
      <c r="Q56" s="224">
        <v>81</v>
      </c>
      <c r="R56" s="282">
        <v>9</v>
      </c>
      <c r="S56" s="282">
        <v>5</v>
      </c>
      <c r="T56" s="282"/>
      <c r="U56" s="282"/>
      <c r="V56" s="282"/>
      <c r="W56" s="282"/>
      <c r="X56" s="282"/>
      <c r="Y56" s="282"/>
      <c r="Z56" s="224">
        <v>70.925925925925938</v>
      </c>
      <c r="AA56" s="224"/>
      <c r="AB56" s="224">
        <v>71.400000000000006</v>
      </c>
      <c r="AC56" s="226">
        <v>5.5</v>
      </c>
      <c r="AD56" s="227">
        <v>66.237231726405625</v>
      </c>
    </row>
    <row r="57" spans="1:30">
      <c r="A57" s="279">
        <v>54</v>
      </c>
      <c r="B57" s="271">
        <v>45</v>
      </c>
      <c r="C57" s="284">
        <f t="shared" si="0"/>
        <v>0.18120805369127516</v>
      </c>
      <c r="D57" s="280" t="s">
        <v>920</v>
      </c>
      <c r="E57" s="281" t="s">
        <v>918</v>
      </c>
      <c r="F57" s="271">
        <v>3</v>
      </c>
      <c r="G57" s="271">
        <v>4</v>
      </c>
      <c r="H57" s="224">
        <v>65.483910256410255</v>
      </c>
      <c r="I57" s="282">
        <v>8</v>
      </c>
      <c r="J57" s="282">
        <v>5</v>
      </c>
      <c r="K57" s="224">
        <v>55.044623900546917</v>
      </c>
      <c r="L57" s="282">
        <v>7</v>
      </c>
      <c r="M57" s="282">
        <v>4</v>
      </c>
      <c r="N57" s="224">
        <v>65.22777777777776</v>
      </c>
      <c r="O57" s="282">
        <v>7</v>
      </c>
      <c r="P57" s="282">
        <v>4</v>
      </c>
      <c r="Q57" s="224">
        <v>66</v>
      </c>
      <c r="R57" s="282">
        <v>7</v>
      </c>
      <c r="S57" s="282">
        <v>4</v>
      </c>
      <c r="T57" s="282"/>
      <c r="U57" s="282"/>
      <c r="V57" s="283"/>
      <c r="W57" s="282"/>
      <c r="X57" s="283"/>
      <c r="Y57" s="283"/>
      <c r="Z57" s="224">
        <v>73.074074074074062</v>
      </c>
      <c r="AA57" s="224"/>
      <c r="AB57" s="224">
        <v>71.5</v>
      </c>
      <c r="AC57" s="226">
        <v>5.5</v>
      </c>
      <c r="AD57" s="227">
        <v>66.060070183419825</v>
      </c>
    </row>
    <row r="58" spans="1:30">
      <c r="A58" s="270">
        <v>55</v>
      </c>
      <c r="B58" s="271">
        <v>46</v>
      </c>
      <c r="C58" s="284">
        <f t="shared" si="0"/>
        <v>0.18456375838926176</v>
      </c>
      <c r="D58" s="280" t="s">
        <v>458</v>
      </c>
      <c r="E58" s="281" t="s">
        <v>456</v>
      </c>
      <c r="F58" s="271">
        <v>2</v>
      </c>
      <c r="G58" s="271">
        <v>2</v>
      </c>
      <c r="H58" s="224">
        <v>75.28365384615384</v>
      </c>
      <c r="I58" s="282">
        <v>9</v>
      </c>
      <c r="J58" s="282">
        <v>5</v>
      </c>
      <c r="K58" s="224">
        <v>57.325529942279935</v>
      </c>
      <c r="L58" s="282">
        <v>7</v>
      </c>
      <c r="M58" s="282">
        <v>4</v>
      </c>
      <c r="N58" s="224">
        <v>78.227777777777789</v>
      </c>
      <c r="O58" s="282">
        <v>8</v>
      </c>
      <c r="P58" s="282">
        <v>5</v>
      </c>
      <c r="Q58" s="224">
        <v>74</v>
      </c>
      <c r="R58" s="282">
        <v>8</v>
      </c>
      <c r="S58" s="282">
        <v>5</v>
      </c>
      <c r="T58" s="282"/>
      <c r="U58" s="282"/>
      <c r="V58" s="282"/>
      <c r="W58" s="282"/>
      <c r="X58" s="282"/>
      <c r="Y58" s="282"/>
      <c r="Z58" s="224">
        <v>62.703703703703709</v>
      </c>
      <c r="AA58" s="224"/>
      <c r="AB58" s="224">
        <v>52.7</v>
      </c>
      <c r="AC58" s="226">
        <v>5.5</v>
      </c>
      <c r="AD58" s="227">
        <v>66.043757321802772</v>
      </c>
    </row>
    <row r="59" spans="1:30">
      <c r="A59" s="279">
        <v>56</v>
      </c>
      <c r="B59" s="271">
        <v>47</v>
      </c>
      <c r="C59" s="284">
        <f t="shared" si="0"/>
        <v>0.18791946308724833</v>
      </c>
      <c r="D59" s="280" t="s">
        <v>643</v>
      </c>
      <c r="E59" s="281" t="s">
        <v>641</v>
      </c>
      <c r="F59" s="271">
        <v>2</v>
      </c>
      <c r="G59" s="271">
        <v>2</v>
      </c>
      <c r="H59" s="224">
        <v>67.582179487179488</v>
      </c>
      <c r="I59" s="282">
        <v>8</v>
      </c>
      <c r="J59" s="282">
        <v>5</v>
      </c>
      <c r="K59" s="224">
        <v>52.210464285714281</v>
      </c>
      <c r="L59" s="282">
        <v>6</v>
      </c>
      <c r="M59" s="282">
        <v>4</v>
      </c>
      <c r="N59" s="224">
        <v>80.899999999999991</v>
      </c>
      <c r="O59" s="282">
        <v>9</v>
      </c>
      <c r="P59" s="282">
        <v>5</v>
      </c>
      <c r="Q59" s="224"/>
      <c r="R59" s="282"/>
      <c r="S59" s="282"/>
      <c r="T59" s="282"/>
      <c r="U59" s="282"/>
      <c r="V59" s="282"/>
      <c r="W59" s="224">
        <v>58</v>
      </c>
      <c r="X59" s="282">
        <v>7</v>
      </c>
      <c r="Y59" s="282">
        <v>4</v>
      </c>
      <c r="Z59" s="224">
        <v>66.222222222222229</v>
      </c>
      <c r="AA59" s="224"/>
      <c r="AB59" s="224">
        <v>67</v>
      </c>
      <c r="AC59" s="226">
        <v>5.5</v>
      </c>
      <c r="AD59" s="227">
        <v>65.98452109002109</v>
      </c>
    </row>
    <row r="60" spans="1:30">
      <c r="A60" s="279">
        <v>57</v>
      </c>
      <c r="B60" s="271">
        <v>48</v>
      </c>
      <c r="C60" s="284">
        <f t="shared" si="0"/>
        <v>0.1912751677852349</v>
      </c>
      <c r="D60" s="280" t="s">
        <v>452</v>
      </c>
      <c r="E60" s="281" t="s">
        <v>450</v>
      </c>
      <c r="F60" s="271">
        <v>4</v>
      </c>
      <c r="G60" s="271">
        <v>4</v>
      </c>
      <c r="H60" s="224">
        <v>67.927756410256407</v>
      </c>
      <c r="I60" s="282">
        <v>8</v>
      </c>
      <c r="J60" s="282">
        <v>5</v>
      </c>
      <c r="K60" s="224">
        <v>66.769647000896995</v>
      </c>
      <c r="L60" s="282">
        <v>8</v>
      </c>
      <c r="M60" s="282">
        <v>5</v>
      </c>
      <c r="N60" s="224">
        <v>65.767277777777792</v>
      </c>
      <c r="O60" s="282">
        <v>7</v>
      </c>
      <c r="P60" s="282">
        <v>4</v>
      </c>
      <c r="Q60" s="224"/>
      <c r="R60" s="282"/>
      <c r="S60" s="282"/>
      <c r="T60" s="282">
        <v>70</v>
      </c>
      <c r="U60" s="282">
        <v>8</v>
      </c>
      <c r="V60" s="282">
        <v>5</v>
      </c>
      <c r="W60" s="282"/>
      <c r="X60" s="282"/>
      <c r="Y60" s="282"/>
      <c r="Z60" s="224">
        <v>69.851851851851848</v>
      </c>
      <c r="AA60" s="224"/>
      <c r="AB60" s="224">
        <v>56</v>
      </c>
      <c r="AC60" s="226">
        <v>5.5</v>
      </c>
      <c r="AD60" s="227">
        <v>65.693915098324183</v>
      </c>
    </row>
    <row r="61" spans="1:30">
      <c r="A61" s="270">
        <v>58</v>
      </c>
      <c r="B61" s="271">
        <v>49</v>
      </c>
      <c r="C61" s="284">
        <f t="shared" si="0"/>
        <v>0.19463087248322147</v>
      </c>
      <c r="D61" s="280" t="s">
        <v>443</v>
      </c>
      <c r="E61" s="281" t="s">
        <v>441</v>
      </c>
      <c r="F61" s="271">
        <v>1</v>
      </c>
      <c r="G61" s="271">
        <v>1</v>
      </c>
      <c r="H61" s="224">
        <v>71.905576923076922</v>
      </c>
      <c r="I61" s="282">
        <v>8</v>
      </c>
      <c r="J61" s="282">
        <v>5</v>
      </c>
      <c r="K61" s="224">
        <v>51.624038095238092</v>
      </c>
      <c r="L61" s="282">
        <v>6</v>
      </c>
      <c r="M61" s="282">
        <v>4</v>
      </c>
      <c r="N61" s="224">
        <v>63.383611111111144</v>
      </c>
      <c r="O61" s="282">
        <v>7</v>
      </c>
      <c r="P61" s="282">
        <v>4</v>
      </c>
      <c r="Q61" s="224">
        <v>70</v>
      </c>
      <c r="R61" s="282">
        <v>8</v>
      </c>
      <c r="S61" s="282">
        <v>5</v>
      </c>
      <c r="T61" s="282"/>
      <c r="U61" s="282"/>
      <c r="V61" s="282"/>
      <c r="W61" s="282"/>
      <c r="X61" s="282"/>
      <c r="Y61" s="282"/>
      <c r="Z61" s="224">
        <v>74.518518518518505</v>
      </c>
      <c r="AA61" s="224"/>
      <c r="AB61" s="224">
        <v>64.2</v>
      </c>
      <c r="AC61" s="226">
        <v>5.5</v>
      </c>
      <c r="AD61" s="227">
        <v>65.569408117808123</v>
      </c>
    </row>
    <row r="62" spans="1:30">
      <c r="A62" s="279">
        <v>59</v>
      </c>
      <c r="B62" s="271">
        <v>50</v>
      </c>
      <c r="C62" s="284">
        <f t="shared" si="0"/>
        <v>0.19798657718120805</v>
      </c>
      <c r="D62" s="280" t="s">
        <v>622</v>
      </c>
      <c r="E62" s="281" t="s">
        <v>2061</v>
      </c>
      <c r="F62" s="271">
        <v>9</v>
      </c>
      <c r="G62" s="271">
        <v>14</v>
      </c>
      <c r="H62" s="224">
        <v>60.009807692307689</v>
      </c>
      <c r="I62" s="282">
        <v>7</v>
      </c>
      <c r="J62" s="282">
        <v>4</v>
      </c>
      <c r="K62" s="224">
        <v>52.171650577200573</v>
      </c>
      <c r="L62" s="282">
        <v>6</v>
      </c>
      <c r="M62" s="282">
        <v>4</v>
      </c>
      <c r="N62" s="224">
        <v>74.089166666666699</v>
      </c>
      <c r="O62" s="282">
        <v>8</v>
      </c>
      <c r="P62" s="282">
        <v>5</v>
      </c>
      <c r="Q62" s="224">
        <v>69</v>
      </c>
      <c r="R62" s="282">
        <v>7</v>
      </c>
      <c r="S62" s="282">
        <v>4</v>
      </c>
      <c r="T62" s="282"/>
      <c r="U62" s="282"/>
      <c r="V62" s="282"/>
      <c r="W62" s="282"/>
      <c r="X62" s="282"/>
      <c r="Y62" s="282"/>
      <c r="Z62" s="224">
        <v>64.555555555555557</v>
      </c>
      <c r="AA62" s="224"/>
      <c r="AB62" s="224">
        <v>75</v>
      </c>
      <c r="AC62" s="226">
        <v>5.5</v>
      </c>
      <c r="AD62" s="227">
        <v>65.513850998496451</v>
      </c>
    </row>
    <row r="63" spans="1:30">
      <c r="A63" s="279">
        <v>60</v>
      </c>
      <c r="B63" s="271">
        <v>51</v>
      </c>
      <c r="C63" s="284">
        <f t="shared" si="0"/>
        <v>0.20134228187919462</v>
      </c>
      <c r="D63" s="280" t="s">
        <v>673</v>
      </c>
      <c r="E63" s="281" t="s">
        <v>671</v>
      </c>
      <c r="F63" s="271">
        <v>5</v>
      </c>
      <c r="G63" s="271">
        <v>8</v>
      </c>
      <c r="H63" s="224">
        <v>70.63326923076923</v>
      </c>
      <c r="I63" s="282">
        <v>8</v>
      </c>
      <c r="J63" s="282">
        <v>5</v>
      </c>
      <c r="K63" s="224">
        <v>53.029992821409223</v>
      </c>
      <c r="L63" s="282">
        <v>6</v>
      </c>
      <c r="M63" s="282">
        <v>4</v>
      </c>
      <c r="N63" s="224">
        <v>72.46666666666664</v>
      </c>
      <c r="O63" s="282">
        <v>8</v>
      </c>
      <c r="P63" s="282">
        <v>5</v>
      </c>
      <c r="Q63" s="224">
        <v>69</v>
      </c>
      <c r="R63" s="282">
        <v>7</v>
      </c>
      <c r="S63" s="282">
        <v>4</v>
      </c>
      <c r="T63" s="282"/>
      <c r="U63" s="282"/>
      <c r="V63" s="282"/>
      <c r="W63" s="224"/>
      <c r="X63" s="282"/>
      <c r="Y63" s="282"/>
      <c r="Z63" s="224">
        <v>61.777777777777779</v>
      </c>
      <c r="AA63" s="224"/>
      <c r="AB63" s="224">
        <v>66.2</v>
      </c>
      <c r="AC63" s="226">
        <v>5.5</v>
      </c>
      <c r="AD63" s="227">
        <v>65.201401181204162</v>
      </c>
    </row>
    <row r="64" spans="1:30">
      <c r="A64" s="270">
        <v>61</v>
      </c>
      <c r="B64" s="271">
        <v>52</v>
      </c>
      <c r="C64" s="284">
        <f t="shared" si="0"/>
        <v>0.20469798657718122</v>
      </c>
      <c r="D64" s="280" t="s">
        <v>905</v>
      </c>
      <c r="E64" s="281" t="s">
        <v>903</v>
      </c>
      <c r="F64" s="271">
        <v>3</v>
      </c>
      <c r="G64" s="271">
        <v>4</v>
      </c>
      <c r="H64" s="224">
        <v>61.845320512820507</v>
      </c>
      <c r="I64" s="282">
        <v>7</v>
      </c>
      <c r="J64" s="282">
        <v>4</v>
      </c>
      <c r="K64" s="224">
        <v>62.218272084409683</v>
      </c>
      <c r="L64" s="282">
        <v>7</v>
      </c>
      <c r="M64" s="282">
        <v>4</v>
      </c>
      <c r="N64" s="224">
        <v>66.6944444444444</v>
      </c>
      <c r="O64" s="282">
        <v>7</v>
      </c>
      <c r="P64" s="282">
        <v>4</v>
      </c>
      <c r="Q64" s="224">
        <v>90</v>
      </c>
      <c r="R64" s="282">
        <v>10</v>
      </c>
      <c r="S64" s="282">
        <v>5</v>
      </c>
      <c r="T64" s="282"/>
      <c r="U64" s="282"/>
      <c r="V64" s="283"/>
      <c r="W64" s="282"/>
      <c r="X64" s="283"/>
      <c r="Y64" s="283"/>
      <c r="Z64" s="224">
        <v>62.074074074074076</v>
      </c>
      <c r="AA64" s="224"/>
      <c r="AB64" s="224">
        <v>59.5</v>
      </c>
      <c r="AC64" s="226">
        <v>5.5</v>
      </c>
      <c r="AD64" s="227">
        <v>64.969474748317936</v>
      </c>
    </row>
    <row r="65" spans="1:30">
      <c r="A65" s="279">
        <v>62</v>
      </c>
      <c r="B65" s="271">
        <v>53</v>
      </c>
      <c r="C65" s="284">
        <f t="shared" si="0"/>
        <v>0.20805369127516779</v>
      </c>
      <c r="D65" s="280" t="s">
        <v>199</v>
      </c>
      <c r="E65" s="281" t="s">
        <v>197</v>
      </c>
      <c r="F65" s="271">
        <v>3</v>
      </c>
      <c r="G65" s="271">
        <v>5</v>
      </c>
      <c r="H65" s="224">
        <v>64.381346153846152</v>
      </c>
      <c r="I65" s="282">
        <v>8</v>
      </c>
      <c r="J65" s="282">
        <v>5</v>
      </c>
      <c r="K65" s="224">
        <v>64.878041931577357</v>
      </c>
      <c r="L65" s="282">
        <v>7</v>
      </c>
      <c r="M65" s="282">
        <v>4</v>
      </c>
      <c r="N65" s="224">
        <v>64.938888888888897</v>
      </c>
      <c r="O65" s="282">
        <v>7</v>
      </c>
      <c r="P65" s="282">
        <v>4</v>
      </c>
      <c r="Q65" s="224">
        <v>61</v>
      </c>
      <c r="R65" s="282">
        <v>7</v>
      </c>
      <c r="S65" s="282">
        <v>4</v>
      </c>
      <c r="T65" s="282"/>
      <c r="U65" s="282"/>
      <c r="V65" s="282"/>
      <c r="W65" s="282"/>
      <c r="X65" s="282"/>
      <c r="Y65" s="282"/>
      <c r="Z65" s="224">
        <v>70.407407407407405</v>
      </c>
      <c r="AA65" s="224"/>
      <c r="AB65" s="224">
        <v>60</v>
      </c>
      <c r="AC65" s="226">
        <v>5.5</v>
      </c>
      <c r="AD65" s="227">
        <v>64.564669887585424</v>
      </c>
    </row>
    <row r="66" spans="1:30">
      <c r="A66" s="279">
        <v>63</v>
      </c>
      <c r="B66" s="271">
        <v>54</v>
      </c>
      <c r="C66" s="284">
        <f t="shared" si="0"/>
        <v>0.21140939597315436</v>
      </c>
      <c r="D66" s="280" t="s">
        <v>574</v>
      </c>
      <c r="E66" s="281" t="s">
        <v>572</v>
      </c>
      <c r="F66" s="271">
        <v>3</v>
      </c>
      <c r="G66" s="271">
        <v>6</v>
      </c>
      <c r="H66" s="224">
        <v>58.607628205128208</v>
      </c>
      <c r="I66" s="282">
        <v>7</v>
      </c>
      <c r="J66" s="282">
        <v>4</v>
      </c>
      <c r="K66" s="224">
        <v>53.927013065650669</v>
      </c>
      <c r="L66" s="282">
        <v>6</v>
      </c>
      <c r="M66" s="282">
        <v>4</v>
      </c>
      <c r="N66" s="224">
        <v>82.127777777777794</v>
      </c>
      <c r="O66" s="282">
        <v>9</v>
      </c>
      <c r="P66" s="282">
        <v>5</v>
      </c>
      <c r="Q66" s="224">
        <v>93</v>
      </c>
      <c r="R66" s="282">
        <v>10</v>
      </c>
      <c r="S66" s="282">
        <v>5</v>
      </c>
      <c r="T66" s="282"/>
      <c r="U66" s="282"/>
      <c r="V66" s="282"/>
      <c r="W66" s="282"/>
      <c r="X66" s="282"/>
      <c r="Y66" s="282"/>
      <c r="Z66" s="224">
        <v>59.777777777777779</v>
      </c>
      <c r="AA66" s="224">
        <v>53</v>
      </c>
      <c r="AB66" s="224"/>
      <c r="AC66" s="226">
        <v>5.5</v>
      </c>
      <c r="AD66" s="227">
        <v>64.35276305933354</v>
      </c>
    </row>
    <row r="67" spans="1:30">
      <c r="A67" s="270">
        <v>64</v>
      </c>
      <c r="B67" s="271">
        <v>55</v>
      </c>
      <c r="C67" s="284">
        <f t="shared" si="0"/>
        <v>0.21476510067114093</v>
      </c>
      <c r="D67" s="280" t="s">
        <v>139</v>
      </c>
      <c r="E67" s="281" t="s">
        <v>137</v>
      </c>
      <c r="F67" s="271">
        <v>5</v>
      </c>
      <c r="G67" s="271">
        <v>7</v>
      </c>
      <c r="H67" s="224">
        <v>64.865384615384613</v>
      </c>
      <c r="I67" s="282">
        <v>8</v>
      </c>
      <c r="J67" s="282">
        <v>5</v>
      </c>
      <c r="K67" s="224">
        <v>48.577446445072624</v>
      </c>
      <c r="L67" s="282">
        <v>6</v>
      </c>
      <c r="M67" s="282">
        <v>4</v>
      </c>
      <c r="N67" s="224">
        <v>66.136611111111094</v>
      </c>
      <c r="O67" s="282">
        <v>7</v>
      </c>
      <c r="P67" s="282">
        <v>4</v>
      </c>
      <c r="Q67" s="224"/>
      <c r="R67" s="282"/>
      <c r="S67" s="282"/>
      <c r="T67" s="282">
        <v>53</v>
      </c>
      <c r="U67" s="282">
        <v>6</v>
      </c>
      <c r="V67" s="282">
        <v>4</v>
      </c>
      <c r="W67" s="282"/>
      <c r="X67" s="282"/>
      <c r="Y67" s="282"/>
      <c r="Z67" s="224">
        <v>68.666666666666657</v>
      </c>
      <c r="AA67" s="224"/>
      <c r="AB67" s="224">
        <v>74.2</v>
      </c>
      <c r="AC67" s="226">
        <v>5.5</v>
      </c>
      <c r="AD67" s="227">
        <v>63.444747061497267</v>
      </c>
    </row>
    <row r="68" spans="1:30">
      <c r="A68" s="279">
        <v>65</v>
      </c>
      <c r="B68" s="271">
        <v>56</v>
      </c>
      <c r="C68" s="284">
        <f t="shared" ref="C68:C131" si="1">A68/298</f>
        <v>0.21812080536912751</v>
      </c>
      <c r="D68" s="280" t="s">
        <v>887</v>
      </c>
      <c r="E68" s="281" t="s">
        <v>885</v>
      </c>
      <c r="F68" s="271">
        <v>4</v>
      </c>
      <c r="G68" s="271">
        <v>6</v>
      </c>
      <c r="H68" s="224">
        <v>54.026666666666671</v>
      </c>
      <c r="I68" s="282">
        <v>6</v>
      </c>
      <c r="J68" s="282">
        <v>4</v>
      </c>
      <c r="K68" s="224">
        <v>48.320219277719275</v>
      </c>
      <c r="L68" s="282">
        <v>6</v>
      </c>
      <c r="M68" s="282">
        <v>4</v>
      </c>
      <c r="N68" s="224">
        <v>63.004388888888855</v>
      </c>
      <c r="O68" s="282">
        <v>7</v>
      </c>
      <c r="P68" s="282">
        <v>4</v>
      </c>
      <c r="Q68" s="224">
        <v>73</v>
      </c>
      <c r="R68" s="282">
        <v>8</v>
      </c>
      <c r="S68" s="282">
        <v>5</v>
      </c>
      <c r="T68" s="282"/>
      <c r="U68" s="282"/>
      <c r="V68" s="283"/>
      <c r="W68" s="282"/>
      <c r="X68" s="283"/>
      <c r="Y68" s="283"/>
      <c r="Z68" s="224">
        <v>70.333333333333343</v>
      </c>
      <c r="AA68" s="224">
        <v>76</v>
      </c>
      <c r="AB68" s="224"/>
      <c r="AC68" s="226">
        <v>5.5</v>
      </c>
      <c r="AD68" s="227">
        <v>63.30629239392875</v>
      </c>
    </row>
    <row r="69" spans="1:30">
      <c r="A69" s="279">
        <v>66</v>
      </c>
      <c r="B69" s="271">
        <v>57</v>
      </c>
      <c r="C69" s="284">
        <f t="shared" si="1"/>
        <v>0.22147651006711411</v>
      </c>
      <c r="D69" s="280" t="s">
        <v>214</v>
      </c>
      <c r="E69" s="281" t="s">
        <v>212</v>
      </c>
      <c r="F69" s="271">
        <v>4</v>
      </c>
      <c r="G69" s="271">
        <v>5</v>
      </c>
      <c r="H69" s="224">
        <v>60.173269230769229</v>
      </c>
      <c r="I69" s="282">
        <v>7</v>
      </c>
      <c r="J69" s="282">
        <v>4</v>
      </c>
      <c r="K69" s="224">
        <v>48.097289009789009</v>
      </c>
      <c r="L69" s="282">
        <v>6</v>
      </c>
      <c r="M69" s="282">
        <v>4</v>
      </c>
      <c r="N69" s="224">
        <v>63.070166666666651</v>
      </c>
      <c r="O69" s="282">
        <v>7</v>
      </c>
      <c r="P69" s="282">
        <v>4</v>
      </c>
      <c r="Q69" s="224">
        <v>61</v>
      </c>
      <c r="R69" s="282">
        <v>7</v>
      </c>
      <c r="S69" s="282">
        <v>4</v>
      </c>
      <c r="T69" s="282"/>
      <c r="U69" s="282"/>
      <c r="V69" s="282"/>
      <c r="W69" s="282"/>
      <c r="X69" s="282"/>
      <c r="Y69" s="282"/>
      <c r="Z69" s="224">
        <v>71.148148148148152</v>
      </c>
      <c r="AA69" s="224">
        <v>75</v>
      </c>
      <c r="AB69" s="224"/>
      <c r="AC69" s="226">
        <v>5.5</v>
      </c>
      <c r="AD69" s="227">
        <v>63.270704191886011</v>
      </c>
    </row>
    <row r="70" spans="1:30">
      <c r="A70" s="270">
        <v>67</v>
      </c>
      <c r="B70" s="271">
        <v>58</v>
      </c>
      <c r="C70" s="284">
        <f t="shared" si="1"/>
        <v>0.22483221476510068</v>
      </c>
      <c r="D70" s="280" t="s">
        <v>196</v>
      </c>
      <c r="E70" s="281" t="s">
        <v>194</v>
      </c>
      <c r="F70" s="271">
        <v>10</v>
      </c>
      <c r="G70" s="271">
        <v>13</v>
      </c>
      <c r="H70" s="224">
        <v>64.337243589743593</v>
      </c>
      <c r="I70" s="282">
        <v>8</v>
      </c>
      <c r="J70" s="282">
        <v>5</v>
      </c>
      <c r="K70" s="224">
        <v>47.471103896103898</v>
      </c>
      <c r="L70" s="282">
        <v>6</v>
      </c>
      <c r="M70" s="282">
        <v>4</v>
      </c>
      <c r="N70" s="224">
        <v>72.343944444444446</v>
      </c>
      <c r="O70" s="282">
        <v>8</v>
      </c>
      <c r="P70" s="282">
        <v>5</v>
      </c>
      <c r="Q70" s="224">
        <v>59</v>
      </c>
      <c r="R70" s="282">
        <v>6</v>
      </c>
      <c r="S70" s="282">
        <v>4</v>
      </c>
      <c r="T70" s="282"/>
      <c r="U70" s="282"/>
      <c r="V70" s="282"/>
      <c r="W70" s="282"/>
      <c r="X70" s="282"/>
      <c r="Y70" s="282"/>
      <c r="Z70" s="224">
        <v>66.481481481481481</v>
      </c>
      <c r="AA70" s="224"/>
      <c r="AB70" s="224">
        <v>67</v>
      </c>
      <c r="AC70" s="226">
        <v>5.5</v>
      </c>
      <c r="AD70" s="227">
        <v>63.115231529413343</v>
      </c>
    </row>
    <row r="71" spans="1:30">
      <c r="A71" s="279">
        <v>68</v>
      </c>
      <c r="B71" s="271">
        <v>59</v>
      </c>
      <c r="C71" s="284">
        <f t="shared" si="1"/>
        <v>0.22818791946308725</v>
      </c>
      <c r="D71" s="280" t="s">
        <v>941</v>
      </c>
      <c r="E71" s="281" t="s">
        <v>939</v>
      </c>
      <c r="F71" s="271">
        <v>7</v>
      </c>
      <c r="G71" s="271">
        <v>11</v>
      </c>
      <c r="H71" s="224">
        <v>63.141410256410254</v>
      </c>
      <c r="I71" s="282">
        <v>7</v>
      </c>
      <c r="J71" s="282">
        <v>4</v>
      </c>
      <c r="K71" s="224">
        <v>56.053849927849924</v>
      </c>
      <c r="L71" s="282">
        <v>7</v>
      </c>
      <c r="M71" s="282">
        <v>4</v>
      </c>
      <c r="N71" s="224">
        <v>65.861111111111086</v>
      </c>
      <c r="O71" s="282">
        <v>7</v>
      </c>
      <c r="P71" s="282">
        <v>4</v>
      </c>
      <c r="Q71" s="224"/>
      <c r="R71" s="282"/>
      <c r="S71" s="283"/>
      <c r="T71" s="282"/>
      <c r="U71" s="282"/>
      <c r="V71" s="283"/>
      <c r="W71" s="224">
        <v>64.8</v>
      </c>
      <c r="X71" s="283">
        <v>7</v>
      </c>
      <c r="Y71" s="283">
        <v>4</v>
      </c>
      <c r="Z71" s="224">
        <v>61.962962962962955</v>
      </c>
      <c r="AA71" s="224"/>
      <c r="AB71" s="224">
        <v>66</v>
      </c>
      <c r="AC71" s="226">
        <v>5.5</v>
      </c>
      <c r="AD71" s="227">
        <v>62.803515319697134</v>
      </c>
    </row>
    <row r="72" spans="1:30">
      <c r="A72" s="279">
        <v>69</v>
      </c>
      <c r="B72" s="271">
        <v>60</v>
      </c>
      <c r="C72" s="284">
        <f t="shared" si="1"/>
        <v>0.23154362416107382</v>
      </c>
      <c r="D72" s="280" t="s">
        <v>208</v>
      </c>
      <c r="E72" s="285" t="s">
        <v>206</v>
      </c>
      <c r="F72" s="271">
        <v>2</v>
      </c>
      <c r="G72" s="271">
        <v>2</v>
      </c>
      <c r="H72" s="224">
        <v>60.20750000000001</v>
      </c>
      <c r="I72" s="282">
        <v>7</v>
      </c>
      <c r="J72" s="282">
        <v>4</v>
      </c>
      <c r="K72" s="224">
        <v>47.105356782106782</v>
      </c>
      <c r="L72" s="282">
        <v>6</v>
      </c>
      <c r="M72" s="282">
        <v>4</v>
      </c>
      <c r="N72" s="224">
        <v>64.438888888888854</v>
      </c>
      <c r="O72" s="282">
        <v>7</v>
      </c>
      <c r="P72" s="282">
        <v>4</v>
      </c>
      <c r="Q72" s="224">
        <v>66</v>
      </c>
      <c r="R72" s="282">
        <v>7</v>
      </c>
      <c r="S72" s="282">
        <v>4</v>
      </c>
      <c r="T72" s="282"/>
      <c r="U72" s="282"/>
      <c r="V72" s="282"/>
      <c r="W72" s="282"/>
      <c r="X72" s="282"/>
      <c r="Y72" s="282"/>
      <c r="Z72" s="224">
        <v>69.333333333333343</v>
      </c>
      <c r="AA72" s="224"/>
      <c r="AB72" s="224">
        <v>69.3</v>
      </c>
      <c r="AC72" s="226">
        <v>5.5</v>
      </c>
      <c r="AD72" s="227">
        <v>62.433650728059824</v>
      </c>
    </row>
    <row r="73" spans="1:30">
      <c r="A73" s="270">
        <v>70</v>
      </c>
      <c r="B73" s="271">
        <v>61</v>
      </c>
      <c r="C73" s="284">
        <f t="shared" si="1"/>
        <v>0.2348993288590604</v>
      </c>
      <c r="D73" s="280" t="s">
        <v>956</v>
      </c>
      <c r="E73" s="281" t="s">
        <v>954</v>
      </c>
      <c r="F73" s="271">
        <v>5</v>
      </c>
      <c r="G73" s="271">
        <v>8</v>
      </c>
      <c r="H73" s="224">
        <v>58.507884615384611</v>
      </c>
      <c r="I73" s="282">
        <v>7</v>
      </c>
      <c r="J73" s="282">
        <v>4</v>
      </c>
      <c r="K73" s="224">
        <v>45.143265548681953</v>
      </c>
      <c r="L73" s="282">
        <v>6</v>
      </c>
      <c r="M73" s="282">
        <v>4</v>
      </c>
      <c r="N73" s="224">
        <v>63.666666666666657</v>
      </c>
      <c r="O73" s="282">
        <v>7</v>
      </c>
      <c r="P73" s="282">
        <v>4</v>
      </c>
      <c r="Q73" s="224">
        <v>67</v>
      </c>
      <c r="R73" s="282">
        <v>7</v>
      </c>
      <c r="S73" s="282">
        <v>4</v>
      </c>
      <c r="T73" s="282"/>
      <c r="U73" s="282"/>
      <c r="V73" s="283"/>
      <c r="W73" s="282"/>
      <c r="X73" s="283"/>
      <c r="Y73" s="283"/>
      <c r="Z73" s="224">
        <v>68.407407407407405</v>
      </c>
      <c r="AA73" s="224"/>
      <c r="AB73" s="224">
        <v>73.7</v>
      </c>
      <c r="AC73" s="226">
        <v>5.5</v>
      </c>
      <c r="AD73" s="227">
        <v>62.35004077057102</v>
      </c>
    </row>
    <row r="74" spans="1:30">
      <c r="A74" s="279">
        <v>71</v>
      </c>
      <c r="B74" s="271">
        <v>62</v>
      </c>
      <c r="C74" s="284">
        <f t="shared" si="1"/>
        <v>0.23825503355704697</v>
      </c>
      <c r="D74" s="280" t="s">
        <v>289</v>
      </c>
      <c r="E74" s="281" t="s">
        <v>287</v>
      </c>
      <c r="F74" s="271">
        <v>10</v>
      </c>
      <c r="G74" s="271">
        <v>13</v>
      </c>
      <c r="H74" s="224">
        <v>63.81051282051282</v>
      </c>
      <c r="I74" s="282">
        <v>7</v>
      </c>
      <c r="J74" s="282">
        <v>4</v>
      </c>
      <c r="K74" s="224">
        <v>54.553098845598846</v>
      </c>
      <c r="L74" s="282">
        <v>6</v>
      </c>
      <c r="M74" s="282">
        <v>4</v>
      </c>
      <c r="N74" s="224">
        <v>56.365888888888854</v>
      </c>
      <c r="O74" s="282">
        <v>6</v>
      </c>
      <c r="P74" s="282">
        <v>4</v>
      </c>
      <c r="Q74" s="224">
        <v>60</v>
      </c>
      <c r="R74" s="282">
        <v>7</v>
      </c>
      <c r="S74" s="282">
        <v>4</v>
      </c>
      <c r="T74" s="282"/>
      <c r="U74" s="282"/>
      <c r="V74" s="282"/>
      <c r="W74" s="282"/>
      <c r="X74" s="282"/>
      <c r="Y74" s="282"/>
      <c r="Z74" s="224">
        <v>69.074074074074076</v>
      </c>
      <c r="AA74" s="224"/>
      <c r="AB74" s="224">
        <v>69</v>
      </c>
      <c r="AC74" s="226">
        <v>5.5</v>
      </c>
      <c r="AD74" s="227">
        <v>62.327922659831749</v>
      </c>
    </row>
    <row r="75" spans="1:30">
      <c r="A75" s="279">
        <v>72</v>
      </c>
      <c r="B75" s="271">
        <v>63</v>
      </c>
      <c r="C75" s="284">
        <f t="shared" si="1"/>
        <v>0.24161073825503357</v>
      </c>
      <c r="D75" s="280" t="s">
        <v>418</v>
      </c>
      <c r="E75" s="281" t="s">
        <v>416</v>
      </c>
      <c r="F75" s="271">
        <v>6</v>
      </c>
      <c r="G75" s="271">
        <v>7</v>
      </c>
      <c r="H75" s="224">
        <v>63.843141025641025</v>
      </c>
      <c r="I75" s="282">
        <v>7</v>
      </c>
      <c r="J75" s="282">
        <v>4</v>
      </c>
      <c r="K75" s="224">
        <v>51.505026010442407</v>
      </c>
      <c r="L75" s="282">
        <v>6</v>
      </c>
      <c r="M75" s="282">
        <v>4</v>
      </c>
      <c r="N75" s="224">
        <v>49.879166666666691</v>
      </c>
      <c r="O75" s="282">
        <v>5</v>
      </c>
      <c r="P75" s="282">
        <v>3</v>
      </c>
      <c r="Q75" s="224">
        <v>58</v>
      </c>
      <c r="R75" s="282">
        <v>6</v>
      </c>
      <c r="S75" s="282">
        <v>4</v>
      </c>
      <c r="T75" s="282"/>
      <c r="U75" s="282"/>
      <c r="V75" s="282"/>
      <c r="W75" s="282"/>
      <c r="X75" s="282"/>
      <c r="Y75" s="282"/>
      <c r="Z75" s="224">
        <v>74.111111111111114</v>
      </c>
      <c r="AA75" s="224"/>
      <c r="AB75" s="224">
        <v>74</v>
      </c>
      <c r="AC75" s="226">
        <v>5.5</v>
      </c>
      <c r="AD75" s="227">
        <v>62.243353602520216</v>
      </c>
    </row>
    <row r="76" spans="1:30">
      <c r="A76" s="270">
        <v>73</v>
      </c>
      <c r="B76" s="271">
        <v>64</v>
      </c>
      <c r="C76" s="284">
        <f t="shared" si="1"/>
        <v>0.24496644295302014</v>
      </c>
      <c r="D76" s="280" t="s">
        <v>715</v>
      </c>
      <c r="E76" s="281" t="s">
        <v>713</v>
      </c>
      <c r="F76" s="271">
        <v>3</v>
      </c>
      <c r="G76" s="271">
        <v>4</v>
      </c>
      <c r="H76" s="224">
        <v>65.168846153846147</v>
      </c>
      <c r="I76" s="282">
        <v>8</v>
      </c>
      <c r="J76" s="282">
        <v>5</v>
      </c>
      <c r="K76" s="224">
        <v>41.186141966571121</v>
      </c>
      <c r="L76" s="282">
        <v>5</v>
      </c>
      <c r="M76" s="282">
        <v>3</v>
      </c>
      <c r="N76" s="224">
        <v>65.900000000000006</v>
      </c>
      <c r="O76" s="282">
        <v>7</v>
      </c>
      <c r="P76" s="282">
        <v>4</v>
      </c>
      <c r="Q76" s="224">
        <v>77</v>
      </c>
      <c r="R76" s="282">
        <v>8</v>
      </c>
      <c r="S76" s="282">
        <v>5</v>
      </c>
      <c r="T76" s="282"/>
      <c r="U76" s="282"/>
      <c r="V76" s="282"/>
      <c r="W76" s="282"/>
      <c r="X76" s="282"/>
      <c r="Y76" s="282"/>
      <c r="Z76" s="224">
        <v>70.333333333333343</v>
      </c>
      <c r="AA76" s="224"/>
      <c r="AB76" s="224">
        <v>61</v>
      </c>
      <c r="AC76" s="226">
        <v>5.5</v>
      </c>
      <c r="AD76" s="227">
        <v>62.197876627954656</v>
      </c>
    </row>
    <row r="77" spans="1:30">
      <c r="A77" s="279">
        <v>74</v>
      </c>
      <c r="B77" s="271">
        <v>65</v>
      </c>
      <c r="C77" s="284">
        <f t="shared" si="1"/>
        <v>0.24832214765100671</v>
      </c>
      <c r="D77" s="280" t="s">
        <v>763</v>
      </c>
      <c r="E77" s="281" t="s">
        <v>761</v>
      </c>
      <c r="F77" s="271">
        <v>11</v>
      </c>
      <c r="G77" s="271">
        <v>14</v>
      </c>
      <c r="H77" s="224">
        <v>59.245769230769227</v>
      </c>
      <c r="I77" s="282">
        <v>7</v>
      </c>
      <c r="J77" s="282">
        <v>4</v>
      </c>
      <c r="K77" s="224">
        <v>34.650762908589002</v>
      </c>
      <c r="L77" s="282">
        <v>4</v>
      </c>
      <c r="M77" s="282">
        <v>3</v>
      </c>
      <c r="N77" s="224">
        <v>64.509055555555548</v>
      </c>
      <c r="O77" s="282">
        <v>7</v>
      </c>
      <c r="P77" s="282">
        <v>4</v>
      </c>
      <c r="Q77" s="224">
        <v>81</v>
      </c>
      <c r="R77" s="282">
        <v>9</v>
      </c>
      <c r="S77" s="282">
        <v>5</v>
      </c>
      <c r="T77" s="282"/>
      <c r="U77" s="282"/>
      <c r="V77" s="282"/>
      <c r="W77" s="282"/>
      <c r="X77" s="282"/>
      <c r="Y77" s="282"/>
      <c r="Z77" s="224">
        <v>76.518518518518505</v>
      </c>
      <c r="AA77" s="224"/>
      <c r="AB77" s="224">
        <v>65.7</v>
      </c>
      <c r="AC77" s="226">
        <v>5.5</v>
      </c>
      <c r="AD77" s="227">
        <v>62.022564766078602</v>
      </c>
    </row>
    <row r="78" spans="1:30">
      <c r="A78" s="279">
        <v>75</v>
      </c>
      <c r="B78" s="271">
        <v>66</v>
      </c>
      <c r="C78" s="284">
        <f t="shared" si="1"/>
        <v>0.25167785234899331</v>
      </c>
      <c r="D78" s="280" t="s">
        <v>355</v>
      </c>
      <c r="E78" s="281" t="s">
        <v>353</v>
      </c>
      <c r="F78" s="271">
        <v>3</v>
      </c>
      <c r="G78" s="271">
        <v>5</v>
      </c>
      <c r="H78" s="224">
        <v>72.877435897435902</v>
      </c>
      <c r="I78" s="282">
        <v>9</v>
      </c>
      <c r="J78" s="282">
        <v>5</v>
      </c>
      <c r="K78" s="224">
        <v>55.603437759258604</v>
      </c>
      <c r="L78" s="282">
        <v>7</v>
      </c>
      <c r="M78" s="282">
        <v>4</v>
      </c>
      <c r="N78" s="224">
        <v>65.316666666666691</v>
      </c>
      <c r="O78" s="282">
        <v>7</v>
      </c>
      <c r="P78" s="282">
        <v>4</v>
      </c>
      <c r="Q78" s="224">
        <v>50</v>
      </c>
      <c r="R78" s="282">
        <v>6</v>
      </c>
      <c r="S78" s="282">
        <v>4</v>
      </c>
      <c r="T78" s="282"/>
      <c r="U78" s="282"/>
      <c r="V78" s="282"/>
      <c r="W78" s="282"/>
      <c r="X78" s="282"/>
      <c r="Y78" s="282"/>
      <c r="Z78" s="224">
        <v>63.148148148148152</v>
      </c>
      <c r="AA78" s="224">
        <v>58</v>
      </c>
      <c r="AB78" s="224"/>
      <c r="AC78" s="226">
        <v>5.5</v>
      </c>
      <c r="AD78" s="227">
        <v>61.80830699481988</v>
      </c>
    </row>
    <row r="79" spans="1:30">
      <c r="A79" s="270">
        <v>76</v>
      </c>
      <c r="B79" s="271">
        <v>67</v>
      </c>
      <c r="C79" s="284">
        <f t="shared" si="1"/>
        <v>0.25503355704697989</v>
      </c>
      <c r="D79" s="280" t="s">
        <v>491</v>
      </c>
      <c r="E79" s="281" t="s">
        <v>2062</v>
      </c>
      <c r="F79" s="271">
        <v>9</v>
      </c>
      <c r="G79" s="271">
        <v>5</v>
      </c>
      <c r="H79" s="224">
        <v>57.459423076923073</v>
      </c>
      <c r="I79" s="282">
        <v>7</v>
      </c>
      <c r="J79" s="282">
        <v>4</v>
      </c>
      <c r="K79" s="224">
        <v>65.359003030303029</v>
      </c>
      <c r="L79" s="282">
        <v>8</v>
      </c>
      <c r="M79" s="282">
        <v>5</v>
      </c>
      <c r="N79" s="224">
        <v>78.279833333333357</v>
      </c>
      <c r="O79" s="282">
        <v>8</v>
      </c>
      <c r="P79" s="282">
        <v>5</v>
      </c>
      <c r="Q79" s="224"/>
      <c r="R79" s="282"/>
      <c r="S79" s="282"/>
      <c r="T79" s="282">
        <v>48</v>
      </c>
      <c r="U79" s="282">
        <v>5</v>
      </c>
      <c r="V79" s="282">
        <v>3</v>
      </c>
      <c r="W79" s="282"/>
      <c r="X79" s="282"/>
      <c r="Y79" s="282"/>
      <c r="Z79" s="224">
        <v>56.111111111111114</v>
      </c>
      <c r="AA79" s="224"/>
      <c r="AB79" s="224">
        <v>58.5</v>
      </c>
      <c r="AC79" s="226">
        <v>5.5</v>
      </c>
      <c r="AD79" s="227">
        <v>61.765340100303732</v>
      </c>
    </row>
    <row r="80" spans="1:30">
      <c r="A80" s="279">
        <v>77</v>
      </c>
      <c r="B80" s="271">
        <v>68</v>
      </c>
      <c r="C80" s="284">
        <f t="shared" si="1"/>
        <v>0.25838926174496646</v>
      </c>
      <c r="D80" s="280" t="s">
        <v>343</v>
      </c>
      <c r="E80" s="281" t="s">
        <v>2063</v>
      </c>
      <c r="F80" s="271" t="s">
        <v>1002</v>
      </c>
      <c r="G80" s="271" t="s">
        <v>2059</v>
      </c>
      <c r="H80" s="224">
        <v>30.73</v>
      </c>
      <c r="I80" s="282">
        <v>3</v>
      </c>
      <c r="J80" s="282">
        <v>2</v>
      </c>
      <c r="K80" s="224">
        <v>71.907541242541242</v>
      </c>
      <c r="L80" s="282">
        <v>8</v>
      </c>
      <c r="M80" s="282">
        <v>5</v>
      </c>
      <c r="N80" s="224">
        <v>61.626888888888857</v>
      </c>
      <c r="O80" s="282">
        <v>7</v>
      </c>
      <c r="P80" s="282">
        <v>4</v>
      </c>
      <c r="Q80" s="224">
        <v>47</v>
      </c>
      <c r="R80" s="282">
        <v>5</v>
      </c>
      <c r="S80" s="282">
        <v>3</v>
      </c>
      <c r="T80" s="282"/>
      <c r="U80" s="282"/>
      <c r="V80" s="282"/>
      <c r="W80" s="282"/>
      <c r="X80" s="282"/>
      <c r="Y80" s="282"/>
      <c r="Z80" s="224">
        <v>79.148148148148152</v>
      </c>
      <c r="AA80" s="224">
        <v>72.666666666666671</v>
      </c>
      <c r="AB80" s="224"/>
      <c r="AC80" s="226">
        <v>5.5</v>
      </c>
      <c r="AD80" s="227">
        <v>61.741680899317267</v>
      </c>
    </row>
    <row r="81" spans="1:30">
      <c r="A81" s="279">
        <v>78</v>
      </c>
      <c r="B81" s="271">
        <v>69</v>
      </c>
      <c r="C81" s="284">
        <f t="shared" si="1"/>
        <v>0.26174496644295303</v>
      </c>
      <c r="D81" s="280" t="s">
        <v>692</v>
      </c>
      <c r="E81" s="281" t="s">
        <v>689</v>
      </c>
      <c r="F81" s="271">
        <v>6</v>
      </c>
      <c r="G81" s="271">
        <v>7</v>
      </c>
      <c r="H81" s="224">
        <v>56.675641025641028</v>
      </c>
      <c r="I81" s="282">
        <v>7</v>
      </c>
      <c r="J81" s="282">
        <v>4</v>
      </c>
      <c r="K81" s="224">
        <v>50.931713400339575</v>
      </c>
      <c r="L81" s="282">
        <v>6</v>
      </c>
      <c r="M81" s="282">
        <v>4</v>
      </c>
      <c r="N81" s="224">
        <v>64.581222222222237</v>
      </c>
      <c r="O81" s="282">
        <v>7</v>
      </c>
      <c r="P81" s="282">
        <v>4</v>
      </c>
      <c r="Q81" s="224">
        <v>68</v>
      </c>
      <c r="R81" s="282">
        <v>7</v>
      </c>
      <c r="S81" s="282">
        <v>4</v>
      </c>
      <c r="T81" s="282"/>
      <c r="U81" s="282"/>
      <c r="V81" s="282"/>
      <c r="W81" s="282"/>
      <c r="X81" s="282"/>
      <c r="Y81" s="282"/>
      <c r="Z81" s="224">
        <v>67.81481481481481</v>
      </c>
      <c r="AA81" s="224"/>
      <c r="AB81" s="224">
        <v>63.8</v>
      </c>
      <c r="AC81" s="226">
        <v>5.5</v>
      </c>
      <c r="AD81" s="227">
        <v>61.418798447821402</v>
      </c>
    </row>
    <row r="82" spans="1:30">
      <c r="A82" s="270">
        <v>79</v>
      </c>
      <c r="B82" s="271">
        <v>70</v>
      </c>
      <c r="C82" s="284">
        <f t="shared" si="1"/>
        <v>0.2651006711409396</v>
      </c>
      <c r="D82" s="280" t="s">
        <v>512</v>
      </c>
      <c r="E82" s="281" t="s">
        <v>510</v>
      </c>
      <c r="F82" s="271">
        <v>8</v>
      </c>
      <c r="G82" s="271">
        <v>12</v>
      </c>
      <c r="H82" s="224">
        <v>64.038974358974357</v>
      </c>
      <c r="I82" s="282">
        <v>8</v>
      </c>
      <c r="J82" s="282">
        <v>5</v>
      </c>
      <c r="K82" s="224">
        <v>41.987516592103546</v>
      </c>
      <c r="L82" s="282">
        <v>5</v>
      </c>
      <c r="M82" s="282">
        <v>3</v>
      </c>
      <c r="N82" s="224">
        <v>67.1111111111111</v>
      </c>
      <c r="O82" s="282">
        <v>7</v>
      </c>
      <c r="P82" s="282">
        <v>4</v>
      </c>
      <c r="Q82" s="224">
        <v>71</v>
      </c>
      <c r="R82" s="282">
        <v>8</v>
      </c>
      <c r="S82" s="282">
        <v>5</v>
      </c>
      <c r="T82" s="282"/>
      <c r="U82" s="282"/>
      <c r="V82" s="282"/>
      <c r="W82" s="282"/>
      <c r="X82" s="282"/>
      <c r="Y82" s="282"/>
      <c r="Z82" s="224">
        <v>61.44444444444445</v>
      </c>
      <c r="AA82" s="224"/>
      <c r="AB82" s="224">
        <v>67.5</v>
      </c>
      <c r="AC82" s="226">
        <v>5.5</v>
      </c>
      <c r="AD82" s="227">
        <v>61.378553910296993</v>
      </c>
    </row>
    <row r="83" spans="1:30">
      <c r="A83" s="279">
        <v>80</v>
      </c>
      <c r="B83" s="271">
        <v>71</v>
      </c>
      <c r="C83" s="284">
        <f t="shared" si="1"/>
        <v>0.26845637583892618</v>
      </c>
      <c r="D83" s="280" t="s">
        <v>853</v>
      </c>
      <c r="E83" s="281" t="s">
        <v>851</v>
      </c>
      <c r="F83" s="271" t="s">
        <v>1002</v>
      </c>
      <c r="G83" s="271" t="s">
        <v>2059</v>
      </c>
      <c r="H83" s="224">
        <v>54.385961538461544</v>
      </c>
      <c r="I83" s="282">
        <v>6</v>
      </c>
      <c r="J83" s="282">
        <v>4</v>
      </c>
      <c r="K83" s="224">
        <v>69.046909003159001</v>
      </c>
      <c r="L83" s="282">
        <v>8</v>
      </c>
      <c r="M83" s="282">
        <v>5</v>
      </c>
      <c r="N83" s="224">
        <v>82.756722222222237</v>
      </c>
      <c r="O83" s="282">
        <v>9</v>
      </c>
      <c r="P83" s="282">
        <v>5</v>
      </c>
      <c r="Q83" s="224">
        <v>72</v>
      </c>
      <c r="R83" s="282">
        <v>8</v>
      </c>
      <c r="S83" s="282">
        <v>5</v>
      </c>
      <c r="T83" s="282"/>
      <c r="U83" s="282"/>
      <c r="V83" s="283"/>
      <c r="W83" s="282"/>
      <c r="X83" s="283"/>
      <c r="Y83" s="283"/>
      <c r="Z83" s="224">
        <v>72.666666666666657</v>
      </c>
      <c r="AA83" s="224"/>
      <c r="AB83" s="224">
        <v>21.5</v>
      </c>
      <c r="AC83" s="226">
        <v>5.5</v>
      </c>
      <c r="AD83" s="227">
        <v>61.1556835328199</v>
      </c>
    </row>
    <row r="84" spans="1:30">
      <c r="A84" s="279">
        <v>81</v>
      </c>
      <c r="B84" s="271">
        <v>72</v>
      </c>
      <c r="C84" s="284">
        <f t="shared" si="1"/>
        <v>0.27181208053691275</v>
      </c>
      <c r="D84" s="280" t="s">
        <v>944</v>
      </c>
      <c r="E84" s="281" t="s">
        <v>942</v>
      </c>
      <c r="F84" s="271">
        <v>6</v>
      </c>
      <c r="G84" s="271">
        <v>8</v>
      </c>
      <c r="H84" s="224">
        <v>52.233846153846152</v>
      </c>
      <c r="I84" s="282">
        <v>6</v>
      </c>
      <c r="J84" s="282">
        <v>4</v>
      </c>
      <c r="K84" s="224">
        <v>58.645662589163372</v>
      </c>
      <c r="L84" s="282">
        <v>7</v>
      </c>
      <c r="M84" s="282">
        <v>4</v>
      </c>
      <c r="N84" s="224">
        <v>65.74444444444444</v>
      </c>
      <c r="O84" s="282">
        <v>7</v>
      </c>
      <c r="P84" s="282">
        <v>4</v>
      </c>
      <c r="Q84" s="224"/>
      <c r="R84" s="282"/>
      <c r="S84" s="283"/>
      <c r="T84" s="282">
        <v>74</v>
      </c>
      <c r="U84" s="282">
        <v>8</v>
      </c>
      <c r="V84" s="283">
        <v>5</v>
      </c>
      <c r="W84" s="282"/>
      <c r="X84" s="283"/>
      <c r="Y84" s="283"/>
      <c r="Z84" s="224">
        <v>67.925925925925938</v>
      </c>
      <c r="AA84" s="224"/>
      <c r="AB84" s="224">
        <v>54.5</v>
      </c>
      <c r="AC84" s="226">
        <v>5.5</v>
      </c>
      <c r="AD84" s="227">
        <v>61.099978020614529</v>
      </c>
    </row>
    <row r="85" spans="1:30">
      <c r="A85" s="270">
        <v>82</v>
      </c>
      <c r="B85" s="271">
        <v>73</v>
      </c>
      <c r="C85" s="284">
        <f t="shared" si="1"/>
        <v>0.27516778523489932</v>
      </c>
      <c r="D85" s="280" t="s">
        <v>748</v>
      </c>
      <c r="E85" s="281" t="s">
        <v>746</v>
      </c>
      <c r="F85" s="271">
        <v>3</v>
      </c>
      <c r="G85" s="271">
        <v>6</v>
      </c>
      <c r="H85" s="224">
        <v>66.34128205128205</v>
      </c>
      <c r="I85" s="282">
        <v>8</v>
      </c>
      <c r="J85" s="282">
        <v>5</v>
      </c>
      <c r="K85" s="224">
        <v>70.250374605337129</v>
      </c>
      <c r="L85" s="282">
        <v>8</v>
      </c>
      <c r="M85" s="282">
        <v>5</v>
      </c>
      <c r="N85" s="224">
        <v>74.194444444444457</v>
      </c>
      <c r="O85" s="282">
        <v>8</v>
      </c>
      <c r="P85" s="282">
        <v>5</v>
      </c>
      <c r="Q85" s="224">
        <v>74</v>
      </c>
      <c r="R85" s="282">
        <v>8</v>
      </c>
      <c r="S85" s="282">
        <v>5</v>
      </c>
      <c r="T85" s="282"/>
      <c r="U85" s="282"/>
      <c r="V85" s="282"/>
      <c r="W85" s="282"/>
      <c r="X85" s="282"/>
      <c r="Y85" s="282"/>
      <c r="Z85" s="224">
        <v>54.814814814814817</v>
      </c>
      <c r="AA85" s="224"/>
      <c r="AB85" s="224">
        <v>33.299999999999997</v>
      </c>
      <c r="AC85" s="226">
        <v>5.5</v>
      </c>
      <c r="AD85" s="227">
        <v>61.072893802887002</v>
      </c>
    </row>
    <row r="86" spans="1:30">
      <c r="A86" s="279">
        <v>83</v>
      </c>
      <c r="B86" s="271">
        <v>74</v>
      </c>
      <c r="C86" s="284">
        <f t="shared" si="1"/>
        <v>0.27852348993288589</v>
      </c>
      <c r="D86" s="280" t="s">
        <v>253</v>
      </c>
      <c r="E86" s="281" t="s">
        <v>2064</v>
      </c>
      <c r="F86" s="271" t="s">
        <v>1002</v>
      </c>
      <c r="G86" s="271" t="s">
        <v>2059</v>
      </c>
      <c r="H86" s="224">
        <v>68.617500000000007</v>
      </c>
      <c r="I86" s="282">
        <v>8</v>
      </c>
      <c r="J86" s="282">
        <v>5</v>
      </c>
      <c r="K86" s="224">
        <v>47.826110818610815</v>
      </c>
      <c r="L86" s="282">
        <v>6</v>
      </c>
      <c r="M86" s="282">
        <v>4</v>
      </c>
      <c r="N86" s="224">
        <v>67.735388888888906</v>
      </c>
      <c r="O86" s="282">
        <v>7</v>
      </c>
      <c r="P86" s="282">
        <v>4</v>
      </c>
      <c r="Q86" s="224"/>
      <c r="R86" s="282"/>
      <c r="S86" s="282"/>
      <c r="T86" s="282">
        <v>60</v>
      </c>
      <c r="U86" s="282">
        <v>7</v>
      </c>
      <c r="V86" s="282">
        <v>4</v>
      </c>
      <c r="W86" s="282"/>
      <c r="X86" s="282"/>
      <c r="Y86" s="282"/>
      <c r="Z86" s="224">
        <v>79.296296296296291</v>
      </c>
      <c r="AA86" s="224"/>
      <c r="AB86" s="224">
        <v>42.2</v>
      </c>
      <c r="AC86" s="226">
        <v>5.5</v>
      </c>
      <c r="AD86" s="227">
        <v>61.031872000690186</v>
      </c>
    </row>
    <row r="87" spans="1:30">
      <c r="A87" s="279">
        <v>84</v>
      </c>
      <c r="B87" s="271">
        <v>75</v>
      </c>
      <c r="C87" s="284">
        <f t="shared" si="1"/>
        <v>0.28187919463087246</v>
      </c>
      <c r="D87" s="280" t="s">
        <v>670</v>
      </c>
      <c r="E87" s="281" t="s">
        <v>668</v>
      </c>
      <c r="F87" s="271">
        <v>10</v>
      </c>
      <c r="G87" s="271">
        <v>13</v>
      </c>
      <c r="H87" s="224">
        <v>56.036217948717947</v>
      </c>
      <c r="I87" s="282">
        <v>7</v>
      </c>
      <c r="J87" s="282">
        <v>4</v>
      </c>
      <c r="K87" s="224">
        <v>51.759329004328997</v>
      </c>
      <c r="L87" s="282">
        <v>6</v>
      </c>
      <c r="M87" s="282">
        <v>4</v>
      </c>
      <c r="N87" s="224">
        <v>51.883833333333307</v>
      </c>
      <c r="O87" s="282">
        <v>6</v>
      </c>
      <c r="P87" s="282">
        <v>4</v>
      </c>
      <c r="Q87" s="224"/>
      <c r="R87" s="282"/>
      <c r="S87" s="282"/>
      <c r="T87" s="282">
        <v>76</v>
      </c>
      <c r="U87" s="282">
        <v>8</v>
      </c>
      <c r="V87" s="282">
        <v>5</v>
      </c>
      <c r="W87" s="282"/>
      <c r="X87" s="282"/>
      <c r="Y87" s="282"/>
      <c r="Z87" s="224">
        <v>68.888888888888886</v>
      </c>
      <c r="AA87" s="224">
        <v>68.666666666666657</v>
      </c>
      <c r="AB87" s="224"/>
      <c r="AC87" s="226">
        <v>5.5</v>
      </c>
      <c r="AD87" s="227">
        <v>60.9518065167156</v>
      </c>
    </row>
    <row r="88" spans="1:30">
      <c r="A88" s="270">
        <v>85</v>
      </c>
      <c r="B88" s="271">
        <v>76</v>
      </c>
      <c r="C88" s="284">
        <f t="shared" si="1"/>
        <v>0.28523489932885904</v>
      </c>
      <c r="D88" s="280" t="s">
        <v>220</v>
      </c>
      <c r="E88" s="281" t="s">
        <v>218</v>
      </c>
      <c r="F88" s="271">
        <v>2</v>
      </c>
      <c r="G88" s="271">
        <v>1</v>
      </c>
      <c r="H88" s="224">
        <v>54.431089743589737</v>
      </c>
      <c r="I88" s="282">
        <v>6</v>
      </c>
      <c r="J88" s="282">
        <v>4</v>
      </c>
      <c r="K88" s="224">
        <v>44.207131313131306</v>
      </c>
      <c r="L88" s="282">
        <v>5</v>
      </c>
      <c r="M88" s="282">
        <v>3</v>
      </c>
      <c r="N88" s="224">
        <v>70.055555555555543</v>
      </c>
      <c r="O88" s="282">
        <v>8</v>
      </c>
      <c r="P88" s="282">
        <v>5</v>
      </c>
      <c r="Q88" s="224"/>
      <c r="R88" s="282"/>
      <c r="S88" s="282"/>
      <c r="T88" s="282">
        <v>46</v>
      </c>
      <c r="U88" s="282">
        <v>5</v>
      </c>
      <c r="V88" s="282">
        <v>3</v>
      </c>
      <c r="W88" s="282"/>
      <c r="X88" s="282"/>
      <c r="Y88" s="282"/>
      <c r="Z88" s="224">
        <v>69.925925925925938</v>
      </c>
      <c r="AA88" s="224"/>
      <c r="AB88" s="224">
        <v>71.3</v>
      </c>
      <c r="AC88" s="226">
        <v>5.5</v>
      </c>
      <c r="AD88" s="227">
        <v>60.53085500694592</v>
      </c>
    </row>
    <row r="89" spans="1:30">
      <c r="A89" s="279">
        <v>86</v>
      </c>
      <c r="B89" s="271">
        <v>77</v>
      </c>
      <c r="C89" s="284">
        <f t="shared" si="1"/>
        <v>0.28859060402684567</v>
      </c>
      <c r="D89" s="280" t="s">
        <v>467</v>
      </c>
      <c r="E89" s="281" t="s">
        <v>465</v>
      </c>
      <c r="F89" s="271">
        <v>4</v>
      </c>
      <c r="G89" s="271">
        <v>5</v>
      </c>
      <c r="H89" s="224">
        <v>50.447692307692307</v>
      </c>
      <c r="I89" s="282">
        <v>6</v>
      </c>
      <c r="J89" s="282">
        <v>4</v>
      </c>
      <c r="K89" s="224">
        <v>49.45211173023673</v>
      </c>
      <c r="L89" s="282">
        <v>6</v>
      </c>
      <c r="M89" s="282">
        <v>4</v>
      </c>
      <c r="N89" s="224">
        <v>52.978666666666655</v>
      </c>
      <c r="O89" s="282">
        <v>6</v>
      </c>
      <c r="P89" s="282">
        <v>4</v>
      </c>
      <c r="Q89" s="224">
        <v>57</v>
      </c>
      <c r="R89" s="282">
        <v>6</v>
      </c>
      <c r="S89" s="282">
        <v>4</v>
      </c>
      <c r="T89" s="282"/>
      <c r="U89" s="282"/>
      <c r="V89" s="282"/>
      <c r="W89" s="282"/>
      <c r="X89" s="282"/>
      <c r="Y89" s="282"/>
      <c r="Z89" s="224">
        <v>73</v>
      </c>
      <c r="AA89" s="224">
        <v>78</v>
      </c>
      <c r="AB89" s="224"/>
      <c r="AC89" s="226">
        <v>5.5</v>
      </c>
      <c r="AD89" s="227">
        <v>60.4324492190174</v>
      </c>
    </row>
    <row r="90" spans="1:30">
      <c r="A90" s="279">
        <v>87</v>
      </c>
      <c r="B90" s="271">
        <v>78</v>
      </c>
      <c r="C90" s="284">
        <f t="shared" si="1"/>
        <v>0.29194630872483224</v>
      </c>
      <c r="D90" s="280" t="s">
        <v>841</v>
      </c>
      <c r="E90" s="281" t="s">
        <v>839</v>
      </c>
      <c r="F90" s="271">
        <v>1</v>
      </c>
      <c r="G90" s="271">
        <v>3</v>
      </c>
      <c r="H90" s="224">
        <v>58.643012820512823</v>
      </c>
      <c r="I90" s="282">
        <v>7</v>
      </c>
      <c r="J90" s="282">
        <v>4</v>
      </c>
      <c r="K90" s="224">
        <v>60.017706421356422</v>
      </c>
      <c r="L90" s="282">
        <v>7</v>
      </c>
      <c r="M90" s="282">
        <v>4</v>
      </c>
      <c r="N90" s="224">
        <v>75.458555555555549</v>
      </c>
      <c r="O90" s="282">
        <v>8</v>
      </c>
      <c r="P90" s="282">
        <v>5</v>
      </c>
      <c r="Q90" s="224"/>
      <c r="R90" s="282"/>
      <c r="S90" s="282"/>
      <c r="T90" s="282"/>
      <c r="U90" s="282"/>
      <c r="V90" s="282"/>
      <c r="W90" s="224">
        <v>67.900000000000006</v>
      </c>
      <c r="X90" s="282">
        <v>6</v>
      </c>
      <c r="Y90" s="282">
        <v>4</v>
      </c>
      <c r="Z90" s="224">
        <v>60.407407407407405</v>
      </c>
      <c r="AA90" s="224"/>
      <c r="AB90" s="224">
        <v>42</v>
      </c>
      <c r="AC90" s="226">
        <v>5.5</v>
      </c>
      <c r="AD90" s="227">
        <v>60.086669491787667</v>
      </c>
    </row>
    <row r="91" spans="1:30">
      <c r="A91" s="270">
        <v>88</v>
      </c>
      <c r="B91" s="271">
        <v>79</v>
      </c>
      <c r="C91" s="284">
        <f t="shared" si="1"/>
        <v>0.29530201342281881</v>
      </c>
      <c r="D91" s="280" t="s">
        <v>926</v>
      </c>
      <c r="E91" s="281" t="s">
        <v>924</v>
      </c>
      <c r="F91" s="271">
        <v>1</v>
      </c>
      <c r="G91" s="271">
        <v>3</v>
      </c>
      <c r="H91" s="224">
        <v>48.837499999999999</v>
      </c>
      <c r="I91" s="282">
        <v>6</v>
      </c>
      <c r="J91" s="282">
        <v>4</v>
      </c>
      <c r="K91" s="224">
        <v>51.373677344877343</v>
      </c>
      <c r="L91" s="282">
        <v>6</v>
      </c>
      <c r="M91" s="282">
        <v>4</v>
      </c>
      <c r="N91" s="224">
        <v>57.700944444444453</v>
      </c>
      <c r="O91" s="282">
        <v>6</v>
      </c>
      <c r="P91" s="282">
        <v>4</v>
      </c>
      <c r="Q91" s="224">
        <v>76</v>
      </c>
      <c r="R91" s="282">
        <v>8</v>
      </c>
      <c r="S91" s="282">
        <v>5</v>
      </c>
      <c r="T91" s="282"/>
      <c r="U91" s="282"/>
      <c r="V91" s="283"/>
      <c r="W91" s="282"/>
      <c r="X91" s="283"/>
      <c r="Y91" s="283"/>
      <c r="Z91" s="224">
        <v>60.296296296296291</v>
      </c>
      <c r="AA91" s="224"/>
      <c r="AB91" s="224">
        <v>72</v>
      </c>
      <c r="AC91" s="226">
        <v>5.5</v>
      </c>
      <c r="AD91" s="227">
        <v>59.67425783374874</v>
      </c>
    </row>
    <row r="92" spans="1:30">
      <c r="A92" s="279">
        <v>89</v>
      </c>
      <c r="B92" s="271" t="s">
        <v>1993</v>
      </c>
      <c r="C92" s="284">
        <f t="shared" si="1"/>
        <v>0.29865771812080538</v>
      </c>
      <c r="D92" s="286" t="s">
        <v>601</v>
      </c>
      <c r="E92" s="285" t="s">
        <v>599</v>
      </c>
      <c r="F92" s="287">
        <v>1</v>
      </c>
      <c r="G92" s="287">
        <v>3</v>
      </c>
      <c r="H92" s="224">
        <v>70.337371794871785</v>
      </c>
      <c r="I92" s="282">
        <v>8</v>
      </c>
      <c r="J92" s="282">
        <v>5</v>
      </c>
      <c r="K92" s="224">
        <v>55.348531746031746</v>
      </c>
      <c r="L92" s="282">
        <v>7</v>
      </c>
      <c r="M92" s="282">
        <v>4</v>
      </c>
      <c r="N92" s="224">
        <v>66.417555555555552</v>
      </c>
      <c r="O92" s="282">
        <v>7</v>
      </c>
      <c r="P92" s="282">
        <v>4</v>
      </c>
      <c r="Q92" s="224">
        <v>62</v>
      </c>
      <c r="R92" s="282">
        <v>7</v>
      </c>
      <c r="S92" s="282">
        <v>4</v>
      </c>
      <c r="T92" s="282"/>
      <c r="U92" s="282"/>
      <c r="V92" s="282"/>
      <c r="W92" s="282"/>
      <c r="X92" s="282"/>
      <c r="Y92" s="282"/>
      <c r="Z92" s="224">
        <v>46.481481481481481</v>
      </c>
      <c r="AA92" s="224"/>
      <c r="AB92" s="224">
        <v>58</v>
      </c>
      <c r="AC92" s="226">
        <v>5.5</v>
      </c>
      <c r="AD92" s="227">
        <v>59.560898286898279</v>
      </c>
    </row>
    <row r="93" spans="1:30">
      <c r="A93" s="279">
        <v>90</v>
      </c>
      <c r="B93" s="271">
        <v>80</v>
      </c>
      <c r="C93" s="284">
        <f t="shared" si="1"/>
        <v>0.30201342281879195</v>
      </c>
      <c r="D93" s="280" t="s">
        <v>682</v>
      </c>
      <c r="E93" s="281" t="s">
        <v>680</v>
      </c>
      <c r="F93" s="271">
        <v>4</v>
      </c>
      <c r="G93" s="271">
        <v>4</v>
      </c>
      <c r="H93" s="224">
        <v>57.491538461538461</v>
      </c>
      <c r="I93" s="282">
        <v>7</v>
      </c>
      <c r="J93" s="282">
        <v>4</v>
      </c>
      <c r="K93" s="224">
        <v>38.220389659139656</v>
      </c>
      <c r="L93" s="282">
        <v>5</v>
      </c>
      <c r="M93" s="282">
        <v>3</v>
      </c>
      <c r="N93" s="224">
        <v>62.052333333333351</v>
      </c>
      <c r="O93" s="282">
        <v>7</v>
      </c>
      <c r="P93" s="282">
        <v>4</v>
      </c>
      <c r="Q93" s="224"/>
      <c r="R93" s="282"/>
      <c r="S93" s="282"/>
      <c r="T93" s="282">
        <v>74</v>
      </c>
      <c r="U93" s="282">
        <v>8</v>
      </c>
      <c r="V93" s="282">
        <v>5</v>
      </c>
      <c r="W93" s="282"/>
      <c r="X93" s="282"/>
      <c r="Y93" s="282"/>
      <c r="Z93" s="224">
        <v>69.444444444444443</v>
      </c>
      <c r="AA93" s="224">
        <v>62.666666666666671</v>
      </c>
      <c r="AB93" s="224"/>
      <c r="AC93" s="226">
        <v>5.5</v>
      </c>
      <c r="AD93" s="227">
        <v>59.431885920931386</v>
      </c>
    </row>
    <row r="94" spans="1:30">
      <c r="A94" s="270">
        <v>91</v>
      </c>
      <c r="B94" s="271">
        <v>81</v>
      </c>
      <c r="C94" s="284">
        <f t="shared" si="1"/>
        <v>0.30536912751677853</v>
      </c>
      <c r="D94" s="280" t="s">
        <v>100</v>
      </c>
      <c r="E94" s="281" t="s">
        <v>98</v>
      </c>
      <c r="F94" s="271">
        <v>7</v>
      </c>
      <c r="G94" s="271">
        <v>11</v>
      </c>
      <c r="H94" s="224">
        <v>52.0647435897436</v>
      </c>
      <c r="I94" s="282">
        <v>6</v>
      </c>
      <c r="J94" s="282">
        <v>4</v>
      </c>
      <c r="K94" s="224">
        <v>37.036491341991344</v>
      </c>
      <c r="L94" s="282">
        <v>5</v>
      </c>
      <c r="M94" s="282">
        <v>3</v>
      </c>
      <c r="N94" s="224">
        <v>73.405555555555537</v>
      </c>
      <c r="O94" s="282">
        <v>8</v>
      </c>
      <c r="P94" s="282">
        <v>5</v>
      </c>
      <c r="Q94" s="224">
        <v>61</v>
      </c>
      <c r="R94" s="282">
        <v>7</v>
      </c>
      <c r="S94" s="282">
        <v>4</v>
      </c>
      <c r="T94" s="282"/>
      <c r="U94" s="282"/>
      <c r="V94" s="282"/>
      <c r="W94" s="282"/>
      <c r="X94" s="282"/>
      <c r="Y94" s="282"/>
      <c r="Z94" s="224">
        <v>72.666666666666657</v>
      </c>
      <c r="AA94" s="224"/>
      <c r="AB94" s="224">
        <v>61</v>
      </c>
      <c r="AC94" s="226">
        <v>5.5</v>
      </c>
      <c r="AD94" s="227">
        <v>59.395174027992205</v>
      </c>
    </row>
    <row r="95" spans="1:30">
      <c r="A95" s="279">
        <v>92</v>
      </c>
      <c r="B95" s="271">
        <v>82</v>
      </c>
      <c r="C95" s="284">
        <f t="shared" si="1"/>
        <v>0.3087248322147651</v>
      </c>
      <c r="D95" s="280" t="s">
        <v>376</v>
      </c>
      <c r="E95" s="281" t="s">
        <v>374</v>
      </c>
      <c r="F95" s="271">
        <v>9</v>
      </c>
      <c r="G95" s="271">
        <v>15</v>
      </c>
      <c r="H95" s="224">
        <v>50.678333333333342</v>
      </c>
      <c r="I95" s="282">
        <v>6</v>
      </c>
      <c r="J95" s="282">
        <v>4</v>
      </c>
      <c r="K95" s="224">
        <v>38.755423809523812</v>
      </c>
      <c r="L95" s="282">
        <v>5</v>
      </c>
      <c r="M95" s="282">
        <v>3</v>
      </c>
      <c r="N95" s="224">
        <v>66.779222222222245</v>
      </c>
      <c r="O95" s="282">
        <v>7</v>
      </c>
      <c r="P95" s="282">
        <v>4</v>
      </c>
      <c r="Q95" s="224">
        <v>60</v>
      </c>
      <c r="R95" s="282">
        <v>7</v>
      </c>
      <c r="S95" s="282">
        <v>4</v>
      </c>
      <c r="T95" s="282"/>
      <c r="U95" s="282"/>
      <c r="V95" s="282"/>
      <c r="W95" s="282"/>
      <c r="X95" s="282"/>
      <c r="Y95" s="282"/>
      <c r="Z95" s="224">
        <v>68.407407407407405</v>
      </c>
      <c r="AA95" s="224"/>
      <c r="AB95" s="224">
        <v>72</v>
      </c>
      <c r="AC95" s="226">
        <v>5.5</v>
      </c>
      <c r="AD95" s="227">
        <v>59.385524867724875</v>
      </c>
    </row>
    <row r="96" spans="1:30">
      <c r="A96" s="279">
        <v>93</v>
      </c>
      <c r="B96" s="271">
        <v>83</v>
      </c>
      <c r="C96" s="284">
        <f t="shared" si="1"/>
        <v>0.31208053691275167</v>
      </c>
      <c r="D96" s="280" t="s">
        <v>872</v>
      </c>
      <c r="E96" s="281" t="s">
        <v>2065</v>
      </c>
      <c r="F96" s="271">
        <v>11</v>
      </c>
      <c r="G96" s="271">
        <v>14</v>
      </c>
      <c r="H96" s="224">
        <v>46.408782051282053</v>
      </c>
      <c r="I96" s="282">
        <v>5</v>
      </c>
      <c r="J96" s="282">
        <v>3</v>
      </c>
      <c r="K96" s="224">
        <v>56.379160957400082</v>
      </c>
      <c r="L96" s="282">
        <v>7</v>
      </c>
      <c r="M96" s="282">
        <v>4</v>
      </c>
      <c r="N96" s="224">
        <v>63.441722222222204</v>
      </c>
      <c r="O96" s="282">
        <v>7</v>
      </c>
      <c r="P96" s="282">
        <v>4</v>
      </c>
      <c r="Q96" s="224">
        <v>66</v>
      </c>
      <c r="R96" s="282">
        <v>7</v>
      </c>
      <c r="S96" s="282">
        <v>4</v>
      </c>
      <c r="T96" s="282"/>
      <c r="U96" s="282"/>
      <c r="V96" s="283"/>
      <c r="W96" s="282"/>
      <c r="X96" s="283"/>
      <c r="Y96" s="283"/>
      <c r="Z96" s="224">
        <v>67.370370370370381</v>
      </c>
      <c r="AA96" s="224"/>
      <c r="AB96" s="224">
        <v>58.4</v>
      </c>
      <c r="AC96" s="226">
        <v>5.5</v>
      </c>
      <c r="AD96" s="227">
        <v>59.09091556386813</v>
      </c>
    </row>
    <row r="97" spans="1:30">
      <c r="A97" s="270">
        <v>94</v>
      </c>
      <c r="B97" s="271">
        <v>84</v>
      </c>
      <c r="C97" s="284">
        <f t="shared" si="1"/>
        <v>0.31543624161073824</v>
      </c>
      <c r="D97" s="280" t="s">
        <v>479</v>
      </c>
      <c r="E97" s="281" t="s">
        <v>477</v>
      </c>
      <c r="F97" s="271">
        <v>11</v>
      </c>
      <c r="G97" s="271">
        <v>14</v>
      </c>
      <c r="H97" s="224">
        <v>47.076410256410256</v>
      </c>
      <c r="I97" s="282">
        <v>6</v>
      </c>
      <c r="J97" s="282">
        <v>4</v>
      </c>
      <c r="K97" s="224">
        <v>35.850328340741385</v>
      </c>
      <c r="L97" s="282">
        <v>5</v>
      </c>
      <c r="M97" s="282">
        <v>3</v>
      </c>
      <c r="N97" s="224">
        <v>59.568000000000005</v>
      </c>
      <c r="O97" s="282">
        <v>6</v>
      </c>
      <c r="P97" s="282">
        <v>4</v>
      </c>
      <c r="Q97" s="224">
        <v>82</v>
      </c>
      <c r="R97" s="282">
        <v>9</v>
      </c>
      <c r="S97" s="282">
        <v>5</v>
      </c>
      <c r="T97" s="282"/>
      <c r="U97" s="282"/>
      <c r="V97" s="282"/>
      <c r="W97" s="282"/>
      <c r="X97" s="282"/>
      <c r="Y97" s="282"/>
      <c r="Z97" s="224">
        <v>73.444444444444443</v>
      </c>
      <c r="AA97" s="224"/>
      <c r="AB97" s="224">
        <v>68</v>
      </c>
      <c r="AC97" s="226">
        <v>5.5</v>
      </c>
      <c r="AD97" s="227">
        <v>59.07985146210838</v>
      </c>
    </row>
    <row r="98" spans="1:30">
      <c r="A98" s="279">
        <v>95</v>
      </c>
      <c r="B98" s="271">
        <v>85</v>
      </c>
      <c r="C98" s="284">
        <f t="shared" si="1"/>
        <v>0.31879194630872482</v>
      </c>
      <c r="D98" s="280" t="s">
        <v>190</v>
      </c>
      <c r="E98" s="281" t="s">
        <v>188</v>
      </c>
      <c r="F98" s="271">
        <v>11</v>
      </c>
      <c r="G98" s="271">
        <v>13</v>
      </c>
      <c r="H98" s="224">
        <v>58.017628205128204</v>
      </c>
      <c r="I98" s="282">
        <v>7</v>
      </c>
      <c r="J98" s="282">
        <v>4</v>
      </c>
      <c r="K98" s="224">
        <v>45.952624396135263</v>
      </c>
      <c r="L98" s="282">
        <v>6</v>
      </c>
      <c r="M98" s="282">
        <v>4</v>
      </c>
      <c r="N98" s="224">
        <v>64.19883333333334</v>
      </c>
      <c r="O98" s="282">
        <v>7</v>
      </c>
      <c r="P98" s="282">
        <v>4</v>
      </c>
      <c r="Q98" s="224">
        <v>51</v>
      </c>
      <c r="R98" s="282">
        <v>6</v>
      </c>
      <c r="S98" s="282">
        <v>4</v>
      </c>
      <c r="T98" s="282"/>
      <c r="U98" s="282"/>
      <c r="V98" s="282"/>
      <c r="W98" s="282"/>
      <c r="X98" s="282"/>
      <c r="Y98" s="282"/>
      <c r="Z98" s="224">
        <v>57.777777777777779</v>
      </c>
      <c r="AA98" s="224"/>
      <c r="AB98" s="224">
        <v>73</v>
      </c>
      <c r="AC98" s="226">
        <v>5.5</v>
      </c>
      <c r="AD98" s="227">
        <v>58.990338856795375</v>
      </c>
    </row>
    <row r="99" spans="1:30">
      <c r="A99" s="279">
        <v>96</v>
      </c>
      <c r="B99" s="271">
        <v>86</v>
      </c>
      <c r="C99" s="284">
        <f t="shared" si="1"/>
        <v>0.32214765100671139</v>
      </c>
      <c r="D99" s="280" t="s">
        <v>229</v>
      </c>
      <c r="E99" s="281" t="s">
        <v>227</v>
      </c>
      <c r="F99" s="271">
        <v>9</v>
      </c>
      <c r="G99" s="271">
        <v>16</v>
      </c>
      <c r="H99" s="224">
        <v>63.97314102564102</v>
      </c>
      <c r="I99" s="282">
        <v>7</v>
      </c>
      <c r="J99" s="282">
        <v>4</v>
      </c>
      <c r="K99" s="224">
        <v>38.138064069264068</v>
      </c>
      <c r="L99" s="282">
        <v>5</v>
      </c>
      <c r="M99" s="282">
        <v>3</v>
      </c>
      <c r="N99" s="224">
        <v>66.306444444444452</v>
      </c>
      <c r="O99" s="282">
        <v>7</v>
      </c>
      <c r="P99" s="282">
        <v>4</v>
      </c>
      <c r="Q99" s="224">
        <v>54</v>
      </c>
      <c r="R99" s="282">
        <v>6</v>
      </c>
      <c r="S99" s="282">
        <v>4</v>
      </c>
      <c r="T99" s="282"/>
      <c r="U99" s="282"/>
      <c r="V99" s="282"/>
      <c r="W99" s="224"/>
      <c r="X99" s="282"/>
      <c r="Y99" s="282"/>
      <c r="Z99" s="224">
        <v>64.407407407407405</v>
      </c>
      <c r="AA99" s="224"/>
      <c r="AB99" s="224">
        <v>63</v>
      </c>
      <c r="AC99" s="226">
        <v>5.5</v>
      </c>
      <c r="AD99" s="227">
        <v>58.695464899410354</v>
      </c>
    </row>
    <row r="100" spans="1:30">
      <c r="A100" s="270">
        <v>97</v>
      </c>
      <c r="B100" s="271">
        <v>87</v>
      </c>
      <c r="C100" s="284">
        <f t="shared" si="1"/>
        <v>0.32550335570469796</v>
      </c>
      <c r="D100" s="280" t="s">
        <v>911</v>
      </c>
      <c r="E100" s="281" t="s">
        <v>909</v>
      </c>
      <c r="F100" s="271">
        <v>6</v>
      </c>
      <c r="G100" s="271">
        <v>9</v>
      </c>
      <c r="H100" s="224">
        <v>55.481474358974353</v>
      </c>
      <c r="I100" s="282">
        <v>7</v>
      </c>
      <c r="J100" s="282">
        <v>4</v>
      </c>
      <c r="K100" s="224">
        <v>34.858094677054453</v>
      </c>
      <c r="L100" s="282">
        <v>4</v>
      </c>
      <c r="M100" s="282">
        <v>3</v>
      </c>
      <c r="N100" s="224">
        <v>56.033388888888851</v>
      </c>
      <c r="O100" s="282">
        <v>6</v>
      </c>
      <c r="P100" s="282">
        <v>4</v>
      </c>
      <c r="Q100" s="224">
        <v>56</v>
      </c>
      <c r="R100" s="282">
        <v>6</v>
      </c>
      <c r="S100" s="282">
        <v>4</v>
      </c>
      <c r="T100" s="282"/>
      <c r="U100" s="282"/>
      <c r="V100" s="283"/>
      <c r="W100" s="282"/>
      <c r="X100" s="283"/>
      <c r="Y100" s="283"/>
      <c r="Z100" s="224">
        <v>72.111111111111114</v>
      </c>
      <c r="AA100" s="224">
        <v>76.333333333333343</v>
      </c>
      <c r="AB100" s="224"/>
      <c r="AC100" s="226">
        <v>5.5</v>
      </c>
      <c r="AD100" s="227">
        <v>58.694073158065841</v>
      </c>
    </row>
    <row r="101" spans="1:30">
      <c r="A101" s="279">
        <v>98</v>
      </c>
      <c r="B101" s="271">
        <v>88</v>
      </c>
      <c r="C101" s="284">
        <f t="shared" si="1"/>
        <v>0.32885906040268459</v>
      </c>
      <c r="D101" s="280" t="s">
        <v>352</v>
      </c>
      <c r="E101" s="281" t="s">
        <v>350</v>
      </c>
      <c r="F101" s="271">
        <v>7</v>
      </c>
      <c r="G101" s="271">
        <v>12</v>
      </c>
      <c r="H101" s="224">
        <v>61.464423076923083</v>
      </c>
      <c r="I101" s="282">
        <v>7</v>
      </c>
      <c r="J101" s="282">
        <v>4</v>
      </c>
      <c r="K101" s="224">
        <v>49.457848845598846</v>
      </c>
      <c r="L101" s="282">
        <v>6</v>
      </c>
      <c r="M101" s="282">
        <v>4</v>
      </c>
      <c r="N101" s="224">
        <v>50.844444444444456</v>
      </c>
      <c r="O101" s="282">
        <v>6</v>
      </c>
      <c r="P101" s="282">
        <v>4</v>
      </c>
      <c r="Q101" s="224">
        <v>77</v>
      </c>
      <c r="R101" s="282">
        <v>8</v>
      </c>
      <c r="S101" s="282">
        <v>5</v>
      </c>
      <c r="T101" s="282"/>
      <c r="U101" s="282"/>
      <c r="V101" s="282"/>
      <c r="W101" s="282"/>
      <c r="X101" s="282"/>
      <c r="Y101" s="282"/>
      <c r="Z101" s="224">
        <v>50</v>
      </c>
      <c r="AA101" s="224"/>
      <c r="AB101" s="224">
        <v>71</v>
      </c>
      <c r="AC101" s="226">
        <v>5.5</v>
      </c>
      <c r="AD101" s="227">
        <v>58.412130248539349</v>
      </c>
    </row>
    <row r="102" spans="1:30">
      <c r="A102" s="279">
        <v>99</v>
      </c>
      <c r="B102" s="271">
        <v>89</v>
      </c>
      <c r="C102" s="284">
        <f t="shared" si="1"/>
        <v>0.33221476510067116</v>
      </c>
      <c r="D102" s="280" t="s">
        <v>776</v>
      </c>
      <c r="E102" s="281" t="s">
        <v>774</v>
      </c>
      <c r="F102" s="271">
        <v>7</v>
      </c>
      <c r="G102" s="271">
        <v>10</v>
      </c>
      <c r="H102" s="224">
        <v>53.738461538461536</v>
      </c>
      <c r="I102" s="282">
        <v>6</v>
      </c>
      <c r="J102" s="282">
        <v>4</v>
      </c>
      <c r="K102" s="224">
        <v>47.922733766233762</v>
      </c>
      <c r="L102" s="282">
        <v>6</v>
      </c>
      <c r="M102" s="282">
        <v>4</v>
      </c>
      <c r="N102" s="224">
        <v>54.294444444444451</v>
      </c>
      <c r="O102" s="282">
        <v>6</v>
      </c>
      <c r="P102" s="282">
        <v>4</v>
      </c>
      <c r="Q102" s="224">
        <v>42</v>
      </c>
      <c r="R102" s="282">
        <v>2</v>
      </c>
      <c r="S102" s="282">
        <v>2</v>
      </c>
      <c r="T102" s="282"/>
      <c r="U102" s="282"/>
      <c r="V102" s="282"/>
      <c r="W102" s="282"/>
      <c r="X102" s="282"/>
      <c r="Y102" s="282"/>
      <c r="Z102" s="224">
        <v>76.296296296296291</v>
      </c>
      <c r="AA102" s="224">
        <v>66.333333333333329</v>
      </c>
      <c r="AB102" s="224"/>
      <c r="AC102" s="226">
        <v>5.5</v>
      </c>
      <c r="AD102" s="227">
        <v>58.106412614321698</v>
      </c>
    </row>
    <row r="103" spans="1:30">
      <c r="A103" s="270">
        <v>100</v>
      </c>
      <c r="B103" s="271">
        <v>90</v>
      </c>
      <c r="C103" s="284">
        <f t="shared" si="1"/>
        <v>0.33557046979865773</v>
      </c>
      <c r="D103" s="280" t="s">
        <v>328</v>
      </c>
      <c r="E103" s="281" t="s">
        <v>326</v>
      </c>
      <c r="F103" s="271">
        <v>11</v>
      </c>
      <c r="G103" s="271">
        <v>13</v>
      </c>
      <c r="H103" s="224">
        <v>53.771410256410249</v>
      </c>
      <c r="I103" s="282">
        <v>6</v>
      </c>
      <c r="J103" s="282">
        <v>4</v>
      </c>
      <c r="K103" s="224">
        <v>52.436984695256434</v>
      </c>
      <c r="L103" s="282">
        <v>6</v>
      </c>
      <c r="M103" s="282">
        <v>4</v>
      </c>
      <c r="N103" s="224">
        <v>58.832611111111149</v>
      </c>
      <c r="O103" s="282">
        <v>6</v>
      </c>
      <c r="P103" s="282">
        <v>4</v>
      </c>
      <c r="Q103" s="224">
        <v>76</v>
      </c>
      <c r="R103" s="282">
        <v>8</v>
      </c>
      <c r="S103" s="282">
        <v>5</v>
      </c>
      <c r="T103" s="282"/>
      <c r="U103" s="282"/>
      <c r="V103" s="282"/>
      <c r="W103" s="282"/>
      <c r="X103" s="282"/>
      <c r="Y103" s="282"/>
      <c r="Z103" s="224">
        <v>63.629629629629626</v>
      </c>
      <c r="AA103" s="224"/>
      <c r="AB103" s="224">
        <v>52.8</v>
      </c>
      <c r="AC103" s="226">
        <v>5.5</v>
      </c>
      <c r="AD103" s="227">
        <v>58.085570125892268</v>
      </c>
    </row>
    <row r="104" spans="1:30">
      <c r="A104" s="279">
        <v>101</v>
      </c>
      <c r="B104" s="271">
        <v>91</v>
      </c>
      <c r="C104" s="284">
        <f t="shared" si="1"/>
        <v>0.33892617449664431</v>
      </c>
      <c r="D104" s="280" t="s">
        <v>247</v>
      </c>
      <c r="E104" s="281" t="s">
        <v>245</v>
      </c>
      <c r="F104" s="271">
        <v>2</v>
      </c>
      <c r="G104" s="271">
        <v>3</v>
      </c>
      <c r="H104" s="224">
        <v>55.058782051282051</v>
      </c>
      <c r="I104" s="282">
        <v>7</v>
      </c>
      <c r="J104" s="282">
        <v>4</v>
      </c>
      <c r="K104" s="224">
        <v>33.114261544011541</v>
      </c>
      <c r="L104" s="282">
        <v>4</v>
      </c>
      <c r="M104" s="282">
        <v>3</v>
      </c>
      <c r="N104" s="224">
        <v>70.072222222222194</v>
      </c>
      <c r="O104" s="282">
        <v>8</v>
      </c>
      <c r="P104" s="282">
        <v>5</v>
      </c>
      <c r="Q104" s="224">
        <v>71</v>
      </c>
      <c r="R104" s="282">
        <v>8</v>
      </c>
      <c r="S104" s="282">
        <v>5</v>
      </c>
      <c r="T104" s="282"/>
      <c r="U104" s="282"/>
      <c r="V104" s="282"/>
      <c r="W104" s="282"/>
      <c r="X104" s="282"/>
      <c r="Y104" s="282"/>
      <c r="Z104" s="224">
        <v>65</v>
      </c>
      <c r="AA104" s="224"/>
      <c r="AB104" s="224">
        <v>60</v>
      </c>
      <c r="AC104" s="226">
        <v>5.5</v>
      </c>
      <c r="AD104" s="227">
        <v>57.953684694093788</v>
      </c>
    </row>
    <row r="105" spans="1:30">
      <c r="A105" s="279">
        <v>102</v>
      </c>
      <c r="B105" s="271">
        <v>92</v>
      </c>
      <c r="C105" s="284">
        <f t="shared" si="1"/>
        <v>0.34228187919463088</v>
      </c>
      <c r="D105" s="280" t="s">
        <v>73</v>
      </c>
      <c r="E105" s="281" t="s">
        <v>71</v>
      </c>
      <c r="F105" s="271">
        <v>7</v>
      </c>
      <c r="G105" s="271">
        <v>12</v>
      </c>
      <c r="H105" s="224">
        <v>61.318910256410248</v>
      </c>
      <c r="I105" s="282">
        <v>7</v>
      </c>
      <c r="J105" s="282">
        <v>4</v>
      </c>
      <c r="K105" s="224">
        <v>36.498193362193369</v>
      </c>
      <c r="L105" s="282">
        <v>5</v>
      </c>
      <c r="M105" s="282">
        <v>3</v>
      </c>
      <c r="N105" s="224">
        <v>57.033333333333346</v>
      </c>
      <c r="O105" s="282">
        <v>6</v>
      </c>
      <c r="P105" s="282">
        <v>4</v>
      </c>
      <c r="Q105" s="224">
        <v>60</v>
      </c>
      <c r="R105" s="282">
        <v>7</v>
      </c>
      <c r="S105" s="282">
        <v>4</v>
      </c>
      <c r="T105" s="282"/>
      <c r="U105" s="282"/>
      <c r="V105" s="282"/>
      <c r="W105" s="282"/>
      <c r="X105" s="282"/>
      <c r="Y105" s="282"/>
      <c r="Z105" s="224">
        <v>61</v>
      </c>
      <c r="AA105" s="224"/>
      <c r="AB105" s="224">
        <v>71.5</v>
      </c>
      <c r="AC105" s="226">
        <v>5.5</v>
      </c>
      <c r="AD105" s="227">
        <v>57.700079445806722</v>
      </c>
    </row>
    <row r="106" spans="1:30">
      <c r="A106" s="270">
        <v>103</v>
      </c>
      <c r="B106" s="271">
        <v>93</v>
      </c>
      <c r="C106" s="284">
        <f t="shared" si="1"/>
        <v>0.34563758389261745</v>
      </c>
      <c r="D106" s="280" t="s">
        <v>557</v>
      </c>
      <c r="E106" s="281" t="s">
        <v>555</v>
      </c>
      <c r="F106" s="271">
        <v>4</v>
      </c>
      <c r="G106" s="271">
        <v>6</v>
      </c>
      <c r="H106" s="224">
        <v>50.976089743589739</v>
      </c>
      <c r="I106" s="282">
        <v>6</v>
      </c>
      <c r="J106" s="282">
        <v>4</v>
      </c>
      <c r="K106" s="224">
        <v>53.834321838071837</v>
      </c>
      <c r="L106" s="282">
        <v>6</v>
      </c>
      <c r="M106" s="282">
        <v>4</v>
      </c>
      <c r="N106" s="224">
        <v>51.849722222222205</v>
      </c>
      <c r="O106" s="282">
        <v>6</v>
      </c>
      <c r="P106" s="282">
        <v>4</v>
      </c>
      <c r="Q106" s="224">
        <v>76</v>
      </c>
      <c r="R106" s="282">
        <v>8</v>
      </c>
      <c r="S106" s="282">
        <v>5</v>
      </c>
      <c r="T106" s="282"/>
      <c r="U106" s="282"/>
      <c r="V106" s="282"/>
      <c r="W106" s="282"/>
      <c r="X106" s="282"/>
      <c r="Y106" s="282"/>
      <c r="Z106" s="224">
        <v>65.296296296296305</v>
      </c>
      <c r="AA106" s="224"/>
      <c r="AB106" s="224">
        <v>57</v>
      </c>
      <c r="AC106" s="226">
        <v>5.5</v>
      </c>
      <c r="AD106" s="227">
        <v>57.628441836396384</v>
      </c>
    </row>
    <row r="107" spans="1:30">
      <c r="A107" s="279">
        <v>104</v>
      </c>
      <c r="B107" s="271">
        <v>94</v>
      </c>
      <c r="C107" s="284">
        <f t="shared" si="1"/>
        <v>0.34899328859060402</v>
      </c>
      <c r="D107" s="280" t="s">
        <v>295</v>
      </c>
      <c r="E107" s="281" t="s">
        <v>2066</v>
      </c>
      <c r="F107" s="271" t="s">
        <v>1002</v>
      </c>
      <c r="G107" s="271" t="s">
        <v>2059</v>
      </c>
      <c r="H107" s="224">
        <v>44.834743589743596</v>
      </c>
      <c r="I107" s="282">
        <v>5</v>
      </c>
      <c r="J107" s="282">
        <v>3</v>
      </c>
      <c r="K107" s="224">
        <v>84.181472690222691</v>
      </c>
      <c r="L107" s="282">
        <v>9</v>
      </c>
      <c r="M107" s="282">
        <v>5</v>
      </c>
      <c r="N107" s="224">
        <v>56.02983333333335</v>
      </c>
      <c r="O107" s="282">
        <v>6</v>
      </c>
      <c r="P107" s="282">
        <v>4</v>
      </c>
      <c r="Q107" s="224">
        <v>42</v>
      </c>
      <c r="R107" s="282">
        <v>5</v>
      </c>
      <c r="S107" s="282">
        <v>3</v>
      </c>
      <c r="T107" s="282"/>
      <c r="U107" s="282"/>
      <c r="V107" s="282"/>
      <c r="W107" s="282"/>
      <c r="X107" s="282"/>
      <c r="Y107" s="282"/>
      <c r="Z107" s="224">
        <v>68.370370370370381</v>
      </c>
      <c r="AA107" s="224"/>
      <c r="AB107" s="224">
        <v>40</v>
      </c>
      <c r="AC107" s="226">
        <v>5.5</v>
      </c>
      <c r="AD107" s="227">
        <v>57.166621815212736</v>
      </c>
    </row>
    <row r="108" spans="1:30">
      <c r="A108" s="279">
        <v>105</v>
      </c>
      <c r="B108" s="271">
        <v>95</v>
      </c>
      <c r="C108" s="284">
        <f t="shared" si="1"/>
        <v>0.3523489932885906</v>
      </c>
      <c r="D108" s="280" t="s">
        <v>205</v>
      </c>
      <c r="E108" s="281" t="s">
        <v>203</v>
      </c>
      <c r="F108" s="271">
        <v>11</v>
      </c>
      <c r="G108" s="271">
        <v>16</v>
      </c>
      <c r="H108" s="224">
        <v>60.526987179487179</v>
      </c>
      <c r="I108" s="282">
        <v>7</v>
      </c>
      <c r="J108" s="282">
        <v>4</v>
      </c>
      <c r="K108" s="224">
        <v>42.875617720443799</v>
      </c>
      <c r="L108" s="282">
        <v>5</v>
      </c>
      <c r="M108" s="282">
        <v>3</v>
      </c>
      <c r="N108" s="224">
        <v>53.333611111111139</v>
      </c>
      <c r="O108" s="282">
        <v>6</v>
      </c>
      <c r="P108" s="282">
        <v>4</v>
      </c>
      <c r="Q108" s="224">
        <v>68</v>
      </c>
      <c r="R108" s="282">
        <v>7</v>
      </c>
      <c r="S108" s="282">
        <v>4</v>
      </c>
      <c r="T108" s="282"/>
      <c r="U108" s="282"/>
      <c r="V108" s="282"/>
      <c r="W108" s="282"/>
      <c r="X108" s="282"/>
      <c r="Y108" s="282"/>
      <c r="Z108" s="224">
        <v>58.185185185185183</v>
      </c>
      <c r="AA108" s="224"/>
      <c r="AB108" s="224">
        <v>65.2</v>
      </c>
      <c r="AC108" s="226">
        <v>5.5</v>
      </c>
      <c r="AD108" s="227">
        <v>57.112982035677696</v>
      </c>
    </row>
    <row r="109" spans="1:30">
      <c r="A109" s="270">
        <v>106</v>
      </c>
      <c r="B109" s="271">
        <v>96</v>
      </c>
      <c r="C109" s="284">
        <f t="shared" si="1"/>
        <v>0.35570469798657717</v>
      </c>
      <c r="D109" s="280" t="s">
        <v>649</v>
      </c>
      <c r="E109" s="281" t="s">
        <v>647</v>
      </c>
      <c r="F109" s="271">
        <v>2</v>
      </c>
      <c r="G109" s="287" t="s">
        <v>2067</v>
      </c>
      <c r="H109" s="224">
        <v>54.478653846153847</v>
      </c>
      <c r="I109" s="282">
        <v>6</v>
      </c>
      <c r="J109" s="282">
        <v>4</v>
      </c>
      <c r="K109" s="224">
        <v>29.828526334776335</v>
      </c>
      <c r="L109" s="282">
        <v>4</v>
      </c>
      <c r="M109" s="282">
        <v>3</v>
      </c>
      <c r="N109" s="224">
        <v>68.272222222222211</v>
      </c>
      <c r="O109" s="282">
        <v>7</v>
      </c>
      <c r="P109" s="282">
        <v>4</v>
      </c>
      <c r="Q109" s="224"/>
      <c r="R109" s="282"/>
      <c r="S109" s="282"/>
      <c r="T109" s="282"/>
      <c r="U109" s="282"/>
      <c r="V109" s="282"/>
      <c r="W109" s="224"/>
      <c r="X109" s="282"/>
      <c r="Y109" s="282"/>
      <c r="Z109" s="282"/>
      <c r="AA109" s="224">
        <v>75.333333333333329</v>
      </c>
      <c r="AB109" s="224"/>
      <c r="AC109" s="226">
        <v>4</v>
      </c>
      <c r="AD109" s="227">
        <v>56.978183934121432</v>
      </c>
    </row>
    <row r="110" spans="1:30">
      <c r="A110" s="279">
        <v>107</v>
      </c>
      <c r="B110" s="271">
        <v>97</v>
      </c>
      <c r="C110" s="284">
        <f t="shared" si="1"/>
        <v>0.35906040268456374</v>
      </c>
      <c r="D110" s="280" t="s">
        <v>70</v>
      </c>
      <c r="E110" s="281" t="s">
        <v>68</v>
      </c>
      <c r="F110" s="271">
        <v>10</v>
      </c>
      <c r="G110" s="271">
        <v>14</v>
      </c>
      <c r="H110" s="224">
        <v>57.228653846153847</v>
      </c>
      <c r="I110" s="282">
        <v>7</v>
      </c>
      <c r="J110" s="282">
        <v>4</v>
      </c>
      <c r="K110" s="224">
        <v>49.252023809523806</v>
      </c>
      <c r="L110" s="282">
        <v>6</v>
      </c>
      <c r="M110" s="282">
        <v>4</v>
      </c>
      <c r="N110" s="224">
        <v>58.204666666666647</v>
      </c>
      <c r="O110" s="282">
        <v>6</v>
      </c>
      <c r="P110" s="282">
        <v>4</v>
      </c>
      <c r="Q110" s="224">
        <v>64</v>
      </c>
      <c r="R110" s="282">
        <v>7</v>
      </c>
      <c r="S110" s="282">
        <v>4</v>
      </c>
      <c r="T110" s="282"/>
      <c r="U110" s="282"/>
      <c r="V110" s="282"/>
      <c r="W110" s="282"/>
      <c r="X110" s="282"/>
      <c r="Y110" s="282"/>
      <c r="Z110" s="224">
        <v>57.592592592592595</v>
      </c>
      <c r="AA110" s="224"/>
      <c r="AB110" s="224">
        <v>58.5</v>
      </c>
      <c r="AC110" s="226">
        <v>5.5</v>
      </c>
      <c r="AD110" s="227">
        <v>56.868715802715798</v>
      </c>
    </row>
    <row r="111" spans="1:30">
      <c r="A111" s="279">
        <v>108</v>
      </c>
      <c r="B111" s="271">
        <v>98</v>
      </c>
      <c r="C111" s="284">
        <f t="shared" si="1"/>
        <v>0.36241610738255031</v>
      </c>
      <c r="D111" s="280" t="s">
        <v>566</v>
      </c>
      <c r="E111" s="281" t="s">
        <v>564</v>
      </c>
      <c r="F111" s="271">
        <v>9</v>
      </c>
      <c r="G111" s="271">
        <v>13</v>
      </c>
      <c r="H111" s="224">
        <v>52.481346153846154</v>
      </c>
      <c r="I111" s="282">
        <v>6</v>
      </c>
      <c r="J111" s="282">
        <v>4</v>
      </c>
      <c r="K111" s="224">
        <v>39.322843145743143</v>
      </c>
      <c r="L111" s="282">
        <v>5</v>
      </c>
      <c r="M111" s="282">
        <v>3</v>
      </c>
      <c r="N111" s="224">
        <v>61.124277777777756</v>
      </c>
      <c r="O111" s="282">
        <v>7</v>
      </c>
      <c r="P111" s="282">
        <v>4</v>
      </c>
      <c r="Q111" s="224">
        <v>55</v>
      </c>
      <c r="R111" s="282">
        <v>6</v>
      </c>
      <c r="S111" s="282">
        <v>4</v>
      </c>
      <c r="T111" s="282"/>
      <c r="U111" s="282"/>
      <c r="V111" s="282"/>
      <c r="W111" s="282"/>
      <c r="X111" s="282"/>
      <c r="Y111" s="282"/>
      <c r="Z111" s="224">
        <v>72.518518518518505</v>
      </c>
      <c r="AA111" s="224"/>
      <c r="AB111" s="224">
        <v>59.5</v>
      </c>
      <c r="AC111" s="226">
        <v>5.5</v>
      </c>
      <c r="AD111" s="227">
        <v>56.808542835615555</v>
      </c>
    </row>
    <row r="112" spans="1:30">
      <c r="A112" s="270">
        <v>109</v>
      </c>
      <c r="B112" s="271">
        <v>99</v>
      </c>
      <c r="C112" s="284">
        <f t="shared" si="1"/>
        <v>0.36577181208053694</v>
      </c>
      <c r="D112" s="280" t="s">
        <v>241</v>
      </c>
      <c r="E112" s="281" t="s">
        <v>239</v>
      </c>
      <c r="F112" s="271">
        <v>8</v>
      </c>
      <c r="G112" s="271">
        <v>11</v>
      </c>
      <c r="H112" s="224">
        <v>58.646410256410256</v>
      </c>
      <c r="I112" s="282">
        <v>7</v>
      </c>
      <c r="J112" s="282">
        <v>4</v>
      </c>
      <c r="K112" s="224">
        <v>43.501270409542144</v>
      </c>
      <c r="L112" s="282">
        <v>5</v>
      </c>
      <c r="M112" s="282">
        <v>3</v>
      </c>
      <c r="N112" s="224">
        <v>56.961111111111144</v>
      </c>
      <c r="O112" s="282">
        <v>6</v>
      </c>
      <c r="P112" s="282">
        <v>4</v>
      </c>
      <c r="Q112" s="224">
        <v>55</v>
      </c>
      <c r="R112" s="282">
        <v>6</v>
      </c>
      <c r="S112" s="282">
        <v>4</v>
      </c>
      <c r="T112" s="282"/>
      <c r="U112" s="282"/>
      <c r="V112" s="282"/>
      <c r="W112" s="282"/>
      <c r="X112" s="282"/>
      <c r="Y112" s="282"/>
      <c r="Z112" s="224">
        <v>69.444444444444443</v>
      </c>
      <c r="AA112" s="224"/>
      <c r="AB112" s="224">
        <v>56.1</v>
      </c>
      <c r="AC112" s="226">
        <v>5.5</v>
      </c>
      <c r="AD112" s="227">
        <v>56.755133858455999</v>
      </c>
    </row>
    <row r="113" spans="1:30">
      <c r="A113" s="279">
        <v>110</v>
      </c>
      <c r="B113" s="271">
        <v>100</v>
      </c>
      <c r="C113" s="284">
        <f t="shared" si="1"/>
        <v>0.36912751677852351</v>
      </c>
      <c r="D113" s="280" t="s">
        <v>455</v>
      </c>
      <c r="E113" s="281" t="s">
        <v>453</v>
      </c>
      <c r="F113" s="271">
        <v>4</v>
      </c>
      <c r="G113" s="271">
        <v>4</v>
      </c>
      <c r="H113" s="224">
        <v>44.843205128205128</v>
      </c>
      <c r="I113" s="282">
        <v>5</v>
      </c>
      <c r="J113" s="282">
        <v>3</v>
      </c>
      <c r="K113" s="224">
        <v>43.072185805935803</v>
      </c>
      <c r="L113" s="282">
        <v>5</v>
      </c>
      <c r="M113" s="282">
        <v>3</v>
      </c>
      <c r="N113" s="224">
        <v>57.487000000000009</v>
      </c>
      <c r="O113" s="282">
        <v>6</v>
      </c>
      <c r="P113" s="282">
        <v>4</v>
      </c>
      <c r="Q113" s="224">
        <v>55</v>
      </c>
      <c r="R113" s="282">
        <v>6</v>
      </c>
      <c r="S113" s="282">
        <v>4</v>
      </c>
      <c r="T113" s="282"/>
      <c r="U113" s="282"/>
      <c r="V113" s="282"/>
      <c r="W113" s="282"/>
      <c r="X113" s="282"/>
      <c r="Y113" s="282"/>
      <c r="Z113" s="224">
        <v>68.481481481481481</v>
      </c>
      <c r="AA113" s="224">
        <v>70.666666666666671</v>
      </c>
      <c r="AB113" s="224"/>
      <c r="AC113" s="226">
        <v>5.5</v>
      </c>
      <c r="AD113" s="227">
        <v>56.736461651325293</v>
      </c>
    </row>
    <row r="114" spans="1:30">
      <c r="A114" s="279">
        <v>111</v>
      </c>
      <c r="B114" s="271">
        <v>101</v>
      </c>
      <c r="C114" s="284">
        <f t="shared" si="1"/>
        <v>0.37248322147651008</v>
      </c>
      <c r="D114" s="280" t="s">
        <v>154</v>
      </c>
      <c r="E114" s="281" t="s">
        <v>152</v>
      </c>
      <c r="F114" s="271">
        <v>6</v>
      </c>
      <c r="G114" s="271">
        <v>9</v>
      </c>
      <c r="H114" s="224">
        <v>54.542820512820512</v>
      </c>
      <c r="I114" s="282">
        <v>6</v>
      </c>
      <c r="J114" s="282">
        <v>4</v>
      </c>
      <c r="K114" s="224">
        <v>38.397182106099301</v>
      </c>
      <c r="L114" s="282">
        <v>5</v>
      </c>
      <c r="M114" s="282">
        <v>3</v>
      </c>
      <c r="N114" s="224">
        <v>49.910833333333343</v>
      </c>
      <c r="O114" s="282">
        <v>5</v>
      </c>
      <c r="P114" s="282">
        <v>3</v>
      </c>
      <c r="Q114" s="224">
        <v>63</v>
      </c>
      <c r="R114" s="282">
        <v>7</v>
      </c>
      <c r="S114" s="282">
        <v>4</v>
      </c>
      <c r="T114" s="282"/>
      <c r="U114" s="282"/>
      <c r="V114" s="282"/>
      <c r="W114" s="282"/>
      <c r="X114" s="282"/>
      <c r="Y114" s="282"/>
      <c r="Z114" s="224">
        <v>65.481481481481481</v>
      </c>
      <c r="AA114" s="224"/>
      <c r="AB114" s="224">
        <v>72</v>
      </c>
      <c r="AC114" s="226">
        <v>5.5</v>
      </c>
      <c r="AD114" s="227">
        <v>56.696784987951744</v>
      </c>
    </row>
    <row r="115" spans="1:30">
      <c r="A115" s="270">
        <v>112</v>
      </c>
      <c r="B115" s="271">
        <v>102</v>
      </c>
      <c r="C115" s="284">
        <f t="shared" si="1"/>
        <v>0.37583892617449666</v>
      </c>
      <c r="D115" s="280" t="s">
        <v>57</v>
      </c>
      <c r="E115" s="281" t="s">
        <v>55</v>
      </c>
      <c r="F115" s="271">
        <v>11</v>
      </c>
      <c r="G115" s="271">
        <v>13</v>
      </c>
      <c r="H115" s="224">
        <v>50.046025641025636</v>
      </c>
      <c r="I115" s="282">
        <v>6</v>
      </c>
      <c r="J115" s="282">
        <v>4</v>
      </c>
      <c r="K115" s="224">
        <v>40.371295548654246</v>
      </c>
      <c r="L115" s="282">
        <v>5</v>
      </c>
      <c r="M115" s="282">
        <v>3</v>
      </c>
      <c r="N115" s="224">
        <v>53.591666666666697</v>
      </c>
      <c r="O115" s="282">
        <v>6</v>
      </c>
      <c r="P115" s="282">
        <v>4</v>
      </c>
      <c r="Q115" s="224">
        <v>63</v>
      </c>
      <c r="R115" s="282">
        <v>7</v>
      </c>
      <c r="S115" s="282">
        <v>4</v>
      </c>
      <c r="T115" s="282"/>
      <c r="U115" s="282"/>
      <c r="V115" s="282"/>
      <c r="W115" s="282"/>
      <c r="X115" s="282"/>
      <c r="Y115" s="282"/>
      <c r="Z115" s="224">
        <v>69.259259259259267</v>
      </c>
      <c r="AA115" s="224"/>
      <c r="AB115" s="224">
        <v>66.8</v>
      </c>
      <c r="AC115" s="226">
        <v>5.5</v>
      </c>
      <c r="AD115" s="227">
        <v>56.648772202837428</v>
      </c>
    </row>
    <row r="116" spans="1:30">
      <c r="A116" s="279">
        <v>113</v>
      </c>
      <c r="B116" s="271">
        <v>103</v>
      </c>
      <c r="C116" s="284">
        <f t="shared" si="1"/>
        <v>0.37919463087248323</v>
      </c>
      <c r="D116" s="280" t="s">
        <v>403</v>
      </c>
      <c r="E116" s="281" t="s">
        <v>401</v>
      </c>
      <c r="F116" s="271">
        <v>10</v>
      </c>
      <c r="G116" s="271">
        <v>13</v>
      </c>
      <c r="H116" s="224">
        <v>61.185128205128201</v>
      </c>
      <c r="I116" s="282">
        <v>7</v>
      </c>
      <c r="J116" s="282">
        <v>4</v>
      </c>
      <c r="K116" s="224">
        <v>39.198416305916311</v>
      </c>
      <c r="L116" s="282">
        <v>5</v>
      </c>
      <c r="M116" s="282">
        <v>3</v>
      </c>
      <c r="N116" s="224">
        <v>57.2</v>
      </c>
      <c r="O116" s="282">
        <v>6</v>
      </c>
      <c r="P116" s="282">
        <v>4</v>
      </c>
      <c r="Q116" s="224">
        <v>53</v>
      </c>
      <c r="R116" s="282">
        <v>6</v>
      </c>
      <c r="S116" s="282">
        <v>4</v>
      </c>
      <c r="T116" s="282"/>
      <c r="U116" s="282"/>
      <c r="V116" s="282"/>
      <c r="W116" s="282"/>
      <c r="X116" s="282"/>
      <c r="Y116" s="282"/>
      <c r="Z116" s="224">
        <v>71.592592592592595</v>
      </c>
      <c r="AA116" s="224"/>
      <c r="AB116" s="224">
        <v>54</v>
      </c>
      <c r="AC116" s="226">
        <v>5.5</v>
      </c>
      <c r="AD116" s="227">
        <v>56.304752200661298</v>
      </c>
    </row>
    <row r="117" spans="1:30">
      <c r="A117" s="279">
        <v>114</v>
      </c>
      <c r="B117" s="271">
        <v>104</v>
      </c>
      <c r="C117" s="284">
        <f t="shared" si="1"/>
        <v>0.3825503355704698</v>
      </c>
      <c r="D117" s="280" t="s">
        <v>533</v>
      </c>
      <c r="E117" s="281" t="s">
        <v>531</v>
      </c>
      <c r="F117" s="271">
        <v>7</v>
      </c>
      <c r="G117" s="271">
        <v>12</v>
      </c>
      <c r="H117" s="224">
        <v>51.112756410256409</v>
      </c>
      <c r="I117" s="282">
        <v>6</v>
      </c>
      <c r="J117" s="282">
        <v>4</v>
      </c>
      <c r="K117" s="224">
        <v>47.595713564213561</v>
      </c>
      <c r="L117" s="282">
        <v>6</v>
      </c>
      <c r="M117" s="282">
        <v>4</v>
      </c>
      <c r="N117" s="224">
        <v>65.427777777777749</v>
      </c>
      <c r="O117" s="282">
        <v>7</v>
      </c>
      <c r="P117" s="282">
        <v>4</v>
      </c>
      <c r="Q117" s="224">
        <v>59</v>
      </c>
      <c r="R117" s="282">
        <v>6</v>
      </c>
      <c r="S117" s="282">
        <v>4</v>
      </c>
      <c r="T117" s="282"/>
      <c r="U117" s="282"/>
      <c r="V117" s="282"/>
      <c r="W117" s="282"/>
      <c r="X117" s="282"/>
      <c r="Y117" s="282"/>
      <c r="Z117" s="224">
        <v>45.037037037037038</v>
      </c>
      <c r="AA117" s="224">
        <v>69</v>
      </c>
      <c r="AB117" s="224"/>
      <c r="AC117" s="226">
        <v>5.5</v>
      </c>
      <c r="AD117" s="227">
        <v>55.940597234415414</v>
      </c>
    </row>
    <row r="118" spans="1:30">
      <c r="A118" s="270">
        <v>115</v>
      </c>
      <c r="B118" s="271">
        <v>105</v>
      </c>
      <c r="C118" s="284">
        <f t="shared" si="1"/>
        <v>0.38590604026845637</v>
      </c>
      <c r="D118" s="280" t="s">
        <v>742</v>
      </c>
      <c r="E118" s="281" t="s">
        <v>740</v>
      </c>
      <c r="F118" s="271">
        <v>10</v>
      </c>
      <c r="G118" s="271">
        <v>14</v>
      </c>
      <c r="H118" s="224">
        <v>58.959423076923073</v>
      </c>
      <c r="I118" s="282">
        <v>7</v>
      </c>
      <c r="J118" s="282">
        <v>4</v>
      </c>
      <c r="K118" s="224">
        <v>40.941379870129872</v>
      </c>
      <c r="L118" s="282">
        <v>5</v>
      </c>
      <c r="M118" s="282">
        <v>3</v>
      </c>
      <c r="N118" s="224">
        <v>51.516166666666649</v>
      </c>
      <c r="O118" s="282">
        <v>6</v>
      </c>
      <c r="P118" s="282">
        <v>4</v>
      </c>
      <c r="Q118" s="224">
        <v>43</v>
      </c>
      <c r="R118" s="282">
        <v>5</v>
      </c>
      <c r="S118" s="282">
        <v>3</v>
      </c>
      <c r="T118" s="282"/>
      <c r="U118" s="282"/>
      <c r="V118" s="282"/>
      <c r="W118" s="282"/>
      <c r="X118" s="282"/>
      <c r="Y118" s="282"/>
      <c r="Z118" s="224">
        <v>72.074074074074076</v>
      </c>
      <c r="AA118" s="224"/>
      <c r="AB118" s="224">
        <v>61.5</v>
      </c>
      <c r="AC118" s="226">
        <v>5.5</v>
      </c>
      <c r="AD118" s="227">
        <v>55.725644306871573</v>
      </c>
    </row>
    <row r="119" spans="1:30">
      <c r="A119" s="279">
        <v>116</v>
      </c>
      <c r="B119" s="271">
        <v>106</v>
      </c>
      <c r="C119" s="284">
        <f t="shared" si="1"/>
        <v>0.38926174496644295</v>
      </c>
      <c r="D119" s="280" t="s">
        <v>148</v>
      </c>
      <c r="E119" s="281" t="s">
        <v>146</v>
      </c>
      <c r="F119" s="271">
        <v>7</v>
      </c>
      <c r="G119" s="271">
        <v>10</v>
      </c>
      <c r="H119" s="224">
        <v>50.841538461538462</v>
      </c>
      <c r="I119" s="282">
        <v>6</v>
      </c>
      <c r="J119" s="282">
        <v>4</v>
      </c>
      <c r="K119" s="224">
        <v>36.863904040404044</v>
      </c>
      <c r="L119" s="282">
        <v>5</v>
      </c>
      <c r="M119" s="282">
        <v>3</v>
      </c>
      <c r="N119" s="224">
        <v>48.688888888888897</v>
      </c>
      <c r="O119" s="282">
        <v>5</v>
      </c>
      <c r="P119" s="282">
        <v>3</v>
      </c>
      <c r="Q119" s="224">
        <v>53</v>
      </c>
      <c r="R119" s="282">
        <v>6</v>
      </c>
      <c r="S119" s="282">
        <v>4</v>
      </c>
      <c r="T119" s="282"/>
      <c r="U119" s="282"/>
      <c r="V119" s="282"/>
      <c r="W119" s="282"/>
      <c r="X119" s="282"/>
      <c r="Y119" s="282"/>
      <c r="Z119" s="224">
        <v>68.18518518518519</v>
      </c>
      <c r="AA119" s="224">
        <v>74</v>
      </c>
      <c r="AB119" s="224"/>
      <c r="AC119" s="226">
        <v>5.5</v>
      </c>
      <c r="AD119" s="227">
        <v>55.469003013821201</v>
      </c>
    </row>
    <row r="120" spans="1:30">
      <c r="A120" s="279">
        <v>117</v>
      </c>
      <c r="B120" s="271">
        <v>107</v>
      </c>
      <c r="C120" s="284">
        <f t="shared" si="1"/>
        <v>0.39261744966442952</v>
      </c>
      <c r="D120" s="280" t="s">
        <v>718</v>
      </c>
      <c r="E120" s="281" t="s">
        <v>716</v>
      </c>
      <c r="F120" s="271">
        <v>10</v>
      </c>
      <c r="G120" s="271">
        <v>14</v>
      </c>
      <c r="H120" s="224">
        <v>47.401238461538462</v>
      </c>
      <c r="I120" s="282">
        <v>6</v>
      </c>
      <c r="J120" s="282">
        <v>4</v>
      </c>
      <c r="K120" s="224">
        <v>33.066715029761895</v>
      </c>
      <c r="L120" s="282">
        <v>4</v>
      </c>
      <c r="M120" s="282">
        <v>3</v>
      </c>
      <c r="N120" s="224">
        <v>54.806388888888897</v>
      </c>
      <c r="O120" s="282">
        <v>6</v>
      </c>
      <c r="P120" s="282">
        <v>4</v>
      </c>
      <c r="Q120" s="224">
        <v>76</v>
      </c>
      <c r="R120" s="282">
        <v>8</v>
      </c>
      <c r="S120" s="282">
        <v>5</v>
      </c>
      <c r="T120" s="282"/>
      <c r="U120" s="282"/>
      <c r="V120" s="282"/>
      <c r="W120" s="282"/>
      <c r="X120" s="282"/>
      <c r="Y120" s="282"/>
      <c r="Z120" s="224">
        <v>57.18055555555555</v>
      </c>
      <c r="AA120" s="224"/>
      <c r="AB120" s="224">
        <v>74</v>
      </c>
      <c r="AC120" s="226">
        <v>5.5</v>
      </c>
      <c r="AD120" s="227">
        <v>55.355435988317247</v>
      </c>
    </row>
    <row r="121" spans="1:30">
      <c r="A121" s="270">
        <v>118</v>
      </c>
      <c r="B121" s="271">
        <v>108</v>
      </c>
      <c r="C121" s="284">
        <f t="shared" si="1"/>
        <v>0.39597315436241609</v>
      </c>
      <c r="D121" s="280" t="s">
        <v>536</v>
      </c>
      <c r="E121" s="281" t="s">
        <v>534</v>
      </c>
      <c r="F121" s="271">
        <v>7</v>
      </c>
      <c r="G121" s="271">
        <v>12</v>
      </c>
      <c r="H121" s="224">
        <v>48.48346153846154</v>
      </c>
      <c r="I121" s="282">
        <v>6</v>
      </c>
      <c r="J121" s="282">
        <v>4</v>
      </c>
      <c r="K121" s="224">
        <v>37.076182178932179</v>
      </c>
      <c r="L121" s="282">
        <v>5</v>
      </c>
      <c r="M121" s="282">
        <v>3</v>
      </c>
      <c r="N121" s="224">
        <v>57.822222222222202</v>
      </c>
      <c r="O121" s="282">
        <v>6</v>
      </c>
      <c r="P121" s="282">
        <v>4</v>
      </c>
      <c r="Q121" s="224">
        <v>53</v>
      </c>
      <c r="R121" s="282">
        <v>6</v>
      </c>
      <c r="S121" s="282">
        <v>4</v>
      </c>
      <c r="T121" s="282"/>
      <c r="U121" s="282"/>
      <c r="V121" s="282"/>
      <c r="W121" s="282"/>
      <c r="X121" s="282"/>
      <c r="Y121" s="282"/>
      <c r="Z121" s="224">
        <v>60.111111111111107</v>
      </c>
      <c r="AA121" s="224"/>
      <c r="AB121" s="224">
        <v>73</v>
      </c>
      <c r="AC121" s="226">
        <v>5.5</v>
      </c>
      <c r="AD121" s="227">
        <v>55.089632191041282</v>
      </c>
    </row>
    <row r="122" spans="1:30">
      <c r="A122" s="279">
        <v>119</v>
      </c>
      <c r="B122" s="271">
        <v>109</v>
      </c>
      <c r="C122" s="284">
        <f t="shared" si="1"/>
        <v>0.39932885906040266</v>
      </c>
      <c r="D122" s="280" t="s">
        <v>394</v>
      </c>
      <c r="E122" s="281" t="s">
        <v>392</v>
      </c>
      <c r="F122" s="271">
        <v>9</v>
      </c>
      <c r="G122" s="271">
        <v>14</v>
      </c>
      <c r="H122" s="224">
        <v>51.110512820512824</v>
      </c>
      <c r="I122" s="282">
        <v>6</v>
      </c>
      <c r="J122" s="282">
        <v>4</v>
      </c>
      <c r="K122" s="224">
        <v>38.920024747474741</v>
      </c>
      <c r="L122" s="282">
        <v>5</v>
      </c>
      <c r="M122" s="282">
        <v>3</v>
      </c>
      <c r="N122" s="224">
        <v>57.318111111111143</v>
      </c>
      <c r="O122" s="282">
        <v>6</v>
      </c>
      <c r="P122" s="282">
        <v>4</v>
      </c>
      <c r="Q122" s="224">
        <v>52</v>
      </c>
      <c r="R122" s="282">
        <v>6</v>
      </c>
      <c r="S122" s="282">
        <v>4</v>
      </c>
      <c r="T122" s="282"/>
      <c r="U122" s="282"/>
      <c r="V122" s="282"/>
      <c r="W122" s="282"/>
      <c r="X122" s="282"/>
      <c r="Y122" s="282"/>
      <c r="Z122" s="224">
        <v>62.370370370370381</v>
      </c>
      <c r="AA122" s="224"/>
      <c r="AB122" s="224">
        <v>67</v>
      </c>
      <c r="AC122" s="226">
        <v>5.5</v>
      </c>
      <c r="AD122" s="227">
        <v>55.039821645358025</v>
      </c>
    </row>
    <row r="123" spans="1:30">
      <c r="A123" s="279">
        <v>120</v>
      </c>
      <c r="B123" s="271" t="s">
        <v>1993</v>
      </c>
      <c r="C123" s="284">
        <f t="shared" si="1"/>
        <v>0.40268456375838924</v>
      </c>
      <c r="D123" s="280" t="s">
        <v>36</v>
      </c>
      <c r="E123" s="281" t="s">
        <v>34</v>
      </c>
      <c r="F123" s="271">
        <v>1</v>
      </c>
      <c r="G123" s="271">
        <v>3</v>
      </c>
      <c r="H123" s="224">
        <v>62.069615384615389</v>
      </c>
      <c r="I123" s="282">
        <v>7</v>
      </c>
      <c r="J123" s="282">
        <v>4</v>
      </c>
      <c r="K123" s="224">
        <v>61.270509018759014</v>
      </c>
      <c r="L123" s="282">
        <v>7</v>
      </c>
      <c r="M123" s="282">
        <v>4</v>
      </c>
      <c r="N123" s="224">
        <v>72.710222222222242</v>
      </c>
      <c r="O123" s="282">
        <v>8</v>
      </c>
      <c r="P123" s="282">
        <v>5</v>
      </c>
      <c r="Q123" s="224"/>
      <c r="R123" s="282"/>
      <c r="S123" s="282"/>
      <c r="T123" s="282"/>
      <c r="U123" s="282"/>
      <c r="V123" s="282"/>
      <c r="W123" s="224">
        <v>60</v>
      </c>
      <c r="X123" s="282">
        <v>6</v>
      </c>
      <c r="Y123" s="282">
        <v>4</v>
      </c>
      <c r="Z123" s="224">
        <v>46.18518518518519</v>
      </c>
      <c r="AA123" s="224"/>
      <c r="AB123" s="224">
        <v>30</v>
      </c>
      <c r="AC123" s="226">
        <v>5.5</v>
      </c>
      <c r="AD123" s="227">
        <v>54.951914874687603</v>
      </c>
    </row>
    <row r="124" spans="1:30">
      <c r="A124" s="270">
        <v>121</v>
      </c>
      <c r="B124" s="271">
        <v>110</v>
      </c>
      <c r="C124" s="284">
        <f t="shared" si="1"/>
        <v>0.40604026845637586</v>
      </c>
      <c r="D124" s="280" t="s">
        <v>637</v>
      </c>
      <c r="E124" s="281" t="s">
        <v>635</v>
      </c>
      <c r="F124" s="271">
        <v>6</v>
      </c>
      <c r="G124" s="271">
        <v>8</v>
      </c>
      <c r="H124" s="224">
        <v>54.087499999999999</v>
      </c>
      <c r="I124" s="282">
        <v>6</v>
      </c>
      <c r="J124" s="282">
        <v>4</v>
      </c>
      <c r="K124" s="224">
        <v>35.496613312029716</v>
      </c>
      <c r="L124" s="282">
        <v>5</v>
      </c>
      <c r="M124" s="282">
        <v>3</v>
      </c>
      <c r="N124" s="224">
        <v>53.805111111111103</v>
      </c>
      <c r="O124" s="282">
        <v>6</v>
      </c>
      <c r="P124" s="282">
        <v>4</v>
      </c>
      <c r="Q124" s="224">
        <v>60</v>
      </c>
      <c r="R124" s="282">
        <v>7</v>
      </c>
      <c r="S124" s="282">
        <v>4</v>
      </c>
      <c r="T124" s="282"/>
      <c r="U124" s="282"/>
      <c r="V124" s="282"/>
      <c r="W124" s="282"/>
      <c r="X124" s="282"/>
      <c r="Y124" s="282"/>
      <c r="Z124" s="224">
        <v>67.888888888888886</v>
      </c>
      <c r="AA124" s="224"/>
      <c r="AB124" s="224">
        <v>60.5</v>
      </c>
      <c r="AC124" s="226">
        <v>5.5</v>
      </c>
      <c r="AD124" s="227">
        <v>54.868747874914497</v>
      </c>
    </row>
    <row r="125" spans="1:30">
      <c r="A125" s="279">
        <v>122</v>
      </c>
      <c r="B125" s="271">
        <v>111</v>
      </c>
      <c r="C125" s="284">
        <f t="shared" si="1"/>
        <v>0.40939597315436244</v>
      </c>
      <c r="D125" s="280" t="s">
        <v>767</v>
      </c>
      <c r="E125" s="281" t="s">
        <v>764</v>
      </c>
      <c r="F125" s="271">
        <v>5</v>
      </c>
      <c r="G125" s="271">
        <v>8</v>
      </c>
      <c r="H125" s="224">
        <v>51.947051282051284</v>
      </c>
      <c r="I125" s="282">
        <v>6</v>
      </c>
      <c r="J125" s="282">
        <v>4</v>
      </c>
      <c r="K125" s="224">
        <v>32.681881313131306</v>
      </c>
      <c r="L125" s="282">
        <v>4</v>
      </c>
      <c r="M125" s="282">
        <v>3</v>
      </c>
      <c r="N125" s="224">
        <v>57.05994444444444</v>
      </c>
      <c r="O125" s="282">
        <v>6</v>
      </c>
      <c r="P125" s="282">
        <v>4</v>
      </c>
      <c r="Q125" s="224">
        <v>50</v>
      </c>
      <c r="R125" s="282">
        <v>6</v>
      </c>
      <c r="S125" s="282">
        <v>4</v>
      </c>
      <c r="T125" s="282"/>
      <c r="U125" s="282"/>
      <c r="V125" s="282"/>
      <c r="W125" s="282"/>
      <c r="X125" s="282"/>
      <c r="Y125" s="282"/>
      <c r="Z125" s="224">
        <v>67.555555555555557</v>
      </c>
      <c r="AA125" s="224"/>
      <c r="AB125" s="224">
        <v>67.2</v>
      </c>
      <c r="AC125" s="226">
        <v>5.5</v>
      </c>
      <c r="AD125" s="227">
        <v>54.808078653669554</v>
      </c>
    </row>
    <row r="126" spans="1:30">
      <c r="A126" s="279">
        <v>123</v>
      </c>
      <c r="B126" s="271">
        <v>112</v>
      </c>
      <c r="C126" s="284">
        <f t="shared" si="1"/>
        <v>0.41275167785234901</v>
      </c>
      <c r="D126" s="280" t="s">
        <v>965</v>
      </c>
      <c r="E126" s="281" t="s">
        <v>963</v>
      </c>
      <c r="F126" s="271">
        <v>2</v>
      </c>
      <c r="G126" s="271">
        <v>3</v>
      </c>
      <c r="H126" s="224">
        <v>61.935576923076923</v>
      </c>
      <c r="I126" s="282">
        <v>7</v>
      </c>
      <c r="J126" s="282">
        <v>4</v>
      </c>
      <c r="K126" s="224">
        <v>36.236947691197692</v>
      </c>
      <c r="L126" s="282">
        <v>5</v>
      </c>
      <c r="M126" s="282">
        <v>3</v>
      </c>
      <c r="N126" s="224">
        <v>51.083333333333307</v>
      </c>
      <c r="O126" s="282">
        <v>6</v>
      </c>
      <c r="P126" s="282">
        <v>4</v>
      </c>
      <c r="Q126" s="224">
        <v>58</v>
      </c>
      <c r="R126" s="282">
        <v>6</v>
      </c>
      <c r="S126" s="282">
        <v>4</v>
      </c>
      <c r="T126" s="282"/>
      <c r="U126" s="282"/>
      <c r="V126" s="283"/>
      <c r="W126" s="282"/>
      <c r="X126" s="283"/>
      <c r="Y126" s="283"/>
      <c r="Z126" s="224">
        <v>64.111111111111114</v>
      </c>
      <c r="AA126" s="224"/>
      <c r="AB126" s="224">
        <v>59</v>
      </c>
      <c r="AC126" s="226">
        <v>5.5</v>
      </c>
      <c r="AD126" s="227">
        <v>54.793994374312554</v>
      </c>
    </row>
    <row r="127" spans="1:30">
      <c r="A127" s="235">
        <v>124</v>
      </c>
      <c r="B127" s="220">
        <v>113</v>
      </c>
      <c r="C127" s="221">
        <f t="shared" si="1"/>
        <v>0.41610738255033558</v>
      </c>
      <c r="D127" s="222" t="s">
        <v>935</v>
      </c>
      <c r="E127" s="223" t="s">
        <v>933</v>
      </c>
      <c r="F127" s="220">
        <v>7</v>
      </c>
      <c r="G127" s="220">
        <v>11</v>
      </c>
      <c r="H127" s="224">
        <v>57.803974358974358</v>
      </c>
      <c r="I127" s="225">
        <v>7</v>
      </c>
      <c r="J127" s="225">
        <v>4</v>
      </c>
      <c r="K127" s="224">
        <v>42.171329725829729</v>
      </c>
      <c r="L127" s="225">
        <v>5</v>
      </c>
      <c r="M127" s="225">
        <v>3</v>
      </c>
      <c r="N127" s="224">
        <v>45.911111111111097</v>
      </c>
      <c r="O127" s="225">
        <v>5</v>
      </c>
      <c r="P127" s="225">
        <v>3</v>
      </c>
      <c r="Q127" s="224">
        <v>74</v>
      </c>
      <c r="R127" s="225">
        <v>8</v>
      </c>
      <c r="S127" s="225">
        <v>5</v>
      </c>
      <c r="T127" s="225"/>
      <c r="U127" s="225"/>
      <c r="V127" s="234"/>
      <c r="W127" s="225"/>
      <c r="X127" s="234"/>
      <c r="Y127" s="234"/>
      <c r="Z127" s="224">
        <v>64.888888888888886</v>
      </c>
      <c r="AA127" s="224"/>
      <c r="AB127" s="224">
        <v>52.8</v>
      </c>
      <c r="AC127" s="226">
        <v>5.5</v>
      </c>
      <c r="AD127" s="227">
        <v>54.650055288146199</v>
      </c>
    </row>
    <row r="128" spans="1:30">
      <c r="A128" s="236">
        <v>125</v>
      </c>
      <c r="B128" s="220">
        <v>114</v>
      </c>
      <c r="C128" s="221">
        <f t="shared" si="1"/>
        <v>0.41946308724832215</v>
      </c>
      <c r="D128" s="222" t="s">
        <v>301</v>
      </c>
      <c r="E128" s="223" t="s">
        <v>299</v>
      </c>
      <c r="F128" s="220">
        <v>3</v>
      </c>
      <c r="G128" s="220">
        <v>5</v>
      </c>
      <c r="H128" s="224">
        <v>44.863141025641028</v>
      </c>
      <c r="I128" s="225">
        <v>5</v>
      </c>
      <c r="J128" s="225">
        <v>3</v>
      </c>
      <c r="K128" s="224">
        <v>46.870349736170574</v>
      </c>
      <c r="L128" s="225">
        <v>6</v>
      </c>
      <c r="M128" s="225">
        <v>4</v>
      </c>
      <c r="N128" s="224">
        <v>58.516666666666652</v>
      </c>
      <c r="O128" s="225">
        <v>6</v>
      </c>
      <c r="P128" s="225">
        <v>4</v>
      </c>
      <c r="Q128" s="224">
        <v>52</v>
      </c>
      <c r="R128" s="225">
        <v>6</v>
      </c>
      <c r="S128" s="225">
        <v>4</v>
      </c>
      <c r="T128" s="225"/>
      <c r="U128" s="225"/>
      <c r="V128" s="225"/>
      <c r="W128" s="225"/>
      <c r="X128" s="225"/>
      <c r="Y128" s="225"/>
      <c r="Z128" s="224">
        <v>64.074074074074076</v>
      </c>
      <c r="AA128" s="224"/>
      <c r="AB128" s="224">
        <v>60</v>
      </c>
      <c r="AC128" s="226">
        <v>5.5</v>
      </c>
      <c r="AD128" s="227">
        <v>54.604405727736783</v>
      </c>
    </row>
    <row r="129" spans="1:30">
      <c r="A129" s="236">
        <v>126</v>
      </c>
      <c r="B129" s="220">
        <v>115</v>
      </c>
      <c r="C129" s="221">
        <f t="shared" si="1"/>
        <v>0.42281879194630873</v>
      </c>
      <c r="D129" s="222" t="s">
        <v>548</v>
      </c>
      <c r="E129" s="223" t="s">
        <v>546</v>
      </c>
      <c r="F129" s="220">
        <v>8</v>
      </c>
      <c r="G129" s="220">
        <v>10</v>
      </c>
      <c r="H129" s="224">
        <v>45.954294871794865</v>
      </c>
      <c r="I129" s="225">
        <v>5</v>
      </c>
      <c r="J129" s="225">
        <v>3</v>
      </c>
      <c r="K129" s="224">
        <v>35.614029859029856</v>
      </c>
      <c r="L129" s="225">
        <v>5</v>
      </c>
      <c r="M129" s="225">
        <v>3</v>
      </c>
      <c r="N129" s="224">
        <v>49.511111111111148</v>
      </c>
      <c r="O129" s="225">
        <v>5</v>
      </c>
      <c r="P129" s="225">
        <v>3</v>
      </c>
      <c r="Q129" s="224">
        <v>62</v>
      </c>
      <c r="R129" s="225">
        <v>7</v>
      </c>
      <c r="S129" s="225">
        <v>4</v>
      </c>
      <c r="T129" s="225"/>
      <c r="U129" s="225"/>
      <c r="V129" s="225"/>
      <c r="W129" s="225"/>
      <c r="X129" s="225"/>
      <c r="Y129" s="225"/>
      <c r="Z129" s="224">
        <v>70</v>
      </c>
      <c r="AA129" s="224"/>
      <c r="AB129" s="224">
        <v>66.2</v>
      </c>
      <c r="AC129" s="226">
        <v>5.5</v>
      </c>
      <c r="AD129" s="227">
        <v>54.232624698533797</v>
      </c>
    </row>
    <row r="130" spans="1:30">
      <c r="A130" s="235">
        <v>127</v>
      </c>
      <c r="B130" s="220">
        <v>116</v>
      </c>
      <c r="C130" s="221">
        <f t="shared" si="1"/>
        <v>0.4261744966442953</v>
      </c>
      <c r="D130" s="222" t="s">
        <v>42</v>
      </c>
      <c r="E130" s="223" t="s">
        <v>40</v>
      </c>
      <c r="F130" s="220">
        <v>5</v>
      </c>
      <c r="G130" s="220">
        <v>7</v>
      </c>
      <c r="H130" s="224">
        <v>55.755000000000003</v>
      </c>
      <c r="I130" s="225">
        <v>7</v>
      </c>
      <c r="J130" s="225">
        <v>4</v>
      </c>
      <c r="K130" s="224">
        <v>58.297086073670449</v>
      </c>
      <c r="L130" s="225">
        <v>7</v>
      </c>
      <c r="M130" s="225">
        <v>4</v>
      </c>
      <c r="N130" s="224">
        <v>56.741222222222248</v>
      </c>
      <c r="O130" s="225">
        <v>6</v>
      </c>
      <c r="P130" s="225">
        <v>4</v>
      </c>
      <c r="Q130" s="224">
        <v>53</v>
      </c>
      <c r="R130" s="225">
        <v>6</v>
      </c>
      <c r="S130" s="225">
        <v>4</v>
      </c>
      <c r="T130" s="225"/>
      <c r="U130" s="225"/>
      <c r="V130" s="225"/>
      <c r="W130" s="225"/>
      <c r="X130" s="225"/>
      <c r="Y130" s="225"/>
      <c r="Z130" s="224">
        <v>59.555555555555557</v>
      </c>
      <c r="AA130" s="224">
        <v>41</v>
      </c>
      <c r="AB130" s="224"/>
      <c r="AC130" s="226">
        <v>5.5</v>
      </c>
      <c r="AD130" s="227">
        <v>54.154338882081497</v>
      </c>
    </row>
    <row r="131" spans="1:30">
      <c r="A131" s="236">
        <v>128</v>
      </c>
      <c r="B131" s="220">
        <v>117</v>
      </c>
      <c r="C131" s="221">
        <f t="shared" si="1"/>
        <v>0.42953020134228187</v>
      </c>
      <c r="D131" s="222" t="s">
        <v>268</v>
      </c>
      <c r="E131" s="223" t="s">
        <v>266</v>
      </c>
      <c r="F131" s="220">
        <v>11</v>
      </c>
      <c r="G131" s="220">
        <v>13</v>
      </c>
      <c r="H131" s="224">
        <v>59.527307692307694</v>
      </c>
      <c r="I131" s="225">
        <v>7</v>
      </c>
      <c r="J131" s="225">
        <v>4</v>
      </c>
      <c r="K131" s="224">
        <v>27.824885202961291</v>
      </c>
      <c r="L131" s="225">
        <v>4</v>
      </c>
      <c r="M131" s="225">
        <v>3</v>
      </c>
      <c r="N131" s="224">
        <v>51.256888888888902</v>
      </c>
      <c r="O131" s="225">
        <v>6</v>
      </c>
      <c r="P131" s="225">
        <v>4</v>
      </c>
      <c r="Q131" s="224">
        <v>63</v>
      </c>
      <c r="R131" s="225">
        <v>7</v>
      </c>
      <c r="S131" s="225">
        <v>4</v>
      </c>
      <c r="T131" s="225"/>
      <c r="U131" s="225"/>
      <c r="V131" s="225"/>
      <c r="W131" s="225"/>
      <c r="X131" s="225"/>
      <c r="Y131" s="225"/>
      <c r="Z131" s="224">
        <v>64.555555555555557</v>
      </c>
      <c r="AA131" s="224"/>
      <c r="AB131" s="224">
        <v>63</v>
      </c>
      <c r="AC131" s="226">
        <v>5.5</v>
      </c>
      <c r="AD131" s="227">
        <v>54.120843152675178</v>
      </c>
    </row>
    <row r="132" spans="1:30">
      <c r="A132" s="236">
        <v>129</v>
      </c>
      <c r="B132" s="220">
        <v>118</v>
      </c>
      <c r="C132" s="221">
        <f t="shared" ref="C132:C195" si="2">A132/298</f>
        <v>0.43288590604026844</v>
      </c>
      <c r="D132" s="222" t="s">
        <v>274</v>
      </c>
      <c r="E132" s="223" t="s">
        <v>272</v>
      </c>
      <c r="F132" s="220">
        <v>10</v>
      </c>
      <c r="G132" s="220">
        <v>13</v>
      </c>
      <c r="H132" s="224">
        <v>46.681089743589745</v>
      </c>
      <c r="I132" s="225">
        <v>5</v>
      </c>
      <c r="J132" s="225">
        <v>3</v>
      </c>
      <c r="K132" s="224">
        <v>36.307757936507933</v>
      </c>
      <c r="L132" s="225">
        <v>5</v>
      </c>
      <c r="M132" s="225">
        <v>3</v>
      </c>
      <c r="N132" s="224">
        <v>64.380944444444452</v>
      </c>
      <c r="O132" s="225">
        <v>7</v>
      </c>
      <c r="P132" s="225">
        <v>4</v>
      </c>
      <c r="Q132" s="224">
        <v>57</v>
      </c>
      <c r="R132" s="225">
        <v>6</v>
      </c>
      <c r="S132" s="225">
        <v>4</v>
      </c>
      <c r="T132" s="225"/>
      <c r="U132" s="225"/>
      <c r="V132" s="225"/>
      <c r="W132" s="225"/>
      <c r="X132" s="225"/>
      <c r="Y132" s="225"/>
      <c r="Z132" s="224">
        <v>57.777777777777786</v>
      </c>
      <c r="AA132" s="224"/>
      <c r="AB132" s="224">
        <v>63</v>
      </c>
      <c r="AC132" s="226">
        <v>5.5</v>
      </c>
      <c r="AD132" s="227">
        <v>53.935921800421802</v>
      </c>
    </row>
    <row r="133" spans="1:30">
      <c r="A133" s="235">
        <v>130</v>
      </c>
      <c r="B133" s="220">
        <v>119</v>
      </c>
      <c r="C133" s="221">
        <f t="shared" si="2"/>
        <v>0.43624161073825501</v>
      </c>
      <c r="D133" s="222" t="s">
        <v>705</v>
      </c>
      <c r="E133" s="223" t="s">
        <v>703</v>
      </c>
      <c r="F133" s="220">
        <v>7</v>
      </c>
      <c r="G133" s="220">
        <v>11</v>
      </c>
      <c r="H133" s="224">
        <v>51.238589743589742</v>
      </c>
      <c r="I133" s="225">
        <v>6</v>
      </c>
      <c r="J133" s="225">
        <v>4</v>
      </c>
      <c r="K133" s="224">
        <v>42.182635642135644</v>
      </c>
      <c r="L133" s="225">
        <v>5</v>
      </c>
      <c r="M133" s="225">
        <v>3</v>
      </c>
      <c r="N133" s="224">
        <v>54.044444444444444</v>
      </c>
      <c r="O133" s="225">
        <v>6</v>
      </c>
      <c r="P133" s="225">
        <v>4</v>
      </c>
      <c r="Q133" s="224">
        <v>54</v>
      </c>
      <c r="R133" s="225">
        <v>6</v>
      </c>
      <c r="S133" s="225">
        <v>4</v>
      </c>
      <c r="T133" s="225"/>
      <c r="U133" s="225"/>
      <c r="V133" s="225"/>
      <c r="W133" s="225"/>
      <c r="X133" s="225"/>
      <c r="Y133" s="225"/>
      <c r="Z133" s="224">
        <v>61.629629629629626</v>
      </c>
      <c r="AA133" s="224"/>
      <c r="AB133" s="224">
        <v>60</v>
      </c>
      <c r="AC133" s="226">
        <v>5.5</v>
      </c>
      <c r="AD133" s="227">
        <v>53.835508992690805</v>
      </c>
    </row>
    <row r="134" spans="1:30">
      <c r="A134" s="236">
        <v>131</v>
      </c>
      <c r="B134" s="220">
        <v>120</v>
      </c>
      <c r="C134" s="221">
        <f t="shared" si="2"/>
        <v>0.43959731543624159</v>
      </c>
      <c r="D134" s="222" t="s">
        <v>850</v>
      </c>
      <c r="E134" s="223" t="s">
        <v>2068</v>
      </c>
      <c r="F134" s="220">
        <v>7</v>
      </c>
      <c r="G134" s="220">
        <v>12</v>
      </c>
      <c r="H134" s="224">
        <v>54.468525641025643</v>
      </c>
      <c r="I134" s="225">
        <v>6</v>
      </c>
      <c r="J134" s="225">
        <v>4</v>
      </c>
      <c r="K134" s="224">
        <v>46.544519480519476</v>
      </c>
      <c r="L134" s="225">
        <v>6</v>
      </c>
      <c r="M134" s="225">
        <v>4</v>
      </c>
      <c r="N134" s="224">
        <v>55.599999999999994</v>
      </c>
      <c r="O134" s="225">
        <v>6</v>
      </c>
      <c r="P134" s="225">
        <v>4</v>
      </c>
      <c r="Q134" s="224"/>
      <c r="R134" s="225"/>
      <c r="S134" s="234"/>
      <c r="T134" s="225">
        <v>68</v>
      </c>
      <c r="U134" s="225">
        <v>7</v>
      </c>
      <c r="V134" s="234">
        <v>4</v>
      </c>
      <c r="W134" s="225"/>
      <c r="X134" s="234"/>
      <c r="Y134" s="234"/>
      <c r="Z134" s="224">
        <v>47.888888888888886</v>
      </c>
      <c r="AA134" s="224"/>
      <c r="AB134" s="224">
        <v>57.3</v>
      </c>
      <c r="AC134" s="226">
        <v>5.5</v>
      </c>
      <c r="AD134" s="227">
        <v>53.782169820078906</v>
      </c>
    </row>
    <row r="135" spans="1:30">
      <c r="A135" s="236">
        <v>132</v>
      </c>
      <c r="B135" s="220">
        <v>121</v>
      </c>
      <c r="C135" s="221">
        <f t="shared" si="2"/>
        <v>0.44295302013422821</v>
      </c>
      <c r="D135" s="222" t="s">
        <v>745</v>
      </c>
      <c r="E135" s="223" t="s">
        <v>743</v>
      </c>
      <c r="F135" s="220">
        <v>8</v>
      </c>
      <c r="G135" s="220">
        <v>10</v>
      </c>
      <c r="H135" s="224">
        <v>45.275961538461537</v>
      </c>
      <c r="I135" s="225">
        <v>5</v>
      </c>
      <c r="J135" s="225">
        <v>3</v>
      </c>
      <c r="K135" s="224">
        <v>32.602126748855007</v>
      </c>
      <c r="L135" s="225">
        <v>4</v>
      </c>
      <c r="M135" s="225">
        <v>3</v>
      </c>
      <c r="N135" s="224">
        <v>56.19444444444445</v>
      </c>
      <c r="O135" s="225">
        <v>6</v>
      </c>
      <c r="P135" s="225">
        <v>4</v>
      </c>
      <c r="Q135" s="224"/>
      <c r="R135" s="225"/>
      <c r="S135" s="225"/>
      <c r="T135" s="225"/>
      <c r="U135" s="225"/>
      <c r="V135" s="225"/>
      <c r="W135" s="224">
        <v>68.7</v>
      </c>
      <c r="X135" s="225">
        <v>6</v>
      </c>
      <c r="Y135" s="225">
        <v>4</v>
      </c>
      <c r="Z135" s="224">
        <v>73.592592592592595</v>
      </c>
      <c r="AA135" s="224"/>
      <c r="AB135" s="224">
        <v>53.3</v>
      </c>
      <c r="AC135" s="226">
        <v>5.5</v>
      </c>
      <c r="AD135" s="227">
        <v>53.693659149882471</v>
      </c>
    </row>
    <row r="136" spans="1:30">
      <c r="A136" s="235">
        <v>133</v>
      </c>
      <c r="B136" s="220">
        <v>122</v>
      </c>
      <c r="C136" s="221">
        <f t="shared" si="2"/>
        <v>0.44630872483221479</v>
      </c>
      <c r="D136" s="222" t="s">
        <v>94</v>
      </c>
      <c r="E136" s="223" t="s">
        <v>92</v>
      </c>
      <c r="F136" s="220">
        <v>11</v>
      </c>
      <c r="G136" s="220">
        <v>14</v>
      </c>
      <c r="H136" s="224">
        <v>50.957179487179488</v>
      </c>
      <c r="I136" s="225">
        <v>6</v>
      </c>
      <c r="J136" s="225">
        <v>4</v>
      </c>
      <c r="K136" s="224">
        <v>44.635629101574743</v>
      </c>
      <c r="L136" s="225">
        <v>5</v>
      </c>
      <c r="M136" s="225">
        <v>3</v>
      </c>
      <c r="N136" s="224">
        <v>47.080111111111101</v>
      </c>
      <c r="O136" s="225">
        <v>5</v>
      </c>
      <c r="P136" s="225">
        <v>3</v>
      </c>
      <c r="Q136" s="224">
        <v>55</v>
      </c>
      <c r="R136" s="225">
        <v>6</v>
      </c>
      <c r="S136" s="225">
        <v>4</v>
      </c>
      <c r="T136" s="225"/>
      <c r="U136" s="225"/>
      <c r="V136" s="225"/>
      <c r="W136" s="225"/>
      <c r="X136" s="225"/>
      <c r="Y136" s="225"/>
      <c r="Z136" s="224">
        <v>58.888888888888886</v>
      </c>
      <c r="AA136" s="224"/>
      <c r="AB136" s="224">
        <v>66.2</v>
      </c>
      <c r="AC136" s="226">
        <v>5.5</v>
      </c>
      <c r="AD136" s="227">
        <v>53.68396519795531</v>
      </c>
    </row>
    <row r="137" spans="1:30">
      <c r="A137" s="236">
        <v>134</v>
      </c>
      <c r="B137" s="220">
        <v>123</v>
      </c>
      <c r="C137" s="221">
        <f t="shared" si="2"/>
        <v>0.44966442953020136</v>
      </c>
      <c r="D137" s="222" t="s">
        <v>604</v>
      </c>
      <c r="E137" s="223" t="s">
        <v>602</v>
      </c>
      <c r="F137" s="220">
        <v>4</v>
      </c>
      <c r="G137" s="220">
        <v>5</v>
      </c>
      <c r="H137" s="224">
        <v>48.709166666666661</v>
      </c>
      <c r="I137" s="225">
        <v>6</v>
      </c>
      <c r="J137" s="225">
        <v>4</v>
      </c>
      <c r="K137" s="224">
        <v>29.772059543309542</v>
      </c>
      <c r="L137" s="225">
        <v>4</v>
      </c>
      <c r="M137" s="225">
        <v>3</v>
      </c>
      <c r="N137" s="224">
        <v>53.374277777777792</v>
      </c>
      <c r="O137" s="225">
        <v>6</v>
      </c>
      <c r="P137" s="225">
        <v>4</v>
      </c>
      <c r="Q137" s="224">
        <v>76</v>
      </c>
      <c r="R137" s="225">
        <v>8</v>
      </c>
      <c r="S137" s="225">
        <v>5</v>
      </c>
      <c r="T137" s="225"/>
      <c r="U137" s="225"/>
      <c r="V137" s="225"/>
      <c r="W137" s="225"/>
      <c r="X137" s="225"/>
      <c r="Y137" s="225"/>
      <c r="Z137" s="224">
        <v>72.925925925925938</v>
      </c>
      <c r="AA137" s="224">
        <v>52</v>
      </c>
      <c r="AB137" s="224"/>
      <c r="AC137" s="226">
        <v>5.5</v>
      </c>
      <c r="AD137" s="227">
        <v>53.596623620669078</v>
      </c>
    </row>
    <row r="138" spans="1:30">
      <c r="A138" s="236">
        <v>135</v>
      </c>
      <c r="B138" s="220">
        <v>124</v>
      </c>
      <c r="C138" s="221">
        <f t="shared" si="2"/>
        <v>0.45302013422818793</v>
      </c>
      <c r="D138" s="222" t="s">
        <v>503</v>
      </c>
      <c r="E138" s="223" t="s">
        <v>501</v>
      </c>
      <c r="F138" s="220">
        <v>8</v>
      </c>
      <c r="G138" s="220">
        <v>10</v>
      </c>
      <c r="H138" s="224">
        <v>54.008910256410253</v>
      </c>
      <c r="I138" s="225">
        <v>6</v>
      </c>
      <c r="J138" s="225">
        <v>4</v>
      </c>
      <c r="K138" s="224">
        <v>46.776138374910119</v>
      </c>
      <c r="L138" s="225">
        <v>6</v>
      </c>
      <c r="M138" s="225">
        <v>4</v>
      </c>
      <c r="N138" s="224">
        <v>63.966666666666697</v>
      </c>
      <c r="O138" s="225">
        <v>7</v>
      </c>
      <c r="P138" s="225">
        <v>4</v>
      </c>
      <c r="Q138" s="224">
        <v>42</v>
      </c>
      <c r="R138" s="225">
        <v>5</v>
      </c>
      <c r="S138" s="225">
        <v>3</v>
      </c>
      <c r="T138" s="225"/>
      <c r="U138" s="225"/>
      <c r="V138" s="225"/>
      <c r="W138" s="225"/>
      <c r="X138" s="225"/>
      <c r="Y138" s="225"/>
      <c r="Z138" s="224">
        <v>70</v>
      </c>
      <c r="AA138" s="224">
        <v>39</v>
      </c>
      <c r="AB138" s="224"/>
      <c r="AC138" s="226">
        <v>5.5</v>
      </c>
      <c r="AD138" s="227">
        <v>53.591220963270374</v>
      </c>
    </row>
    <row r="139" spans="1:30">
      <c r="A139" s="235">
        <v>136</v>
      </c>
      <c r="B139" s="220">
        <v>125</v>
      </c>
      <c r="C139" s="221">
        <f t="shared" si="2"/>
        <v>0.4563758389261745</v>
      </c>
      <c r="D139" s="222" t="s">
        <v>476</v>
      </c>
      <c r="E139" s="223" t="s">
        <v>474</v>
      </c>
      <c r="F139" s="220">
        <v>4</v>
      </c>
      <c r="G139" s="220">
        <v>5</v>
      </c>
      <c r="H139" s="224">
        <v>61.924615384615386</v>
      </c>
      <c r="I139" s="225">
        <v>7</v>
      </c>
      <c r="J139" s="225">
        <v>4</v>
      </c>
      <c r="K139" s="224">
        <v>53.30460112710113</v>
      </c>
      <c r="L139" s="225">
        <v>6</v>
      </c>
      <c r="M139" s="225">
        <v>4</v>
      </c>
      <c r="N139" s="224">
        <v>49.797944444444447</v>
      </c>
      <c r="O139" s="225">
        <v>5</v>
      </c>
      <c r="P139" s="225">
        <v>3</v>
      </c>
      <c r="Q139" s="224">
        <v>39</v>
      </c>
      <c r="R139" s="225">
        <v>4</v>
      </c>
      <c r="S139" s="225">
        <v>3</v>
      </c>
      <c r="T139" s="225"/>
      <c r="U139" s="225"/>
      <c r="V139" s="225"/>
      <c r="W139" s="225"/>
      <c r="X139" s="225"/>
      <c r="Y139" s="225"/>
      <c r="Z139" s="224">
        <v>58.111111111111114</v>
      </c>
      <c r="AA139" s="224"/>
      <c r="AB139" s="224">
        <v>52</v>
      </c>
      <c r="AC139" s="226">
        <v>5.5</v>
      </c>
      <c r="AD139" s="227">
        <v>53.57059492132219</v>
      </c>
    </row>
    <row r="140" spans="1:30">
      <c r="A140" s="236">
        <v>137</v>
      </c>
      <c r="B140" s="220">
        <v>126</v>
      </c>
      <c r="C140" s="221">
        <f t="shared" si="2"/>
        <v>0.45973154362416108</v>
      </c>
      <c r="D140" s="222" t="s">
        <v>415</v>
      </c>
      <c r="E140" s="223" t="s">
        <v>413</v>
      </c>
      <c r="F140" s="220">
        <v>6</v>
      </c>
      <c r="G140" s="220">
        <v>7</v>
      </c>
      <c r="H140" s="224">
        <v>45.801217948717948</v>
      </c>
      <c r="I140" s="225">
        <v>5</v>
      </c>
      <c r="J140" s="225">
        <v>3</v>
      </c>
      <c r="K140" s="224">
        <v>29.501863796823578</v>
      </c>
      <c r="L140" s="225">
        <v>4</v>
      </c>
      <c r="M140" s="225">
        <v>3</v>
      </c>
      <c r="N140" s="224">
        <v>49.907666666666643</v>
      </c>
      <c r="O140" s="225">
        <v>5</v>
      </c>
      <c r="P140" s="225">
        <v>3</v>
      </c>
      <c r="Q140" s="224">
        <v>65</v>
      </c>
      <c r="R140" s="225">
        <v>7</v>
      </c>
      <c r="S140" s="225">
        <v>4</v>
      </c>
      <c r="T140" s="225"/>
      <c r="U140" s="225"/>
      <c r="V140" s="225"/>
      <c r="W140" s="225"/>
      <c r="X140" s="225"/>
      <c r="Y140" s="225"/>
      <c r="Z140" s="224">
        <v>75.111111111111114</v>
      </c>
      <c r="AA140" s="224">
        <v>61.666666666666671</v>
      </c>
      <c r="AB140" s="224"/>
      <c r="AC140" s="226">
        <v>5.5</v>
      </c>
      <c r="AD140" s="227">
        <v>53.543368398179268</v>
      </c>
    </row>
    <row r="141" spans="1:30">
      <c r="A141" s="236">
        <v>138</v>
      </c>
      <c r="B141" s="220">
        <v>127</v>
      </c>
      <c r="C141" s="221">
        <f t="shared" si="2"/>
        <v>0.46308724832214765</v>
      </c>
      <c r="D141" s="222" t="s">
        <v>655</v>
      </c>
      <c r="E141" s="223" t="s">
        <v>653</v>
      </c>
      <c r="F141" s="220">
        <v>4</v>
      </c>
      <c r="G141" s="220">
        <v>5</v>
      </c>
      <c r="H141" s="224">
        <v>50.434615384615384</v>
      </c>
      <c r="I141" s="225">
        <v>6</v>
      </c>
      <c r="J141" s="225">
        <v>4</v>
      </c>
      <c r="K141" s="224">
        <v>38.103604676104673</v>
      </c>
      <c r="L141" s="225">
        <v>5</v>
      </c>
      <c r="M141" s="225">
        <v>3</v>
      </c>
      <c r="N141" s="224">
        <v>53.757888888888857</v>
      </c>
      <c r="O141" s="225">
        <v>6</v>
      </c>
      <c r="P141" s="225">
        <v>4</v>
      </c>
      <c r="Q141" s="224">
        <v>43</v>
      </c>
      <c r="R141" s="225">
        <v>5</v>
      </c>
      <c r="S141" s="225">
        <v>3</v>
      </c>
      <c r="T141" s="225"/>
      <c r="U141" s="225"/>
      <c r="V141" s="225"/>
      <c r="W141" s="225"/>
      <c r="X141" s="225"/>
      <c r="Y141" s="225"/>
      <c r="Z141" s="224">
        <v>69.481481481481481</v>
      </c>
      <c r="AA141" s="224"/>
      <c r="AB141" s="224">
        <v>60.8</v>
      </c>
      <c r="AC141" s="226">
        <v>5.5</v>
      </c>
      <c r="AD141" s="227">
        <v>53.468652805652802</v>
      </c>
    </row>
    <row r="142" spans="1:30">
      <c r="A142" s="235">
        <v>139</v>
      </c>
      <c r="B142" s="220">
        <v>128</v>
      </c>
      <c r="C142" s="221">
        <f t="shared" si="2"/>
        <v>0.46644295302013422</v>
      </c>
      <c r="D142" s="222" t="s">
        <v>625</v>
      </c>
      <c r="E142" s="223" t="s">
        <v>623</v>
      </c>
      <c r="F142" s="220">
        <v>11</v>
      </c>
      <c r="G142" s="220">
        <v>13</v>
      </c>
      <c r="H142" s="224">
        <v>43.304551282051285</v>
      </c>
      <c r="I142" s="225">
        <v>5</v>
      </c>
      <c r="J142" s="225">
        <v>3</v>
      </c>
      <c r="K142" s="224">
        <v>43.074761685174728</v>
      </c>
      <c r="L142" s="225">
        <v>5</v>
      </c>
      <c r="M142" s="225">
        <v>3</v>
      </c>
      <c r="N142" s="224">
        <v>60.093555555555554</v>
      </c>
      <c r="O142" s="225">
        <v>7</v>
      </c>
      <c r="P142" s="225">
        <v>4</v>
      </c>
      <c r="Q142" s="224">
        <v>56</v>
      </c>
      <c r="R142" s="225">
        <v>6</v>
      </c>
      <c r="S142" s="225">
        <v>4</v>
      </c>
      <c r="T142" s="225"/>
      <c r="U142" s="225"/>
      <c r="V142" s="225"/>
      <c r="W142" s="225"/>
      <c r="X142" s="225"/>
      <c r="Y142" s="225"/>
      <c r="Z142" s="224">
        <v>64</v>
      </c>
      <c r="AA142" s="224"/>
      <c r="AB142" s="224">
        <v>54.6</v>
      </c>
      <c r="AC142" s="226">
        <v>5.5</v>
      </c>
      <c r="AD142" s="227">
        <v>53.28597609505119</v>
      </c>
    </row>
    <row r="143" spans="1:30">
      <c r="A143" s="236">
        <v>140</v>
      </c>
      <c r="B143" s="220">
        <v>129</v>
      </c>
      <c r="C143" s="221">
        <f t="shared" si="2"/>
        <v>0.46979865771812079</v>
      </c>
      <c r="D143" s="222" t="s">
        <v>884</v>
      </c>
      <c r="E143" s="223" t="s">
        <v>882</v>
      </c>
      <c r="F143" s="220">
        <v>9</v>
      </c>
      <c r="G143" s="220">
        <v>16</v>
      </c>
      <c r="H143" s="224">
        <v>56.648910256410261</v>
      </c>
      <c r="I143" s="225">
        <v>7</v>
      </c>
      <c r="J143" s="225">
        <v>4</v>
      </c>
      <c r="K143" s="224">
        <v>35.888121356421358</v>
      </c>
      <c r="L143" s="225">
        <v>5</v>
      </c>
      <c r="M143" s="225">
        <v>3</v>
      </c>
      <c r="N143" s="224">
        <v>67.938888888888854</v>
      </c>
      <c r="O143" s="225">
        <v>7</v>
      </c>
      <c r="P143" s="225">
        <v>4</v>
      </c>
      <c r="Q143" s="224">
        <v>50</v>
      </c>
      <c r="R143" s="225">
        <v>6</v>
      </c>
      <c r="S143" s="225">
        <v>4</v>
      </c>
      <c r="T143" s="225"/>
      <c r="U143" s="225"/>
      <c r="V143" s="234"/>
      <c r="W143" s="225"/>
      <c r="X143" s="234"/>
      <c r="Y143" s="234"/>
      <c r="Z143" s="224">
        <v>46.111111111111114</v>
      </c>
      <c r="AA143" s="224"/>
      <c r="AB143" s="224">
        <v>59</v>
      </c>
      <c r="AC143" s="226">
        <v>5.5</v>
      </c>
      <c r="AD143" s="227">
        <v>52.83400574778755</v>
      </c>
    </row>
    <row r="144" spans="1:30">
      <c r="A144" s="236">
        <v>141</v>
      </c>
      <c r="B144" s="220">
        <v>130</v>
      </c>
      <c r="C144" s="221">
        <f t="shared" si="2"/>
        <v>0.47315436241610737</v>
      </c>
      <c r="D144" s="222" t="s">
        <v>494</v>
      </c>
      <c r="E144" s="223" t="s">
        <v>492</v>
      </c>
      <c r="F144" s="220">
        <v>5</v>
      </c>
      <c r="G144" s="220">
        <v>9</v>
      </c>
      <c r="H144" s="224">
        <v>54.344294871794872</v>
      </c>
      <c r="I144" s="225">
        <v>6</v>
      </c>
      <c r="J144" s="225">
        <v>4</v>
      </c>
      <c r="K144" s="224">
        <v>36.316389304263907</v>
      </c>
      <c r="L144" s="225">
        <v>5</v>
      </c>
      <c r="M144" s="225">
        <v>3</v>
      </c>
      <c r="N144" s="224">
        <v>45.405555555555544</v>
      </c>
      <c r="O144" s="225">
        <v>5</v>
      </c>
      <c r="P144" s="225">
        <v>3</v>
      </c>
      <c r="Q144" s="224"/>
      <c r="R144" s="225"/>
      <c r="S144" s="225"/>
      <c r="T144" s="225"/>
      <c r="U144" s="225"/>
      <c r="V144" s="225"/>
      <c r="W144" s="224">
        <v>51.1</v>
      </c>
      <c r="X144" s="225">
        <v>6</v>
      </c>
      <c r="Y144" s="225">
        <v>4</v>
      </c>
      <c r="Z144" s="224">
        <v>63.629629629629626</v>
      </c>
      <c r="AA144" s="224"/>
      <c r="AB144" s="224">
        <v>65.3</v>
      </c>
      <c r="AC144" s="226">
        <v>5.5</v>
      </c>
      <c r="AD144" s="227">
        <v>52.826521702044353</v>
      </c>
    </row>
    <row r="145" spans="1:30">
      <c r="A145" s="235">
        <v>142</v>
      </c>
      <c r="B145" s="220">
        <v>131</v>
      </c>
      <c r="C145" s="221">
        <f t="shared" si="2"/>
        <v>0.47651006711409394</v>
      </c>
      <c r="D145" s="222" t="s">
        <v>292</v>
      </c>
      <c r="E145" s="223" t="s">
        <v>290</v>
      </c>
      <c r="F145" s="220">
        <v>4</v>
      </c>
      <c r="G145" s="220">
        <v>6</v>
      </c>
      <c r="H145" s="224">
        <v>52.224743589743582</v>
      </c>
      <c r="I145" s="225">
        <v>6</v>
      </c>
      <c r="J145" s="225">
        <v>4</v>
      </c>
      <c r="K145" s="224">
        <v>26.589202449202446</v>
      </c>
      <c r="L145" s="225">
        <v>4</v>
      </c>
      <c r="M145" s="225">
        <v>3</v>
      </c>
      <c r="N145" s="224">
        <v>53.626888888888857</v>
      </c>
      <c r="O145" s="225">
        <v>6</v>
      </c>
      <c r="P145" s="225">
        <v>4</v>
      </c>
      <c r="Q145" s="224">
        <v>51</v>
      </c>
      <c r="R145" s="225">
        <v>6</v>
      </c>
      <c r="S145" s="225">
        <v>4</v>
      </c>
      <c r="T145" s="225"/>
      <c r="U145" s="225"/>
      <c r="V145" s="225"/>
      <c r="W145" s="225"/>
      <c r="X145" s="225"/>
      <c r="Y145" s="225"/>
      <c r="Z145" s="224">
        <v>62.555555555555557</v>
      </c>
      <c r="AA145" s="224"/>
      <c r="AB145" s="224">
        <v>69</v>
      </c>
      <c r="AC145" s="226">
        <v>5.5</v>
      </c>
      <c r="AD145" s="227">
        <v>52.635707360616443</v>
      </c>
    </row>
    <row r="146" spans="1:30">
      <c r="A146" s="236">
        <v>143</v>
      </c>
      <c r="B146" s="220">
        <v>132</v>
      </c>
      <c r="C146" s="221">
        <f t="shared" si="2"/>
        <v>0.47986577181208051</v>
      </c>
      <c r="D146" s="222" t="s">
        <v>286</v>
      </c>
      <c r="E146" s="223" t="s">
        <v>284</v>
      </c>
      <c r="F146" s="220">
        <v>8</v>
      </c>
      <c r="G146" s="220">
        <v>11</v>
      </c>
      <c r="H146" s="224">
        <v>46.332051282051282</v>
      </c>
      <c r="I146" s="225">
        <v>5</v>
      </c>
      <c r="J146" s="225">
        <v>3</v>
      </c>
      <c r="K146" s="224">
        <v>41.302294073076681</v>
      </c>
      <c r="L146" s="225">
        <v>5</v>
      </c>
      <c r="M146" s="225">
        <v>3</v>
      </c>
      <c r="N146" s="224">
        <v>40.316666666666656</v>
      </c>
      <c r="O146" s="225">
        <v>5</v>
      </c>
      <c r="P146" s="225">
        <v>3</v>
      </c>
      <c r="Q146" s="224">
        <v>61</v>
      </c>
      <c r="R146" s="225">
        <v>7</v>
      </c>
      <c r="S146" s="225">
        <v>4</v>
      </c>
      <c r="T146" s="225"/>
      <c r="U146" s="225"/>
      <c r="V146" s="225"/>
      <c r="W146" s="225"/>
      <c r="X146" s="225"/>
      <c r="Y146" s="225"/>
      <c r="Z146" s="224">
        <v>70.074074074074076</v>
      </c>
      <c r="AA146" s="224"/>
      <c r="AB146" s="224">
        <v>59.7</v>
      </c>
      <c r="AC146" s="226">
        <v>5.5</v>
      </c>
      <c r="AD146" s="227">
        <v>52.404561108339756</v>
      </c>
    </row>
    <row r="147" spans="1:30">
      <c r="A147" s="236">
        <v>144</v>
      </c>
      <c r="B147" s="220">
        <v>133</v>
      </c>
      <c r="C147" s="221">
        <f t="shared" si="2"/>
        <v>0.48322147651006714</v>
      </c>
      <c r="D147" s="222" t="s">
        <v>169</v>
      </c>
      <c r="E147" s="223" t="s">
        <v>2069</v>
      </c>
      <c r="F147" s="220">
        <v>11</v>
      </c>
      <c r="G147" s="220">
        <v>5</v>
      </c>
      <c r="H147" s="224">
        <v>56.40519230769231</v>
      </c>
      <c r="I147" s="225">
        <v>7</v>
      </c>
      <c r="J147" s="225">
        <v>4</v>
      </c>
      <c r="K147" s="224">
        <v>59.864753529079621</v>
      </c>
      <c r="L147" s="225">
        <v>7</v>
      </c>
      <c r="M147" s="225">
        <v>4</v>
      </c>
      <c r="N147" s="224">
        <v>59.0833333333333</v>
      </c>
      <c r="O147" s="225">
        <v>6</v>
      </c>
      <c r="P147" s="225">
        <v>4</v>
      </c>
      <c r="Q147" s="224"/>
      <c r="R147" s="225"/>
      <c r="S147" s="225"/>
      <c r="T147" s="225">
        <v>59</v>
      </c>
      <c r="U147" s="225">
        <v>6</v>
      </c>
      <c r="V147" s="225">
        <v>4</v>
      </c>
      <c r="W147" s="225"/>
      <c r="X147" s="225"/>
      <c r="Y147" s="225"/>
      <c r="Z147" s="224">
        <v>48.333333333333336</v>
      </c>
      <c r="AA147" s="224">
        <v>35</v>
      </c>
      <c r="AB147" s="224"/>
      <c r="AC147" s="226">
        <v>5.5</v>
      </c>
      <c r="AD147" s="227">
        <v>52.397565909716107</v>
      </c>
    </row>
    <row r="148" spans="1:30">
      <c r="A148" s="235">
        <v>145</v>
      </c>
      <c r="B148" s="220">
        <v>134</v>
      </c>
      <c r="C148" s="221">
        <f t="shared" si="2"/>
        <v>0.48657718120805371</v>
      </c>
      <c r="D148" s="222" t="s">
        <v>106</v>
      </c>
      <c r="E148" s="223" t="s">
        <v>104</v>
      </c>
      <c r="F148" s="220">
        <v>7</v>
      </c>
      <c r="G148" s="220">
        <v>10</v>
      </c>
      <c r="H148" s="224">
        <v>52.074871794871797</v>
      </c>
      <c r="I148" s="225">
        <v>6</v>
      </c>
      <c r="J148" s="225">
        <v>4</v>
      </c>
      <c r="K148" s="224">
        <v>30.527863636363637</v>
      </c>
      <c r="L148" s="225">
        <v>4</v>
      </c>
      <c r="M148" s="225">
        <v>3</v>
      </c>
      <c r="N148" s="224">
        <v>50.744444444444447</v>
      </c>
      <c r="O148" s="225">
        <v>6</v>
      </c>
      <c r="P148" s="225">
        <v>4</v>
      </c>
      <c r="Q148" s="224">
        <v>52</v>
      </c>
      <c r="R148" s="225">
        <v>6</v>
      </c>
      <c r="S148" s="225">
        <v>4</v>
      </c>
      <c r="T148" s="225"/>
      <c r="U148" s="225"/>
      <c r="V148" s="225"/>
      <c r="W148" s="225"/>
      <c r="X148" s="225"/>
      <c r="Y148" s="225"/>
      <c r="Z148" s="224">
        <v>68</v>
      </c>
      <c r="AA148" s="224"/>
      <c r="AB148" s="224">
        <v>60</v>
      </c>
      <c r="AC148" s="226">
        <v>5.5</v>
      </c>
      <c r="AD148" s="227">
        <v>52.244941795578164</v>
      </c>
    </row>
    <row r="149" spans="1:30">
      <c r="A149" s="236">
        <v>146</v>
      </c>
      <c r="B149" s="220">
        <v>135</v>
      </c>
      <c r="C149" s="221">
        <f t="shared" si="2"/>
        <v>0.48993288590604028</v>
      </c>
      <c r="D149" s="222" t="s">
        <v>232</v>
      </c>
      <c r="E149" s="223" t="s">
        <v>230</v>
      </c>
      <c r="F149" s="220">
        <v>1</v>
      </c>
      <c r="G149" s="220">
        <v>1</v>
      </c>
      <c r="H149" s="224">
        <v>40.676346153846147</v>
      </c>
      <c r="I149" s="225">
        <v>5</v>
      </c>
      <c r="J149" s="225">
        <v>3</v>
      </c>
      <c r="K149" s="224">
        <v>40.95345086580086</v>
      </c>
      <c r="L149" s="225">
        <v>5</v>
      </c>
      <c r="M149" s="225">
        <v>3</v>
      </c>
      <c r="N149" s="224">
        <v>46.011777777777795</v>
      </c>
      <c r="O149" s="225">
        <v>5</v>
      </c>
      <c r="P149" s="225">
        <v>3</v>
      </c>
      <c r="Q149" s="224"/>
      <c r="R149" s="225"/>
      <c r="S149" s="225"/>
      <c r="T149" s="225"/>
      <c r="U149" s="225"/>
      <c r="V149" s="225"/>
      <c r="W149" s="224">
        <v>57.1</v>
      </c>
      <c r="X149" s="225">
        <v>6</v>
      </c>
      <c r="Y149" s="225">
        <v>4</v>
      </c>
      <c r="Z149" s="224">
        <v>67.555555555555557</v>
      </c>
      <c r="AA149" s="224">
        <v>63.333333333333329</v>
      </c>
      <c r="AB149" s="224"/>
      <c r="AC149" s="226">
        <v>5.5</v>
      </c>
      <c r="AD149" s="227">
        <v>52.196447942966124</v>
      </c>
    </row>
    <row r="150" spans="1:30">
      <c r="A150" s="236">
        <v>147</v>
      </c>
      <c r="B150" s="220">
        <v>136</v>
      </c>
      <c r="C150" s="221">
        <f t="shared" si="2"/>
        <v>0.49328859060402686</v>
      </c>
      <c r="D150" s="222" t="s">
        <v>685</v>
      </c>
      <c r="E150" s="223" t="s">
        <v>683</v>
      </c>
      <c r="F150" s="220">
        <v>3</v>
      </c>
      <c r="G150" s="220">
        <v>5</v>
      </c>
      <c r="H150" s="224">
        <v>49.574423076923075</v>
      </c>
      <c r="I150" s="225">
        <v>6</v>
      </c>
      <c r="J150" s="225">
        <v>4</v>
      </c>
      <c r="K150" s="224">
        <v>46.412960035347631</v>
      </c>
      <c r="L150" s="225">
        <v>6</v>
      </c>
      <c r="M150" s="225">
        <v>4</v>
      </c>
      <c r="N150" s="224">
        <v>50.75</v>
      </c>
      <c r="O150" s="225">
        <v>6</v>
      </c>
      <c r="P150" s="225">
        <v>4</v>
      </c>
      <c r="Q150" s="224">
        <v>33</v>
      </c>
      <c r="R150" s="225">
        <v>3</v>
      </c>
      <c r="S150" s="225">
        <v>2</v>
      </c>
      <c r="T150" s="225"/>
      <c r="U150" s="225"/>
      <c r="V150" s="225"/>
      <c r="W150" s="225"/>
      <c r="X150" s="225"/>
      <c r="Y150" s="225"/>
      <c r="Z150" s="224">
        <v>60.814814814814817</v>
      </c>
      <c r="AA150" s="224"/>
      <c r="AB150" s="224">
        <v>62</v>
      </c>
      <c r="AC150" s="226">
        <v>5.5</v>
      </c>
      <c r="AD150" s="227">
        <v>52.009490532197376</v>
      </c>
    </row>
    <row r="151" spans="1:30">
      <c r="A151" s="235">
        <v>148</v>
      </c>
      <c r="B151" s="220">
        <v>137</v>
      </c>
      <c r="C151" s="221">
        <f t="shared" si="2"/>
        <v>0.49664429530201343</v>
      </c>
      <c r="D151" s="222" t="s">
        <v>875</v>
      </c>
      <c r="E151" s="223" t="s">
        <v>2070</v>
      </c>
      <c r="F151" s="220">
        <v>5</v>
      </c>
      <c r="G151" s="220">
        <v>8</v>
      </c>
      <c r="H151" s="224">
        <v>44.377948717948719</v>
      </c>
      <c r="I151" s="225">
        <v>5</v>
      </c>
      <c r="J151" s="225">
        <v>3</v>
      </c>
      <c r="K151" s="224">
        <v>26.569914899331302</v>
      </c>
      <c r="L151" s="225">
        <v>4</v>
      </c>
      <c r="M151" s="225">
        <v>3</v>
      </c>
      <c r="N151" s="224">
        <v>45.15466666666665</v>
      </c>
      <c r="O151" s="225">
        <v>5</v>
      </c>
      <c r="P151" s="225">
        <v>3</v>
      </c>
      <c r="Q151" s="224">
        <v>51</v>
      </c>
      <c r="R151" s="225">
        <v>6</v>
      </c>
      <c r="S151" s="225">
        <v>4</v>
      </c>
      <c r="T151" s="225"/>
      <c r="U151" s="225"/>
      <c r="V151" s="234"/>
      <c r="W151" s="225"/>
      <c r="X151" s="234"/>
      <c r="Y151" s="234"/>
      <c r="Z151" s="224">
        <v>73.703703703703709</v>
      </c>
      <c r="AA151" s="224"/>
      <c r="AB151" s="224">
        <v>70.7</v>
      </c>
      <c r="AC151" s="226">
        <v>5.5</v>
      </c>
      <c r="AD151" s="227">
        <v>52.001133452300067</v>
      </c>
    </row>
    <row r="152" spans="1:30">
      <c r="A152" s="236">
        <v>149</v>
      </c>
      <c r="B152" s="220">
        <v>138</v>
      </c>
      <c r="C152" s="221">
        <f t="shared" si="2"/>
        <v>0.5</v>
      </c>
      <c r="D152" s="222" t="s">
        <v>950</v>
      </c>
      <c r="E152" s="223" t="s">
        <v>948</v>
      </c>
      <c r="F152" s="220">
        <v>5</v>
      </c>
      <c r="G152" s="220">
        <v>9</v>
      </c>
      <c r="H152" s="224">
        <v>41.031923076923078</v>
      </c>
      <c r="I152" s="225">
        <v>5</v>
      </c>
      <c r="J152" s="225">
        <v>3</v>
      </c>
      <c r="K152" s="224">
        <v>47.868869805536207</v>
      </c>
      <c r="L152" s="225">
        <v>6</v>
      </c>
      <c r="M152" s="225">
        <v>4</v>
      </c>
      <c r="N152" s="224">
        <v>53.811111111111103</v>
      </c>
      <c r="O152" s="225">
        <v>6</v>
      </c>
      <c r="P152" s="225">
        <v>4</v>
      </c>
      <c r="Q152" s="224">
        <v>60</v>
      </c>
      <c r="R152" s="225">
        <v>7</v>
      </c>
      <c r="S152" s="225">
        <v>4</v>
      </c>
      <c r="T152" s="225"/>
      <c r="U152" s="225"/>
      <c r="V152" s="234"/>
      <c r="W152" s="225"/>
      <c r="X152" s="234"/>
      <c r="Y152" s="234"/>
      <c r="Z152" s="224">
        <v>51.074074074074076</v>
      </c>
      <c r="AA152" s="224"/>
      <c r="AB152" s="224">
        <v>62.1</v>
      </c>
      <c r="AC152" s="226">
        <v>5.5</v>
      </c>
      <c r="AD152" s="227">
        <v>51.979268739571722</v>
      </c>
    </row>
    <row r="153" spans="1:30">
      <c r="A153" s="236">
        <v>150</v>
      </c>
      <c r="B153" s="220">
        <v>139</v>
      </c>
      <c r="C153" s="221">
        <f t="shared" si="2"/>
        <v>0.50335570469798663</v>
      </c>
      <c r="D153" s="222" t="s">
        <v>97</v>
      </c>
      <c r="E153" s="223" t="s">
        <v>95</v>
      </c>
      <c r="F153" s="220">
        <v>7</v>
      </c>
      <c r="G153" s="220">
        <v>10</v>
      </c>
      <c r="H153" s="224">
        <v>44.780833333333334</v>
      </c>
      <c r="I153" s="225">
        <v>5</v>
      </c>
      <c r="J153" s="225">
        <v>3</v>
      </c>
      <c r="K153" s="224">
        <v>28.11</v>
      </c>
      <c r="L153" s="225">
        <v>4</v>
      </c>
      <c r="M153" s="225">
        <v>3</v>
      </c>
      <c r="N153" s="224">
        <v>60.805555555555543</v>
      </c>
      <c r="O153" s="225">
        <v>7</v>
      </c>
      <c r="P153" s="225">
        <v>4</v>
      </c>
      <c r="Q153" s="224">
        <v>65</v>
      </c>
      <c r="R153" s="225">
        <v>7</v>
      </c>
      <c r="S153" s="225">
        <v>4</v>
      </c>
      <c r="T153" s="225"/>
      <c r="U153" s="225"/>
      <c r="V153" s="225"/>
      <c r="W153" s="225"/>
      <c r="X153" s="225"/>
      <c r="Y153" s="225"/>
      <c r="Z153" s="224">
        <v>46.407407407407405</v>
      </c>
      <c r="AA153" s="224"/>
      <c r="AB153" s="224">
        <v>73</v>
      </c>
      <c r="AC153" s="226">
        <v>5.5</v>
      </c>
      <c r="AD153" s="227">
        <v>51.927962962962958</v>
      </c>
    </row>
    <row r="154" spans="1:30">
      <c r="A154" s="235">
        <v>151</v>
      </c>
      <c r="B154" s="220">
        <v>140</v>
      </c>
      <c r="C154" s="221">
        <f t="shared" si="2"/>
        <v>0.50671140939597314</v>
      </c>
      <c r="D154" s="222" t="s">
        <v>412</v>
      </c>
      <c r="E154" s="223" t="s">
        <v>410</v>
      </c>
      <c r="F154" s="220">
        <v>8</v>
      </c>
      <c r="G154" s="220">
        <v>11</v>
      </c>
      <c r="H154" s="224">
        <v>46.154294871794875</v>
      </c>
      <c r="I154" s="225">
        <v>5</v>
      </c>
      <c r="J154" s="225">
        <v>3</v>
      </c>
      <c r="K154" s="224">
        <v>40.052191130125912</v>
      </c>
      <c r="L154" s="225">
        <v>5</v>
      </c>
      <c r="M154" s="225">
        <v>3</v>
      </c>
      <c r="N154" s="224">
        <v>52.216666666666697</v>
      </c>
      <c r="O154" s="225">
        <v>6</v>
      </c>
      <c r="P154" s="225">
        <v>4</v>
      </c>
      <c r="Q154" s="224">
        <v>59</v>
      </c>
      <c r="R154" s="225">
        <v>6</v>
      </c>
      <c r="S154" s="225">
        <v>4</v>
      </c>
      <c r="T154" s="225"/>
      <c r="U154" s="225"/>
      <c r="V154" s="225"/>
      <c r="W154" s="225"/>
      <c r="X154" s="225"/>
      <c r="Y154" s="225"/>
      <c r="Z154" s="224">
        <v>61.777777777777779</v>
      </c>
      <c r="AA154" s="224"/>
      <c r="AB154" s="224">
        <v>55.8</v>
      </c>
      <c r="AC154" s="226">
        <v>5.5</v>
      </c>
      <c r="AD154" s="227">
        <v>51.909260081157321</v>
      </c>
    </row>
    <row r="155" spans="1:30">
      <c r="A155" s="236">
        <v>152</v>
      </c>
      <c r="B155" s="220">
        <v>141</v>
      </c>
      <c r="C155" s="221">
        <f t="shared" si="2"/>
        <v>0.51006711409395977</v>
      </c>
      <c r="D155" s="222" t="s">
        <v>616</v>
      </c>
      <c r="E155" s="223" t="s">
        <v>614</v>
      </c>
      <c r="F155" s="220">
        <v>2</v>
      </c>
      <c r="G155" s="220">
        <v>3</v>
      </c>
      <c r="H155" s="224">
        <v>37.054935897435897</v>
      </c>
      <c r="I155" s="225">
        <v>4</v>
      </c>
      <c r="J155" s="225">
        <v>3</v>
      </c>
      <c r="K155" s="224">
        <v>32.18329653679654</v>
      </c>
      <c r="L155" s="225">
        <v>4</v>
      </c>
      <c r="M155" s="225">
        <v>3</v>
      </c>
      <c r="N155" s="224">
        <v>62.505555555555546</v>
      </c>
      <c r="O155" s="225">
        <v>7</v>
      </c>
      <c r="P155" s="225">
        <v>4</v>
      </c>
      <c r="Q155" s="224"/>
      <c r="R155" s="225"/>
      <c r="S155" s="225"/>
      <c r="T155" s="225">
        <v>53</v>
      </c>
      <c r="U155" s="225">
        <v>6</v>
      </c>
      <c r="V155" s="225">
        <v>4</v>
      </c>
      <c r="W155" s="225"/>
      <c r="X155" s="225"/>
      <c r="Y155" s="225"/>
      <c r="Z155" s="224">
        <v>67.592592592592595</v>
      </c>
      <c r="AA155" s="224"/>
      <c r="AB155" s="224">
        <v>59</v>
      </c>
      <c r="AC155" s="226">
        <v>5.5</v>
      </c>
      <c r="AD155" s="227">
        <v>51.788432833160101</v>
      </c>
    </row>
    <row r="156" spans="1:30">
      <c r="A156" s="236">
        <v>153</v>
      </c>
      <c r="B156" s="220">
        <v>142</v>
      </c>
      <c r="C156" s="221">
        <f t="shared" si="2"/>
        <v>0.51342281879194629</v>
      </c>
      <c r="D156" s="222" t="s">
        <v>730</v>
      </c>
      <c r="E156" s="223" t="s">
        <v>2071</v>
      </c>
      <c r="F156" s="220" t="s">
        <v>1002</v>
      </c>
      <c r="G156" s="220" t="s">
        <v>2059</v>
      </c>
      <c r="H156" s="224">
        <v>41.649935897435896</v>
      </c>
      <c r="I156" s="225">
        <v>5</v>
      </c>
      <c r="J156" s="225">
        <v>3</v>
      </c>
      <c r="K156" s="224">
        <v>70.855887787137789</v>
      </c>
      <c r="L156" s="225">
        <v>8</v>
      </c>
      <c r="M156" s="225">
        <v>5</v>
      </c>
      <c r="N156" s="224">
        <v>51.615500000000004</v>
      </c>
      <c r="O156" s="225">
        <v>6</v>
      </c>
      <c r="P156" s="225">
        <v>4</v>
      </c>
      <c r="Q156" s="224">
        <v>31</v>
      </c>
      <c r="R156" s="225">
        <v>1</v>
      </c>
      <c r="S156" s="225">
        <v>2</v>
      </c>
      <c r="T156" s="225"/>
      <c r="U156" s="225"/>
      <c r="V156" s="225"/>
      <c r="W156" s="225"/>
      <c r="X156" s="225"/>
      <c r="Y156" s="225"/>
      <c r="Z156" s="224">
        <v>63.037037037037038</v>
      </c>
      <c r="AA156" s="224">
        <v>42</v>
      </c>
      <c r="AB156" s="224"/>
      <c r="AC156" s="226">
        <v>5.5</v>
      </c>
      <c r="AD156" s="227">
        <v>51.756065585747407</v>
      </c>
    </row>
    <row r="157" spans="1:30">
      <c r="A157" s="235">
        <v>154</v>
      </c>
      <c r="B157" s="220">
        <v>143</v>
      </c>
      <c r="C157" s="221">
        <f t="shared" si="2"/>
        <v>0.51677852348993292</v>
      </c>
      <c r="D157" s="222" t="s">
        <v>488</v>
      </c>
      <c r="E157" s="223" t="s">
        <v>486</v>
      </c>
      <c r="F157" s="220">
        <v>2</v>
      </c>
      <c r="G157" s="220">
        <v>1</v>
      </c>
      <c r="H157" s="224">
        <v>50.445320512820516</v>
      </c>
      <c r="I157" s="225">
        <v>6</v>
      </c>
      <c r="J157" s="225">
        <v>4</v>
      </c>
      <c r="K157" s="224">
        <v>36.202654761904761</v>
      </c>
      <c r="L157" s="225">
        <v>5</v>
      </c>
      <c r="M157" s="225">
        <v>3</v>
      </c>
      <c r="N157" s="224">
        <v>54.05</v>
      </c>
      <c r="O157" s="225">
        <v>6</v>
      </c>
      <c r="P157" s="225">
        <v>4</v>
      </c>
      <c r="Q157" s="224">
        <v>61</v>
      </c>
      <c r="R157" s="225">
        <v>7</v>
      </c>
      <c r="S157" s="225">
        <v>4</v>
      </c>
      <c r="T157" s="225"/>
      <c r="U157" s="225"/>
      <c r="V157" s="225"/>
      <c r="W157" s="225"/>
      <c r="X157" s="225"/>
      <c r="Y157" s="225"/>
      <c r="Z157" s="224">
        <v>71.592592592592595</v>
      </c>
      <c r="AA157" s="224"/>
      <c r="AB157" s="224">
        <v>41.3</v>
      </c>
      <c r="AC157" s="226">
        <v>5.5</v>
      </c>
      <c r="AD157" s="227">
        <v>51.652830521330522</v>
      </c>
    </row>
    <row r="158" spans="1:30">
      <c r="A158" s="236">
        <v>155</v>
      </c>
      <c r="B158" s="220">
        <v>144</v>
      </c>
      <c r="C158" s="221">
        <f t="shared" si="2"/>
        <v>0.52013422818791943</v>
      </c>
      <c r="D158" s="222" t="s">
        <v>256</v>
      </c>
      <c r="E158" s="223" t="s">
        <v>254</v>
      </c>
      <c r="F158" s="220">
        <v>2</v>
      </c>
      <c r="G158" s="220">
        <v>3</v>
      </c>
      <c r="H158" s="224">
        <v>54.895320512820511</v>
      </c>
      <c r="I158" s="225">
        <v>6</v>
      </c>
      <c r="J158" s="225">
        <v>4</v>
      </c>
      <c r="K158" s="224">
        <v>38.776488095238093</v>
      </c>
      <c r="L158" s="225">
        <v>5</v>
      </c>
      <c r="M158" s="225">
        <v>3</v>
      </c>
      <c r="N158" s="224">
        <v>65.5</v>
      </c>
      <c r="O158" s="225">
        <v>7</v>
      </c>
      <c r="P158" s="225">
        <v>4</v>
      </c>
      <c r="Q158" s="224">
        <v>58</v>
      </c>
      <c r="R158" s="225">
        <v>6</v>
      </c>
      <c r="S158" s="225">
        <v>4</v>
      </c>
      <c r="T158" s="225"/>
      <c r="U158" s="225"/>
      <c r="V158" s="225"/>
      <c r="W158" s="225"/>
      <c r="X158" s="225"/>
      <c r="Y158" s="225"/>
      <c r="Z158" s="224">
        <v>55.777777777777779</v>
      </c>
      <c r="AA158" s="224">
        <v>39.666666666666664</v>
      </c>
      <c r="AB158" s="224"/>
      <c r="AC158" s="226">
        <v>5.5</v>
      </c>
      <c r="AD158" s="227">
        <v>51.566591464091466</v>
      </c>
    </row>
    <row r="159" spans="1:30">
      <c r="A159" s="236">
        <v>156</v>
      </c>
      <c r="B159" s="220">
        <v>145</v>
      </c>
      <c r="C159" s="221">
        <f t="shared" si="2"/>
        <v>0.52348993288590606</v>
      </c>
      <c r="D159" s="222" t="s">
        <v>902</v>
      </c>
      <c r="E159" s="223" t="s">
        <v>900</v>
      </c>
      <c r="F159" s="220">
        <v>9</v>
      </c>
      <c r="G159" s="220">
        <v>14</v>
      </c>
      <c r="H159" s="224">
        <v>50.182500000000005</v>
      </c>
      <c r="I159" s="225">
        <v>6</v>
      </c>
      <c r="J159" s="225">
        <v>4</v>
      </c>
      <c r="K159" s="224">
        <v>40.559043362193357</v>
      </c>
      <c r="L159" s="225">
        <v>5</v>
      </c>
      <c r="M159" s="225">
        <v>3</v>
      </c>
      <c r="N159" s="224">
        <v>44.504666666666651</v>
      </c>
      <c r="O159" s="225">
        <v>5</v>
      </c>
      <c r="P159" s="225">
        <v>3</v>
      </c>
      <c r="Q159" s="224">
        <v>53</v>
      </c>
      <c r="R159" s="225">
        <v>6</v>
      </c>
      <c r="S159" s="225">
        <v>4</v>
      </c>
      <c r="T159" s="225"/>
      <c r="U159" s="225"/>
      <c r="V159" s="234"/>
      <c r="W159" s="225"/>
      <c r="X159" s="234"/>
      <c r="Y159" s="234"/>
      <c r="Z159" s="224">
        <v>56.592592592592595</v>
      </c>
      <c r="AA159" s="224"/>
      <c r="AB159" s="224">
        <v>64</v>
      </c>
      <c r="AC159" s="226">
        <v>5.5</v>
      </c>
      <c r="AD159" s="227">
        <v>51.334327749355019</v>
      </c>
    </row>
    <row r="160" spans="1:30">
      <c r="A160" s="235">
        <v>157</v>
      </c>
      <c r="B160" s="220">
        <v>146</v>
      </c>
      <c r="C160" s="221">
        <f t="shared" si="2"/>
        <v>0.52684563758389258</v>
      </c>
      <c r="D160" s="222" t="s">
        <v>521</v>
      </c>
      <c r="E160" s="223" t="s">
        <v>519</v>
      </c>
      <c r="F160" s="220">
        <v>4</v>
      </c>
      <c r="G160" s="220">
        <v>6</v>
      </c>
      <c r="H160" s="224">
        <v>54.14429487179487</v>
      </c>
      <c r="I160" s="225">
        <v>6</v>
      </c>
      <c r="J160" s="225">
        <v>4</v>
      </c>
      <c r="K160" s="224">
        <v>45.241445780195775</v>
      </c>
      <c r="L160" s="225">
        <v>6</v>
      </c>
      <c r="M160" s="225">
        <v>4</v>
      </c>
      <c r="N160" s="224">
        <v>55.520777777777795</v>
      </c>
      <c r="O160" s="225">
        <v>6</v>
      </c>
      <c r="P160" s="225">
        <v>4</v>
      </c>
      <c r="Q160" s="224">
        <v>53</v>
      </c>
      <c r="R160" s="225">
        <v>6</v>
      </c>
      <c r="S160" s="225">
        <v>4</v>
      </c>
      <c r="T160" s="225"/>
      <c r="U160" s="225"/>
      <c r="V160" s="225"/>
      <c r="W160" s="225"/>
      <c r="X160" s="225"/>
      <c r="Y160" s="225"/>
      <c r="Z160" s="224">
        <v>46.851851851851848</v>
      </c>
      <c r="AA160" s="224"/>
      <c r="AB160" s="224">
        <v>54</v>
      </c>
      <c r="AC160" s="226">
        <v>5.5</v>
      </c>
      <c r="AD160" s="227">
        <v>51.319703687567319</v>
      </c>
    </row>
    <row r="161" spans="1:30">
      <c r="A161" s="236">
        <v>158</v>
      </c>
      <c r="B161" s="220">
        <v>147</v>
      </c>
      <c r="C161" s="221">
        <f t="shared" si="2"/>
        <v>0.53020134228187921</v>
      </c>
      <c r="D161" s="222" t="s">
        <v>539</v>
      </c>
      <c r="E161" s="223" t="s">
        <v>537</v>
      </c>
      <c r="F161" s="220">
        <v>9</v>
      </c>
      <c r="G161" s="220">
        <v>15</v>
      </c>
      <c r="H161" s="224">
        <v>57.374551282051286</v>
      </c>
      <c r="I161" s="225">
        <v>7</v>
      </c>
      <c r="J161" s="225">
        <v>4</v>
      </c>
      <c r="K161" s="224">
        <v>54.611523376623374</v>
      </c>
      <c r="L161" s="225">
        <v>6</v>
      </c>
      <c r="M161" s="225">
        <v>4</v>
      </c>
      <c r="N161" s="224">
        <v>73.584222222222195</v>
      </c>
      <c r="O161" s="225">
        <v>8</v>
      </c>
      <c r="P161" s="225">
        <v>5</v>
      </c>
      <c r="Q161" s="224">
        <v>51</v>
      </c>
      <c r="R161" s="225">
        <v>6</v>
      </c>
      <c r="S161" s="225">
        <v>4</v>
      </c>
      <c r="T161" s="225"/>
      <c r="U161" s="225"/>
      <c r="V161" s="225"/>
      <c r="W161" s="225"/>
      <c r="X161" s="225"/>
      <c r="Y161" s="225"/>
      <c r="Z161" s="224">
        <v>56.851851851851848</v>
      </c>
      <c r="AA161" s="224"/>
      <c r="AB161" s="224">
        <v>14</v>
      </c>
      <c r="AC161" s="226">
        <v>5.5</v>
      </c>
      <c r="AD161" s="227">
        <v>51.258572496863401</v>
      </c>
    </row>
    <row r="162" spans="1:30">
      <c r="A162" s="236">
        <v>159</v>
      </c>
      <c r="B162" s="220">
        <v>148</v>
      </c>
      <c r="C162" s="221">
        <f t="shared" si="2"/>
        <v>0.53355704697986572</v>
      </c>
      <c r="D162" s="222" t="s">
        <v>667</v>
      </c>
      <c r="E162" s="223" t="s">
        <v>665</v>
      </c>
      <c r="F162" s="220">
        <v>11</v>
      </c>
      <c r="G162" s="220">
        <v>15</v>
      </c>
      <c r="H162" s="224">
        <v>46.15455128205128</v>
      </c>
      <c r="I162" s="225">
        <v>5</v>
      </c>
      <c r="J162" s="225">
        <v>3</v>
      </c>
      <c r="K162" s="224">
        <v>41.727046753970662</v>
      </c>
      <c r="L162" s="225">
        <v>5</v>
      </c>
      <c r="M162" s="225">
        <v>3</v>
      </c>
      <c r="N162" s="224">
        <v>38.219888888888903</v>
      </c>
      <c r="O162" s="225">
        <v>4</v>
      </c>
      <c r="P162" s="225">
        <v>3</v>
      </c>
      <c r="Q162" s="224">
        <v>65</v>
      </c>
      <c r="R162" s="225">
        <v>7</v>
      </c>
      <c r="S162" s="225">
        <v>4</v>
      </c>
      <c r="T162" s="225"/>
      <c r="U162" s="225"/>
      <c r="V162" s="225"/>
      <c r="W162" s="225"/>
      <c r="X162" s="225"/>
      <c r="Y162" s="225"/>
      <c r="Z162" s="224">
        <v>58.370370370370381</v>
      </c>
      <c r="AA162" s="224"/>
      <c r="AB162" s="224">
        <v>64.7</v>
      </c>
      <c r="AC162" s="226">
        <v>5.5</v>
      </c>
      <c r="AD162" s="227">
        <v>51.213064962778397</v>
      </c>
    </row>
    <row r="163" spans="1:30">
      <c r="A163" s="235">
        <v>160</v>
      </c>
      <c r="B163" s="220">
        <v>149</v>
      </c>
      <c r="C163" s="221">
        <f t="shared" si="2"/>
        <v>0.53691275167785235</v>
      </c>
      <c r="D163" s="222" t="s">
        <v>953</v>
      </c>
      <c r="E163" s="223" t="s">
        <v>951</v>
      </c>
      <c r="F163" s="220">
        <v>6</v>
      </c>
      <c r="G163" s="220">
        <v>9</v>
      </c>
      <c r="H163" s="224">
        <v>41.926346153846154</v>
      </c>
      <c r="I163" s="225">
        <v>5</v>
      </c>
      <c r="J163" s="225">
        <v>3</v>
      </c>
      <c r="K163" s="224">
        <v>39.223179690096089</v>
      </c>
      <c r="L163" s="225">
        <v>5</v>
      </c>
      <c r="M163" s="225">
        <v>3</v>
      </c>
      <c r="N163" s="224">
        <v>50.532166666666647</v>
      </c>
      <c r="O163" s="225">
        <v>6</v>
      </c>
      <c r="P163" s="225">
        <v>4</v>
      </c>
      <c r="Q163" s="224">
        <v>49</v>
      </c>
      <c r="R163" s="225">
        <v>5</v>
      </c>
      <c r="S163" s="225">
        <v>3</v>
      </c>
      <c r="T163" s="225"/>
      <c r="U163" s="225"/>
      <c r="V163" s="234"/>
      <c r="W163" s="225"/>
      <c r="X163" s="234"/>
      <c r="Y163" s="234"/>
      <c r="Z163" s="224">
        <v>64.740740740740733</v>
      </c>
      <c r="AA163" s="224"/>
      <c r="AB163" s="224">
        <v>59.5</v>
      </c>
      <c r="AC163" s="226">
        <v>5.5</v>
      </c>
      <c r="AD163" s="227">
        <v>50.985896954790839</v>
      </c>
    </row>
    <row r="164" spans="1:30">
      <c r="A164" s="236">
        <v>161</v>
      </c>
      <c r="B164" s="220">
        <v>150</v>
      </c>
      <c r="C164" s="221">
        <f t="shared" si="2"/>
        <v>0.54026845637583898</v>
      </c>
      <c r="D164" s="222" t="s">
        <v>530</v>
      </c>
      <c r="E164" s="223" t="s">
        <v>528</v>
      </c>
      <c r="F164" s="220">
        <v>8</v>
      </c>
      <c r="G164" s="220">
        <v>12</v>
      </c>
      <c r="H164" s="224">
        <v>41.491858974358976</v>
      </c>
      <c r="I164" s="225">
        <v>5</v>
      </c>
      <c r="J164" s="225">
        <v>3</v>
      </c>
      <c r="K164" s="224">
        <v>38.254399811541113</v>
      </c>
      <c r="L164" s="225">
        <v>5</v>
      </c>
      <c r="M164" s="225">
        <v>3</v>
      </c>
      <c r="N164" s="224">
        <v>50.622222222222206</v>
      </c>
      <c r="O164" s="225">
        <v>6</v>
      </c>
      <c r="P164" s="225">
        <v>4</v>
      </c>
      <c r="Q164" s="224"/>
      <c r="R164" s="225"/>
      <c r="S164" s="225"/>
      <c r="T164" s="225"/>
      <c r="U164" s="225"/>
      <c r="V164" s="225"/>
      <c r="W164" s="224">
        <v>46.65</v>
      </c>
      <c r="X164" s="225">
        <v>5</v>
      </c>
      <c r="Y164" s="225">
        <v>3</v>
      </c>
      <c r="Z164" s="224">
        <v>60.555555555555557</v>
      </c>
      <c r="AA164" s="224"/>
      <c r="AB164" s="224">
        <v>65.5</v>
      </c>
      <c r="AC164" s="226">
        <v>5.5</v>
      </c>
      <c r="AD164" s="227">
        <v>50.863461193395977</v>
      </c>
    </row>
    <row r="165" spans="1:30">
      <c r="A165" s="236">
        <v>162</v>
      </c>
      <c r="B165" s="220">
        <v>151</v>
      </c>
      <c r="C165" s="221">
        <f t="shared" si="2"/>
        <v>0.5436241610738255</v>
      </c>
      <c r="D165" s="222" t="s">
        <v>397</v>
      </c>
      <c r="E165" s="241" t="s">
        <v>395</v>
      </c>
      <c r="F165" s="242">
        <v>2</v>
      </c>
      <c r="G165" s="242">
        <v>2</v>
      </c>
      <c r="H165" s="224">
        <v>39.46512820512821</v>
      </c>
      <c r="I165" s="225">
        <v>4</v>
      </c>
      <c r="J165" s="225">
        <v>3</v>
      </c>
      <c r="K165" s="224">
        <v>37.213817460317458</v>
      </c>
      <c r="L165" s="225">
        <v>5</v>
      </c>
      <c r="M165" s="225">
        <v>3</v>
      </c>
      <c r="N165" s="224">
        <v>59.416666666666693</v>
      </c>
      <c r="O165" s="225">
        <v>6</v>
      </c>
      <c r="P165" s="225">
        <v>4</v>
      </c>
      <c r="Q165" s="224">
        <v>62</v>
      </c>
      <c r="R165" s="225">
        <v>7</v>
      </c>
      <c r="S165" s="225">
        <v>4</v>
      </c>
      <c r="T165" s="225"/>
      <c r="U165" s="225"/>
      <c r="V165" s="225"/>
      <c r="W165" s="225"/>
      <c r="X165" s="225"/>
      <c r="Y165" s="225"/>
      <c r="Z165" s="224">
        <v>57.925925925925924</v>
      </c>
      <c r="AA165" s="224"/>
      <c r="AB165" s="224">
        <v>54</v>
      </c>
      <c r="AC165" s="226">
        <v>5.5</v>
      </c>
      <c r="AD165" s="227">
        <v>50.73118877418878</v>
      </c>
    </row>
    <row r="166" spans="1:30">
      <c r="A166" s="235">
        <v>163</v>
      </c>
      <c r="B166" s="220">
        <v>152</v>
      </c>
      <c r="C166" s="221">
        <f t="shared" si="2"/>
        <v>0.54697986577181212</v>
      </c>
      <c r="D166" s="222" t="s">
        <v>724</v>
      </c>
      <c r="E166" s="223" t="s">
        <v>722</v>
      </c>
      <c r="F166" s="220">
        <v>10</v>
      </c>
      <c r="G166" s="220">
        <v>15</v>
      </c>
      <c r="H166" s="224">
        <v>49.188461538461539</v>
      </c>
      <c r="I166" s="225">
        <v>6</v>
      </c>
      <c r="J166" s="225">
        <v>4</v>
      </c>
      <c r="K166" s="224">
        <v>39.455122655122651</v>
      </c>
      <c r="L166" s="225">
        <v>5</v>
      </c>
      <c r="M166" s="225">
        <v>3</v>
      </c>
      <c r="N166" s="224">
        <v>53.139777777777795</v>
      </c>
      <c r="O166" s="225">
        <v>6</v>
      </c>
      <c r="P166" s="225">
        <v>4</v>
      </c>
      <c r="Q166" s="224">
        <v>54</v>
      </c>
      <c r="R166" s="225">
        <v>6</v>
      </c>
      <c r="S166" s="225">
        <v>4</v>
      </c>
      <c r="T166" s="225"/>
      <c r="U166" s="225"/>
      <c r="V166" s="225"/>
      <c r="W166" s="225"/>
      <c r="X166" s="225"/>
      <c r="Y166" s="225"/>
      <c r="Z166" s="224">
        <v>59.185185185185176</v>
      </c>
      <c r="AA166" s="224"/>
      <c r="AB166" s="224">
        <v>46.8</v>
      </c>
      <c r="AC166" s="226">
        <v>5.5</v>
      </c>
      <c r="AD166" s="227">
        <v>49.957917664826759</v>
      </c>
    </row>
    <row r="167" spans="1:30">
      <c r="A167" s="236">
        <v>164</v>
      </c>
      <c r="B167" s="220">
        <v>153</v>
      </c>
      <c r="C167" s="221">
        <f t="shared" si="2"/>
        <v>0.55033557046979864</v>
      </c>
      <c r="D167" s="222" t="s">
        <v>838</v>
      </c>
      <c r="E167" s="223" t="s">
        <v>836</v>
      </c>
      <c r="F167" s="220">
        <v>4</v>
      </c>
      <c r="G167" s="220">
        <v>5</v>
      </c>
      <c r="H167" s="224">
        <v>49.002564102564101</v>
      </c>
      <c r="I167" s="225">
        <v>6</v>
      </c>
      <c r="J167" s="225">
        <v>4</v>
      </c>
      <c r="K167" s="224">
        <v>35.320531765531761</v>
      </c>
      <c r="L167" s="225">
        <v>5</v>
      </c>
      <c r="M167" s="225">
        <v>3</v>
      </c>
      <c r="N167" s="224">
        <v>51.485111111111102</v>
      </c>
      <c r="O167" s="225">
        <v>6</v>
      </c>
      <c r="P167" s="225">
        <v>4</v>
      </c>
      <c r="Q167" s="224">
        <v>54</v>
      </c>
      <c r="R167" s="225">
        <v>6</v>
      </c>
      <c r="S167" s="225">
        <v>4</v>
      </c>
      <c r="T167" s="225"/>
      <c r="U167" s="225"/>
      <c r="V167" s="225"/>
      <c r="W167" s="225"/>
      <c r="X167" s="225"/>
      <c r="Y167" s="225"/>
      <c r="Z167" s="224">
        <v>75.592592592592595</v>
      </c>
      <c r="AA167" s="224"/>
      <c r="AB167" s="224">
        <v>36.299999999999997</v>
      </c>
      <c r="AC167" s="226">
        <v>5.5</v>
      </c>
      <c r="AD167" s="227">
        <v>49.945599922145377</v>
      </c>
    </row>
    <row r="168" spans="1:30">
      <c r="A168" s="236">
        <v>165</v>
      </c>
      <c r="B168" s="220">
        <v>154</v>
      </c>
      <c r="C168" s="221">
        <f t="shared" si="2"/>
        <v>0.55369127516778527</v>
      </c>
      <c r="D168" s="222" t="s">
        <v>810</v>
      </c>
      <c r="E168" s="223" t="s">
        <v>808</v>
      </c>
      <c r="F168" s="220">
        <v>10</v>
      </c>
      <c r="G168" s="220">
        <v>15</v>
      </c>
      <c r="H168" s="224">
        <v>57.41205128205128</v>
      </c>
      <c r="I168" s="225">
        <v>7</v>
      </c>
      <c r="J168" s="225">
        <v>4</v>
      </c>
      <c r="K168" s="224">
        <v>33.048354978354972</v>
      </c>
      <c r="L168" s="225">
        <v>4</v>
      </c>
      <c r="M168" s="225">
        <v>3</v>
      </c>
      <c r="N168" s="224">
        <v>40.520777777777752</v>
      </c>
      <c r="O168" s="225">
        <v>5</v>
      </c>
      <c r="P168" s="225">
        <v>3</v>
      </c>
      <c r="Q168" s="224"/>
      <c r="R168" s="225"/>
      <c r="S168" s="225"/>
      <c r="T168" s="225"/>
      <c r="U168" s="225"/>
      <c r="V168" s="225"/>
      <c r="W168" s="224">
        <v>52.400000000000006</v>
      </c>
      <c r="X168" s="225">
        <v>5</v>
      </c>
      <c r="Y168" s="225">
        <v>3</v>
      </c>
      <c r="Z168" s="224">
        <v>57.148148148148152</v>
      </c>
      <c r="AA168" s="224"/>
      <c r="AB168" s="224">
        <v>60</v>
      </c>
      <c r="AC168" s="226">
        <v>5.5</v>
      </c>
      <c r="AD168" s="227">
        <v>49.878060397514929</v>
      </c>
    </row>
    <row r="169" spans="1:30">
      <c r="A169" s="235">
        <v>166</v>
      </c>
      <c r="B169" s="220">
        <v>155</v>
      </c>
      <c r="C169" s="221">
        <f t="shared" si="2"/>
        <v>0.55704697986577179</v>
      </c>
      <c r="D169" s="222" t="s">
        <v>974</v>
      </c>
      <c r="E169" s="223" t="s">
        <v>972</v>
      </c>
      <c r="F169" s="220">
        <v>10</v>
      </c>
      <c r="G169" s="220">
        <v>13</v>
      </c>
      <c r="H169" s="224">
        <v>49.533397435897427</v>
      </c>
      <c r="I169" s="225">
        <v>6</v>
      </c>
      <c r="J169" s="225">
        <v>4</v>
      </c>
      <c r="K169" s="224">
        <v>33.928575036075031</v>
      </c>
      <c r="L169" s="225">
        <v>4</v>
      </c>
      <c r="M169" s="225">
        <v>3</v>
      </c>
      <c r="N169" s="224">
        <v>44.643944444444443</v>
      </c>
      <c r="O169" s="225">
        <v>5</v>
      </c>
      <c r="P169" s="225">
        <v>3</v>
      </c>
      <c r="Q169" s="224">
        <v>50</v>
      </c>
      <c r="R169" s="225">
        <v>6</v>
      </c>
      <c r="S169" s="225">
        <v>4</v>
      </c>
      <c r="T169" s="225"/>
      <c r="U169" s="225"/>
      <c r="V169" s="234"/>
      <c r="W169" s="225"/>
      <c r="X169" s="234"/>
      <c r="Y169" s="234"/>
      <c r="Z169" s="224">
        <v>64.259259259259267</v>
      </c>
      <c r="AA169" s="224">
        <v>56.666666666666671</v>
      </c>
      <c r="AB169" s="224"/>
      <c r="AC169" s="226">
        <v>5.5</v>
      </c>
      <c r="AD169" s="227">
        <v>49.823971425880515</v>
      </c>
    </row>
    <row r="170" spans="1:30" ht="12.5" customHeight="1">
      <c r="A170" s="236">
        <v>167</v>
      </c>
      <c r="B170" s="220">
        <v>156</v>
      </c>
      <c r="C170" s="221">
        <f t="shared" si="2"/>
        <v>0.56040268456375841</v>
      </c>
      <c r="D170" s="222" t="s">
        <v>736</v>
      </c>
      <c r="E170" s="223" t="s">
        <v>734</v>
      </c>
      <c r="F170" s="220">
        <v>4</v>
      </c>
      <c r="G170" s="220">
        <v>6</v>
      </c>
      <c r="H170" s="224">
        <v>45.582628205128202</v>
      </c>
      <c r="I170" s="225">
        <v>5</v>
      </c>
      <c r="J170" s="225">
        <v>3</v>
      </c>
      <c r="K170" s="224">
        <v>38.8059848972349</v>
      </c>
      <c r="L170" s="225">
        <v>5</v>
      </c>
      <c r="M170" s="225">
        <v>3</v>
      </c>
      <c r="N170" s="224">
        <v>51.023666666666649</v>
      </c>
      <c r="O170" s="225">
        <v>6</v>
      </c>
      <c r="P170" s="225">
        <v>4</v>
      </c>
      <c r="Q170" s="224">
        <v>41</v>
      </c>
      <c r="R170" s="225">
        <v>5</v>
      </c>
      <c r="S170" s="225">
        <v>3</v>
      </c>
      <c r="T170" s="225"/>
      <c r="U170" s="225"/>
      <c r="V170" s="225"/>
      <c r="W170" s="225"/>
      <c r="X170" s="225"/>
      <c r="Y170" s="225"/>
      <c r="Z170" s="224">
        <v>63.481481481481481</v>
      </c>
      <c r="AA170" s="224"/>
      <c r="AB170" s="224">
        <v>53.5</v>
      </c>
      <c r="AC170" s="226">
        <v>5.5</v>
      </c>
      <c r="AD170" s="227">
        <v>49.617047500092959</v>
      </c>
    </row>
    <row r="171" spans="1:30">
      <c r="A171" s="236">
        <v>168</v>
      </c>
      <c r="B171" s="220">
        <v>157</v>
      </c>
      <c r="C171" s="221">
        <f t="shared" si="2"/>
        <v>0.56375838926174493</v>
      </c>
      <c r="D171" s="222" t="s">
        <v>421</v>
      </c>
      <c r="E171" s="223" t="s">
        <v>419</v>
      </c>
      <c r="F171" s="220">
        <v>4</v>
      </c>
      <c r="G171" s="220">
        <v>15</v>
      </c>
      <c r="H171" s="224">
        <v>46.553974358974358</v>
      </c>
      <c r="I171" s="225">
        <v>5</v>
      </c>
      <c r="J171" s="225">
        <v>3</v>
      </c>
      <c r="K171" s="224">
        <v>33.695988699738699</v>
      </c>
      <c r="L171" s="225">
        <v>4</v>
      </c>
      <c r="M171" s="225">
        <v>3</v>
      </c>
      <c r="N171" s="224">
        <v>53.821333333333349</v>
      </c>
      <c r="O171" s="225">
        <v>6</v>
      </c>
      <c r="P171" s="225">
        <v>4</v>
      </c>
      <c r="Q171" s="224">
        <v>50</v>
      </c>
      <c r="R171" s="225">
        <v>6</v>
      </c>
      <c r="S171" s="225">
        <v>4</v>
      </c>
      <c r="T171" s="225"/>
      <c r="U171" s="225"/>
      <c r="V171" s="225"/>
      <c r="W171" s="225"/>
      <c r="X171" s="225"/>
      <c r="Y171" s="225"/>
      <c r="Z171" s="224">
        <v>59.629629629629626</v>
      </c>
      <c r="AA171" s="224"/>
      <c r="AB171" s="224">
        <v>54</v>
      </c>
      <c r="AC171" s="226">
        <v>5.5</v>
      </c>
      <c r="AD171" s="227">
        <v>49.581986549395644</v>
      </c>
    </row>
    <row r="172" spans="1:30">
      <c r="A172" s="235">
        <v>169</v>
      </c>
      <c r="B172" s="220">
        <v>158</v>
      </c>
      <c r="C172" s="221">
        <f t="shared" si="2"/>
        <v>0.56711409395973156</v>
      </c>
      <c r="D172" s="222" t="s">
        <v>370</v>
      </c>
      <c r="E172" s="223" t="s">
        <v>368</v>
      </c>
      <c r="F172" s="220">
        <v>8</v>
      </c>
      <c r="G172" s="220">
        <v>11</v>
      </c>
      <c r="H172" s="224">
        <v>44.88717948717948</v>
      </c>
      <c r="I172" s="225">
        <v>5</v>
      </c>
      <c r="J172" s="225">
        <v>3</v>
      </c>
      <c r="K172" s="224">
        <v>31.920556811545943</v>
      </c>
      <c r="L172" s="225">
        <v>4</v>
      </c>
      <c r="M172" s="225">
        <v>3</v>
      </c>
      <c r="N172" s="224">
        <v>48.755555555555546</v>
      </c>
      <c r="O172" s="225">
        <v>5</v>
      </c>
      <c r="P172" s="225">
        <v>3</v>
      </c>
      <c r="Q172" s="224">
        <v>58</v>
      </c>
      <c r="R172" s="225">
        <v>6</v>
      </c>
      <c r="S172" s="225">
        <v>4</v>
      </c>
      <c r="T172" s="225"/>
      <c r="U172" s="225"/>
      <c r="V172" s="225"/>
      <c r="W172" s="225"/>
      <c r="X172" s="225"/>
      <c r="Y172" s="225"/>
      <c r="Z172" s="224">
        <v>65</v>
      </c>
      <c r="AA172" s="224"/>
      <c r="AB172" s="224">
        <v>53</v>
      </c>
      <c r="AC172" s="226">
        <v>5.5</v>
      </c>
      <c r="AD172" s="227">
        <v>49.556962155323816</v>
      </c>
    </row>
    <row r="173" spans="1:30">
      <c r="A173" s="236">
        <v>170</v>
      </c>
      <c r="B173" s="220">
        <v>159</v>
      </c>
      <c r="C173" s="221">
        <f t="shared" si="2"/>
        <v>0.57046979865771807</v>
      </c>
      <c r="D173" s="222" t="s">
        <v>391</v>
      </c>
      <c r="E173" s="223" t="s">
        <v>389</v>
      </c>
      <c r="F173" s="220">
        <v>9</v>
      </c>
      <c r="G173" s="220">
        <v>15</v>
      </c>
      <c r="H173" s="224">
        <v>47.353269230769229</v>
      </c>
      <c r="I173" s="225">
        <v>6</v>
      </c>
      <c r="J173" s="225">
        <v>4</v>
      </c>
      <c r="K173" s="224">
        <v>31.610662481962478</v>
      </c>
      <c r="L173" s="225">
        <v>4</v>
      </c>
      <c r="M173" s="225">
        <v>3</v>
      </c>
      <c r="N173" s="224">
        <v>59.080999999999996</v>
      </c>
      <c r="O173" s="225">
        <v>6</v>
      </c>
      <c r="P173" s="225">
        <v>4</v>
      </c>
      <c r="Q173" s="224">
        <v>55</v>
      </c>
      <c r="R173" s="225">
        <v>6</v>
      </c>
      <c r="S173" s="225">
        <v>4</v>
      </c>
      <c r="T173" s="225"/>
      <c r="U173" s="225"/>
      <c r="V173" s="225"/>
      <c r="W173" s="225"/>
      <c r="X173" s="225"/>
      <c r="Y173" s="225"/>
      <c r="Z173" s="224">
        <v>52.851851851851848</v>
      </c>
      <c r="AA173" s="224"/>
      <c r="AB173" s="224">
        <v>54</v>
      </c>
      <c r="AC173" s="226">
        <v>5.5</v>
      </c>
      <c r="AD173" s="227">
        <v>49.526687920833368</v>
      </c>
    </row>
    <row r="174" spans="1:30">
      <c r="A174" s="236">
        <v>171</v>
      </c>
      <c r="B174" s="220">
        <v>160</v>
      </c>
      <c r="C174" s="221">
        <f t="shared" si="2"/>
        <v>0.5738255033557047</v>
      </c>
      <c r="D174" s="222" t="s">
        <v>184</v>
      </c>
      <c r="E174" s="223" t="s">
        <v>182</v>
      </c>
      <c r="F174" s="220">
        <v>10</v>
      </c>
      <c r="G174" s="220">
        <v>13</v>
      </c>
      <c r="H174" s="224">
        <v>47.158910256410259</v>
      </c>
      <c r="I174" s="225">
        <v>6</v>
      </c>
      <c r="J174" s="225">
        <v>4</v>
      </c>
      <c r="K174" s="224">
        <v>37.540698051948048</v>
      </c>
      <c r="L174" s="225">
        <v>5</v>
      </c>
      <c r="M174" s="225">
        <v>3</v>
      </c>
      <c r="N174" s="224">
        <v>68.560611111111101</v>
      </c>
      <c r="O174" s="225">
        <v>7</v>
      </c>
      <c r="P174" s="225">
        <v>4</v>
      </c>
      <c r="Q174" s="224">
        <v>60</v>
      </c>
      <c r="R174" s="225">
        <v>7</v>
      </c>
      <c r="S174" s="225">
        <v>4</v>
      </c>
      <c r="T174" s="225"/>
      <c r="U174" s="225"/>
      <c r="V174" s="225"/>
      <c r="W174" s="225"/>
      <c r="X174" s="225"/>
      <c r="Y174" s="225"/>
      <c r="Z174" s="224">
        <v>66.740740740740733</v>
      </c>
      <c r="AA174" s="224"/>
      <c r="AB174" s="224">
        <v>22</v>
      </c>
      <c r="AC174" s="226">
        <v>5.5</v>
      </c>
      <c r="AD174" s="227">
        <v>49.454720029129128</v>
      </c>
    </row>
    <row r="175" spans="1:30">
      <c r="A175" s="235">
        <v>172</v>
      </c>
      <c r="B175" s="220">
        <v>161</v>
      </c>
      <c r="C175" s="221">
        <f t="shared" si="2"/>
        <v>0.57718120805369133</v>
      </c>
      <c r="D175" s="222" t="s">
        <v>82</v>
      </c>
      <c r="E175" s="223" t="s">
        <v>80</v>
      </c>
      <c r="F175" s="220">
        <v>6</v>
      </c>
      <c r="G175" s="220">
        <v>9</v>
      </c>
      <c r="H175" s="224">
        <v>36.212307692307697</v>
      </c>
      <c r="I175" s="225">
        <v>4</v>
      </c>
      <c r="J175" s="225">
        <v>3</v>
      </c>
      <c r="K175" s="224">
        <v>41.010701440953014</v>
      </c>
      <c r="L175" s="225">
        <v>5</v>
      </c>
      <c r="M175" s="225">
        <v>3</v>
      </c>
      <c r="N175" s="224">
        <v>37.327833333333302</v>
      </c>
      <c r="O175" s="225">
        <v>4</v>
      </c>
      <c r="P175" s="225">
        <v>3</v>
      </c>
      <c r="Q175" s="224">
        <v>59</v>
      </c>
      <c r="R175" s="225">
        <v>6</v>
      </c>
      <c r="S175" s="225">
        <v>4</v>
      </c>
      <c r="T175" s="225"/>
      <c r="U175" s="225"/>
      <c r="V175" s="225"/>
      <c r="W175" s="225"/>
      <c r="X175" s="225"/>
      <c r="Y175" s="225"/>
      <c r="Z175" s="224">
        <v>53.666666666666671</v>
      </c>
      <c r="AA175" s="224"/>
      <c r="AB175" s="224">
        <v>74</v>
      </c>
      <c r="AC175" s="226">
        <v>5.5</v>
      </c>
      <c r="AD175" s="227">
        <v>49.403183478774672</v>
      </c>
    </row>
    <row r="176" spans="1:30">
      <c r="A176" s="236">
        <v>173</v>
      </c>
      <c r="B176" s="220">
        <v>162</v>
      </c>
      <c r="C176" s="221">
        <f t="shared" si="2"/>
        <v>0.58053691275167785</v>
      </c>
      <c r="D176" s="222" t="s">
        <v>304</v>
      </c>
      <c r="E176" s="223" t="s">
        <v>2072</v>
      </c>
      <c r="F176" s="220" t="s">
        <v>1002</v>
      </c>
      <c r="G176" s="220" t="s">
        <v>2059</v>
      </c>
      <c r="H176" s="224">
        <v>43.924935897435901</v>
      </c>
      <c r="I176" s="225">
        <v>5</v>
      </c>
      <c r="J176" s="225">
        <v>3</v>
      </c>
      <c r="K176" s="224">
        <v>58.677166598416605</v>
      </c>
      <c r="L176" s="225">
        <v>7</v>
      </c>
      <c r="M176" s="225">
        <v>4</v>
      </c>
      <c r="N176" s="224">
        <v>45.30205555555554</v>
      </c>
      <c r="O176" s="225">
        <v>5</v>
      </c>
      <c r="P176" s="225">
        <v>3</v>
      </c>
      <c r="Q176" s="224">
        <v>41</v>
      </c>
      <c r="R176" s="225">
        <v>5</v>
      </c>
      <c r="S176" s="225">
        <v>3</v>
      </c>
      <c r="T176" s="225"/>
      <c r="U176" s="225"/>
      <c r="V176" s="225"/>
      <c r="W176" s="225"/>
      <c r="X176" s="225"/>
      <c r="Y176" s="225"/>
      <c r="Z176" s="224">
        <v>64.074074074074076</v>
      </c>
      <c r="AA176" s="224"/>
      <c r="AB176" s="224">
        <v>39</v>
      </c>
      <c r="AC176" s="226">
        <v>5.5</v>
      </c>
      <c r="AD176" s="227">
        <v>49.35967856826948</v>
      </c>
    </row>
    <row r="177" spans="1:30">
      <c r="A177" s="236">
        <v>174</v>
      </c>
      <c r="B177" s="220">
        <v>163</v>
      </c>
      <c r="C177" s="221">
        <f t="shared" si="2"/>
        <v>0.58389261744966447</v>
      </c>
      <c r="D177" s="222" t="s">
        <v>388</v>
      </c>
      <c r="E177" s="223" t="s">
        <v>386</v>
      </c>
      <c r="F177" s="220">
        <v>10</v>
      </c>
      <c r="G177" s="220">
        <v>15</v>
      </c>
      <c r="H177" s="224">
        <v>48.460833333333341</v>
      </c>
      <c r="I177" s="225">
        <v>6</v>
      </c>
      <c r="J177" s="225">
        <v>4</v>
      </c>
      <c r="K177" s="224">
        <v>42.005589826839831</v>
      </c>
      <c r="L177" s="225">
        <v>5</v>
      </c>
      <c r="M177" s="225">
        <v>3</v>
      </c>
      <c r="N177" s="224">
        <v>57.413388888888889</v>
      </c>
      <c r="O177" s="225">
        <v>6</v>
      </c>
      <c r="P177" s="225">
        <v>4</v>
      </c>
      <c r="Q177" s="224">
        <v>51</v>
      </c>
      <c r="R177" s="225">
        <v>6</v>
      </c>
      <c r="S177" s="225">
        <v>4</v>
      </c>
      <c r="T177" s="225"/>
      <c r="U177" s="225"/>
      <c r="V177" s="225"/>
      <c r="W177" s="225"/>
      <c r="X177" s="225"/>
      <c r="Y177" s="225"/>
      <c r="Z177" s="224">
        <v>48.888888888888886</v>
      </c>
      <c r="AA177" s="224"/>
      <c r="AB177" s="224">
        <v>49</v>
      </c>
      <c r="AC177" s="226">
        <v>5.5</v>
      </c>
      <c r="AD177" s="227">
        <v>49.32158198871835</v>
      </c>
    </row>
    <row r="178" spans="1:30">
      <c r="A178" s="235">
        <v>175</v>
      </c>
      <c r="B178" s="220">
        <v>164</v>
      </c>
      <c r="C178" s="221">
        <f t="shared" si="2"/>
        <v>0.58724832214765099</v>
      </c>
      <c r="D178" s="222" t="s">
        <v>151</v>
      </c>
      <c r="E178" s="223" t="s">
        <v>149</v>
      </c>
      <c r="F178" s="220">
        <v>9</v>
      </c>
      <c r="G178" s="220">
        <v>16</v>
      </c>
      <c r="H178" s="224">
        <v>42.068205128205129</v>
      </c>
      <c r="I178" s="225">
        <v>5</v>
      </c>
      <c r="J178" s="225">
        <v>3</v>
      </c>
      <c r="K178" s="224">
        <v>38.294151082251076</v>
      </c>
      <c r="L178" s="225">
        <v>5</v>
      </c>
      <c r="M178" s="225">
        <v>3</v>
      </c>
      <c r="N178" s="224">
        <v>37.862555555555552</v>
      </c>
      <c r="O178" s="225">
        <v>4</v>
      </c>
      <c r="P178" s="225">
        <v>3</v>
      </c>
      <c r="Q178" s="224">
        <v>43</v>
      </c>
      <c r="R178" s="225">
        <v>5</v>
      </c>
      <c r="S178" s="225">
        <v>3</v>
      </c>
      <c r="T178" s="225"/>
      <c r="U178" s="225"/>
      <c r="V178" s="225"/>
      <c r="W178" s="225"/>
      <c r="X178" s="225"/>
      <c r="Y178" s="225"/>
      <c r="Z178" s="224">
        <v>65.407407407407405</v>
      </c>
      <c r="AA178" s="224"/>
      <c r="AB178" s="224">
        <v>65</v>
      </c>
      <c r="AC178" s="226">
        <v>5.5</v>
      </c>
      <c r="AD178" s="227">
        <v>49.114967122439843</v>
      </c>
    </row>
    <row r="179" spans="1:30">
      <c r="A179" s="236">
        <v>176</v>
      </c>
      <c r="B179" s="220">
        <v>165</v>
      </c>
      <c r="C179" s="221">
        <f t="shared" si="2"/>
        <v>0.59060402684563762</v>
      </c>
      <c r="D179" s="222" t="s">
        <v>542</v>
      </c>
      <c r="E179" s="223" t="s">
        <v>540</v>
      </c>
      <c r="F179" s="220">
        <v>1</v>
      </c>
      <c r="G179" s="220">
        <v>3</v>
      </c>
      <c r="H179" s="224">
        <v>44.373717948717953</v>
      </c>
      <c r="I179" s="225">
        <v>5</v>
      </c>
      <c r="J179" s="225">
        <v>3</v>
      </c>
      <c r="K179" s="224">
        <v>41.791512193362188</v>
      </c>
      <c r="L179" s="225">
        <v>5</v>
      </c>
      <c r="M179" s="225">
        <v>3</v>
      </c>
      <c r="N179" s="224">
        <v>56.360222222222198</v>
      </c>
      <c r="O179" s="225">
        <v>6</v>
      </c>
      <c r="P179" s="225">
        <v>4</v>
      </c>
      <c r="Q179" s="224"/>
      <c r="R179" s="225"/>
      <c r="S179" s="225"/>
      <c r="T179" s="225"/>
      <c r="U179" s="225"/>
      <c r="V179" s="225"/>
      <c r="W179" s="224">
        <v>43.6</v>
      </c>
      <c r="X179" s="225">
        <v>5</v>
      </c>
      <c r="Y179" s="225">
        <v>3</v>
      </c>
      <c r="Z179" s="224">
        <v>47.074074074074076</v>
      </c>
      <c r="AA179" s="224"/>
      <c r="AB179" s="224">
        <v>58</v>
      </c>
      <c r="AC179" s="226">
        <v>5.5</v>
      </c>
      <c r="AD179" s="227">
        <v>48.981732079704805</v>
      </c>
    </row>
    <row r="180" spans="1:30">
      <c r="A180" s="236">
        <v>177</v>
      </c>
      <c r="B180" s="220">
        <v>166</v>
      </c>
      <c r="C180" s="221">
        <f t="shared" si="2"/>
        <v>0.59395973154362414</v>
      </c>
      <c r="D180" s="222" t="s">
        <v>679</v>
      </c>
      <c r="E180" s="223" t="s">
        <v>677</v>
      </c>
      <c r="F180" s="220">
        <v>2</v>
      </c>
      <c r="G180" s="220">
        <v>2</v>
      </c>
      <c r="H180" s="224">
        <v>48.240448717948716</v>
      </c>
      <c r="I180" s="225">
        <v>6</v>
      </c>
      <c r="J180" s="225">
        <v>4</v>
      </c>
      <c r="K180" s="224">
        <v>32.196832251082256</v>
      </c>
      <c r="L180" s="225">
        <v>4</v>
      </c>
      <c r="M180" s="225">
        <v>3</v>
      </c>
      <c r="N180" s="224">
        <v>41.388888888888857</v>
      </c>
      <c r="O180" s="225">
        <v>5</v>
      </c>
      <c r="P180" s="225">
        <v>3</v>
      </c>
      <c r="Q180" s="224">
        <v>55</v>
      </c>
      <c r="R180" s="225">
        <v>6</v>
      </c>
      <c r="S180" s="225">
        <v>4</v>
      </c>
      <c r="T180" s="225"/>
      <c r="U180" s="225"/>
      <c r="V180" s="225"/>
      <c r="W180" s="225"/>
      <c r="X180" s="225"/>
      <c r="Y180" s="225"/>
      <c r="Z180" s="224">
        <v>64.555555555555557</v>
      </c>
      <c r="AA180" s="224"/>
      <c r="AB180" s="224">
        <v>55.3</v>
      </c>
      <c r="AC180" s="226">
        <v>5.5</v>
      </c>
      <c r="AD180" s="227">
        <v>48.942131893359168</v>
      </c>
    </row>
    <row r="181" spans="1:30">
      <c r="A181" s="235">
        <v>178</v>
      </c>
      <c r="B181" s="220">
        <v>167</v>
      </c>
      <c r="C181" s="221">
        <f t="shared" si="2"/>
        <v>0.59731543624161076</v>
      </c>
      <c r="D181" s="222" t="s">
        <v>560</v>
      </c>
      <c r="E181" s="223" t="s">
        <v>558</v>
      </c>
      <c r="F181" s="220">
        <v>4</v>
      </c>
      <c r="G181" s="220">
        <v>6</v>
      </c>
      <c r="H181" s="224">
        <v>38.826538461538462</v>
      </c>
      <c r="I181" s="225">
        <v>4</v>
      </c>
      <c r="J181" s="225">
        <v>3</v>
      </c>
      <c r="K181" s="224">
        <v>42.275112271362268</v>
      </c>
      <c r="L181" s="225">
        <v>5</v>
      </c>
      <c r="M181" s="225">
        <v>3</v>
      </c>
      <c r="N181" s="224">
        <v>37.537444444444446</v>
      </c>
      <c r="O181" s="225">
        <v>4</v>
      </c>
      <c r="P181" s="225">
        <v>3</v>
      </c>
      <c r="Q181" s="224">
        <v>45</v>
      </c>
      <c r="R181" s="225">
        <v>5</v>
      </c>
      <c r="S181" s="225">
        <v>3</v>
      </c>
      <c r="T181" s="225"/>
      <c r="U181" s="225"/>
      <c r="V181" s="225"/>
      <c r="W181" s="225"/>
      <c r="X181" s="225"/>
      <c r="Y181" s="225"/>
      <c r="Z181" s="224">
        <v>65.81481481481481</v>
      </c>
      <c r="AA181" s="224"/>
      <c r="AB181" s="224">
        <v>62</v>
      </c>
      <c r="AC181" s="226">
        <v>5.5</v>
      </c>
      <c r="AD181" s="227">
        <v>48.900710907665456</v>
      </c>
    </row>
    <row r="182" spans="1:30">
      <c r="A182" s="236">
        <v>179</v>
      </c>
      <c r="B182" s="220">
        <v>168</v>
      </c>
      <c r="C182" s="221">
        <f t="shared" si="2"/>
        <v>0.60067114093959728</v>
      </c>
      <c r="D182" s="222" t="s">
        <v>524</v>
      </c>
      <c r="E182" s="223" t="s">
        <v>522</v>
      </c>
      <c r="F182" s="220">
        <v>8</v>
      </c>
      <c r="G182" s="220">
        <v>11</v>
      </c>
      <c r="H182" s="224">
        <v>42.401923076923083</v>
      </c>
      <c r="I182" s="225">
        <v>5</v>
      </c>
      <c r="J182" s="225">
        <v>3</v>
      </c>
      <c r="K182" s="224">
        <v>35.322011512641943</v>
      </c>
      <c r="L182" s="225">
        <v>5</v>
      </c>
      <c r="M182" s="225">
        <v>3</v>
      </c>
      <c r="N182" s="224">
        <v>40.077777777777754</v>
      </c>
      <c r="O182" s="225">
        <v>5</v>
      </c>
      <c r="P182" s="225">
        <v>3</v>
      </c>
      <c r="Q182" s="224">
        <v>54</v>
      </c>
      <c r="R182" s="225">
        <v>6</v>
      </c>
      <c r="S182" s="225">
        <v>4</v>
      </c>
      <c r="T182" s="225"/>
      <c r="U182" s="225"/>
      <c r="V182" s="225"/>
      <c r="W182" s="225"/>
      <c r="X182" s="225"/>
      <c r="Y182" s="225"/>
      <c r="Z182" s="224">
        <v>61.296296296296291</v>
      </c>
      <c r="AA182" s="224"/>
      <c r="AB182" s="224">
        <v>62</v>
      </c>
      <c r="AC182" s="226">
        <v>5.5</v>
      </c>
      <c r="AD182" s="227">
        <v>48.745092484298013</v>
      </c>
    </row>
    <row r="183" spans="1:30">
      <c r="A183" s="236">
        <v>180</v>
      </c>
      <c r="B183" s="220">
        <v>169</v>
      </c>
      <c r="C183" s="221">
        <f t="shared" si="2"/>
        <v>0.60402684563758391</v>
      </c>
      <c r="D183" s="222" t="s">
        <v>437</v>
      </c>
      <c r="E183" s="223" t="s">
        <v>435</v>
      </c>
      <c r="F183" s="220">
        <v>1</v>
      </c>
      <c r="G183" s="220">
        <v>2</v>
      </c>
      <c r="H183" s="224">
        <v>53.4325641025641</v>
      </c>
      <c r="I183" s="225">
        <v>6</v>
      </c>
      <c r="J183" s="225">
        <v>4</v>
      </c>
      <c r="K183" s="224">
        <v>35.431963131313125</v>
      </c>
      <c r="L183" s="225">
        <v>5</v>
      </c>
      <c r="M183" s="225">
        <v>3</v>
      </c>
      <c r="N183" s="224">
        <v>49.082611111111099</v>
      </c>
      <c r="O183" s="225">
        <v>5</v>
      </c>
      <c r="P183" s="225">
        <v>3</v>
      </c>
      <c r="Q183" s="224">
        <v>47</v>
      </c>
      <c r="R183" s="225">
        <v>5</v>
      </c>
      <c r="S183" s="225">
        <v>3</v>
      </c>
      <c r="T183" s="225"/>
      <c r="U183" s="225"/>
      <c r="V183" s="225"/>
      <c r="W183" s="225"/>
      <c r="X183" s="225"/>
      <c r="Y183" s="225"/>
      <c r="Z183" s="224">
        <v>57.185185185185183</v>
      </c>
      <c r="AA183" s="224"/>
      <c r="AB183" s="224">
        <v>49</v>
      </c>
      <c r="AC183" s="226">
        <v>5.5</v>
      </c>
      <c r="AD183" s="227">
        <v>48.660422460031548</v>
      </c>
    </row>
    <row r="184" spans="1:30">
      <c r="A184" s="235">
        <v>181</v>
      </c>
      <c r="B184" s="220">
        <v>170</v>
      </c>
      <c r="C184" s="221">
        <f t="shared" si="2"/>
        <v>0.60738255033557043</v>
      </c>
      <c r="D184" s="222" t="s">
        <v>482</v>
      </c>
      <c r="E184" s="223" t="s">
        <v>2073</v>
      </c>
      <c r="F184" s="220" t="s">
        <v>1002</v>
      </c>
      <c r="G184" s="220" t="s">
        <v>2059</v>
      </c>
      <c r="H184" s="224">
        <v>18.307564102564104</v>
      </c>
      <c r="I184" s="225">
        <v>2</v>
      </c>
      <c r="J184" s="225">
        <v>2</v>
      </c>
      <c r="K184" s="224">
        <v>78.952902967902958</v>
      </c>
      <c r="L184" s="225">
        <v>9</v>
      </c>
      <c r="M184" s="225">
        <v>5</v>
      </c>
      <c r="N184" s="224">
        <v>57.825444444444457</v>
      </c>
      <c r="O184" s="225">
        <v>6</v>
      </c>
      <c r="P184" s="225">
        <v>4</v>
      </c>
      <c r="Q184" s="224"/>
      <c r="R184" s="225"/>
      <c r="S184" s="225"/>
      <c r="T184" s="225">
        <v>43</v>
      </c>
      <c r="U184" s="225">
        <v>5</v>
      </c>
      <c r="V184" s="225">
        <v>3</v>
      </c>
      <c r="W184" s="225"/>
      <c r="X184" s="225"/>
      <c r="Y184" s="225"/>
      <c r="Z184" s="224">
        <v>49.925925925925924</v>
      </c>
      <c r="AA184" s="224"/>
      <c r="AB184" s="224">
        <v>41</v>
      </c>
      <c r="AC184" s="226">
        <v>5.5</v>
      </c>
      <c r="AD184" s="227">
        <v>48.638515898334077</v>
      </c>
    </row>
    <row r="185" spans="1:30">
      <c r="A185" s="236">
        <v>182</v>
      </c>
      <c r="B185" s="220">
        <v>171</v>
      </c>
      <c r="C185" s="221">
        <f t="shared" si="2"/>
        <v>0.61073825503355705</v>
      </c>
      <c r="D185" s="222" t="s">
        <v>613</v>
      </c>
      <c r="E185" s="223" t="s">
        <v>611</v>
      </c>
      <c r="F185" s="220">
        <v>11</v>
      </c>
      <c r="G185" s="220">
        <v>14</v>
      </c>
      <c r="H185" s="224">
        <v>40.103461538461538</v>
      </c>
      <c r="I185" s="225">
        <v>5</v>
      </c>
      <c r="J185" s="225">
        <v>3</v>
      </c>
      <c r="K185" s="224">
        <v>37.009822836583702</v>
      </c>
      <c r="L185" s="225">
        <v>5</v>
      </c>
      <c r="M185" s="225">
        <v>3</v>
      </c>
      <c r="N185" s="224">
        <v>48.325277777777757</v>
      </c>
      <c r="O185" s="225">
        <v>5</v>
      </c>
      <c r="P185" s="225">
        <v>3</v>
      </c>
      <c r="Q185" s="224">
        <v>61</v>
      </c>
      <c r="R185" s="225">
        <v>7</v>
      </c>
      <c r="S185" s="225">
        <v>4</v>
      </c>
      <c r="T185" s="225"/>
      <c r="U185" s="225"/>
      <c r="V185" s="225"/>
      <c r="W185" s="225"/>
      <c r="X185" s="225"/>
      <c r="Y185" s="225"/>
      <c r="Z185" s="224">
        <v>50.962962962962962</v>
      </c>
      <c r="AA185" s="224"/>
      <c r="AB185" s="224">
        <v>59.4</v>
      </c>
      <c r="AC185" s="226">
        <v>5.5</v>
      </c>
      <c r="AD185" s="227">
        <v>48.418459111961084</v>
      </c>
    </row>
    <row r="186" spans="1:30">
      <c r="A186" s="236">
        <v>183</v>
      </c>
      <c r="B186" s="220">
        <v>172</v>
      </c>
      <c r="C186" s="221">
        <f t="shared" si="2"/>
        <v>0.61409395973154357</v>
      </c>
      <c r="D186" s="222" t="s">
        <v>124</v>
      </c>
      <c r="E186" s="223" t="s">
        <v>2074</v>
      </c>
      <c r="F186" s="220">
        <v>11</v>
      </c>
      <c r="G186" s="220">
        <v>16</v>
      </c>
      <c r="H186" s="224">
        <v>48.45878205128205</v>
      </c>
      <c r="I186" s="225">
        <v>6</v>
      </c>
      <c r="J186" s="225">
        <v>4</v>
      </c>
      <c r="K186" s="224">
        <v>39.691423160173159</v>
      </c>
      <c r="L186" s="225">
        <v>5</v>
      </c>
      <c r="M186" s="225">
        <v>3</v>
      </c>
      <c r="N186" s="224">
        <v>49.026444444444451</v>
      </c>
      <c r="O186" s="225">
        <v>5</v>
      </c>
      <c r="P186" s="225">
        <v>3</v>
      </c>
      <c r="Q186" s="224">
        <v>42</v>
      </c>
      <c r="R186" s="225">
        <v>5</v>
      </c>
      <c r="S186" s="225">
        <v>3</v>
      </c>
      <c r="T186" s="225"/>
      <c r="U186" s="225"/>
      <c r="V186" s="225"/>
      <c r="W186" s="225"/>
      <c r="X186" s="225"/>
      <c r="Y186" s="225"/>
      <c r="Z186" s="224">
        <v>54.259259259259267</v>
      </c>
      <c r="AA186" s="224"/>
      <c r="AB186" s="224">
        <v>52.2</v>
      </c>
      <c r="AC186" s="226">
        <v>5.5</v>
      </c>
      <c r="AD186" s="227">
        <v>48.115619802756171</v>
      </c>
    </row>
    <row r="187" spans="1:30">
      <c r="A187" s="235">
        <v>184</v>
      </c>
      <c r="B187" s="220">
        <v>173</v>
      </c>
      <c r="C187" s="221">
        <f t="shared" si="2"/>
        <v>0.6174496644295302</v>
      </c>
      <c r="D187" s="222" t="s">
        <v>757</v>
      </c>
      <c r="E187" s="223" t="s">
        <v>755</v>
      </c>
      <c r="F187" s="220">
        <v>8</v>
      </c>
      <c r="G187" s="220">
        <v>11</v>
      </c>
      <c r="H187" s="224">
        <v>33.593974358974364</v>
      </c>
      <c r="I187" s="225">
        <v>4</v>
      </c>
      <c r="J187" s="225">
        <v>3</v>
      </c>
      <c r="K187" s="224">
        <v>38.95305894347198</v>
      </c>
      <c r="L187" s="225">
        <v>5</v>
      </c>
      <c r="M187" s="225">
        <v>3</v>
      </c>
      <c r="N187" s="224">
        <v>51.133333333333304</v>
      </c>
      <c r="O187" s="225">
        <v>6</v>
      </c>
      <c r="P187" s="225">
        <v>4</v>
      </c>
      <c r="Q187" s="224"/>
      <c r="R187" s="225"/>
      <c r="S187" s="225"/>
      <c r="T187" s="225">
        <v>52</v>
      </c>
      <c r="U187" s="225">
        <v>6</v>
      </c>
      <c r="V187" s="225">
        <v>4</v>
      </c>
      <c r="W187" s="225"/>
      <c r="X187" s="225"/>
      <c r="Y187" s="225"/>
      <c r="Z187" s="224">
        <v>60.555555555555557</v>
      </c>
      <c r="AA187" s="224"/>
      <c r="AB187" s="224">
        <v>54.3</v>
      </c>
      <c r="AC187" s="226">
        <v>5.5</v>
      </c>
      <c r="AD187" s="227">
        <v>48.097440398424581</v>
      </c>
    </row>
    <row r="188" spans="1:30">
      <c r="A188" s="236">
        <v>185</v>
      </c>
      <c r="B188" s="220">
        <v>174</v>
      </c>
      <c r="C188" s="221">
        <f t="shared" si="2"/>
        <v>0.62080536912751683</v>
      </c>
      <c r="D188" s="222" t="s">
        <v>136</v>
      </c>
      <c r="E188" s="223" t="s">
        <v>134</v>
      </c>
      <c r="F188" s="220">
        <v>8</v>
      </c>
      <c r="G188" s="220">
        <v>11</v>
      </c>
      <c r="H188" s="224">
        <v>50.006025641025644</v>
      </c>
      <c r="I188" s="225">
        <v>6</v>
      </c>
      <c r="J188" s="225">
        <v>4</v>
      </c>
      <c r="K188" s="224">
        <v>30.939778107158542</v>
      </c>
      <c r="L188" s="225">
        <v>4</v>
      </c>
      <c r="M188" s="225">
        <v>3</v>
      </c>
      <c r="N188" s="224">
        <v>35</v>
      </c>
      <c r="O188" s="225">
        <v>4</v>
      </c>
      <c r="P188" s="225">
        <v>3</v>
      </c>
      <c r="Q188" s="224">
        <v>59</v>
      </c>
      <c r="R188" s="225">
        <v>6</v>
      </c>
      <c r="S188" s="225">
        <v>4</v>
      </c>
      <c r="T188" s="225"/>
      <c r="U188" s="225"/>
      <c r="V188" s="225"/>
      <c r="W188" s="225"/>
      <c r="X188" s="225"/>
      <c r="Y188" s="225"/>
      <c r="Z188" s="224">
        <v>48.407407407407405</v>
      </c>
      <c r="AA188" s="224">
        <v>70</v>
      </c>
      <c r="AB188" s="224"/>
      <c r="AC188" s="226">
        <v>5.5</v>
      </c>
      <c r="AD188" s="227">
        <v>47.973311119198463</v>
      </c>
    </row>
    <row r="189" spans="1:30">
      <c r="A189" s="236">
        <v>186</v>
      </c>
      <c r="B189" s="220">
        <v>175</v>
      </c>
      <c r="C189" s="221">
        <f t="shared" si="2"/>
        <v>0.62416107382550334</v>
      </c>
      <c r="D189" s="222" t="s">
        <v>929</v>
      </c>
      <c r="E189" s="223" t="s">
        <v>927</v>
      </c>
      <c r="F189" s="220">
        <v>5</v>
      </c>
      <c r="G189" s="220">
        <v>8</v>
      </c>
      <c r="H189" s="224">
        <v>36.101794871794873</v>
      </c>
      <c r="I189" s="225">
        <v>4</v>
      </c>
      <c r="J189" s="225">
        <v>3</v>
      </c>
      <c r="K189" s="224">
        <v>27.716588201756181</v>
      </c>
      <c r="L189" s="225">
        <v>4</v>
      </c>
      <c r="M189" s="225">
        <v>3</v>
      </c>
      <c r="N189" s="224">
        <v>44.521722222222245</v>
      </c>
      <c r="O189" s="225">
        <v>5</v>
      </c>
      <c r="P189" s="225">
        <v>3</v>
      </c>
      <c r="Q189" s="224">
        <v>53</v>
      </c>
      <c r="R189" s="225">
        <v>6</v>
      </c>
      <c r="S189" s="225">
        <v>4</v>
      </c>
      <c r="T189" s="225"/>
      <c r="U189" s="225"/>
      <c r="V189" s="234"/>
      <c r="W189" s="225"/>
      <c r="X189" s="234"/>
      <c r="Y189" s="234"/>
      <c r="Z189" s="224">
        <v>61.888888888888886</v>
      </c>
      <c r="AA189" s="224"/>
      <c r="AB189" s="224">
        <v>66.900000000000006</v>
      </c>
      <c r="AC189" s="226">
        <v>5.5</v>
      </c>
      <c r="AD189" s="227">
        <v>47.932544397211309</v>
      </c>
    </row>
    <row r="190" spans="1:30">
      <c r="A190" s="235">
        <v>187</v>
      </c>
      <c r="B190" s="220">
        <v>176</v>
      </c>
      <c r="C190" s="221">
        <f t="shared" si="2"/>
        <v>0.62751677852348997</v>
      </c>
      <c r="D190" s="222" t="s">
        <v>373</v>
      </c>
      <c r="E190" s="223" t="s">
        <v>371</v>
      </c>
      <c r="F190" s="220">
        <v>5</v>
      </c>
      <c r="G190" s="220">
        <v>9</v>
      </c>
      <c r="H190" s="224">
        <v>34.903653846153844</v>
      </c>
      <c r="I190" s="225">
        <v>4</v>
      </c>
      <c r="J190" s="225">
        <v>3</v>
      </c>
      <c r="K190" s="224">
        <v>32.993732501900482</v>
      </c>
      <c r="L190" s="225">
        <v>4</v>
      </c>
      <c r="M190" s="225">
        <v>3</v>
      </c>
      <c r="N190" s="224">
        <v>44.637444444444441</v>
      </c>
      <c r="O190" s="225">
        <v>5</v>
      </c>
      <c r="P190" s="225">
        <v>3</v>
      </c>
      <c r="Q190" s="224">
        <v>43</v>
      </c>
      <c r="R190" s="225">
        <v>5</v>
      </c>
      <c r="S190" s="225">
        <v>3</v>
      </c>
      <c r="T190" s="225"/>
      <c r="U190" s="225"/>
      <c r="V190" s="225"/>
      <c r="W190" s="225"/>
      <c r="X190" s="225"/>
      <c r="Y190" s="225"/>
      <c r="Z190" s="224">
        <v>62.703703703703709</v>
      </c>
      <c r="AA190" s="224"/>
      <c r="AB190" s="224">
        <v>65.7</v>
      </c>
      <c r="AC190" s="226">
        <v>5.5</v>
      </c>
      <c r="AD190" s="227">
        <v>47.716097181127722</v>
      </c>
    </row>
    <row r="191" spans="1:30">
      <c r="A191" s="236">
        <v>188</v>
      </c>
      <c r="B191" s="220">
        <v>177</v>
      </c>
      <c r="C191" s="221">
        <f t="shared" si="2"/>
        <v>0.63087248322147649</v>
      </c>
      <c r="D191" s="222" t="s">
        <v>856</v>
      </c>
      <c r="E191" s="223" t="s">
        <v>854</v>
      </c>
      <c r="F191" s="220">
        <v>8</v>
      </c>
      <c r="G191" s="220">
        <v>11</v>
      </c>
      <c r="H191" s="224">
        <v>41.35589743589744</v>
      </c>
      <c r="I191" s="225">
        <v>5</v>
      </c>
      <c r="J191" s="225">
        <v>3</v>
      </c>
      <c r="K191" s="224">
        <v>35.357253759525491</v>
      </c>
      <c r="L191" s="225">
        <v>5</v>
      </c>
      <c r="M191" s="225">
        <v>3</v>
      </c>
      <c r="N191" s="224">
        <v>42.233333333333348</v>
      </c>
      <c r="O191" s="225">
        <v>5</v>
      </c>
      <c r="P191" s="225">
        <v>3</v>
      </c>
      <c r="Q191" s="224">
        <v>32</v>
      </c>
      <c r="R191" s="225">
        <v>2</v>
      </c>
      <c r="S191" s="225">
        <v>2</v>
      </c>
      <c r="T191" s="225"/>
      <c r="U191" s="225"/>
      <c r="V191" s="234"/>
      <c r="W191" s="225"/>
      <c r="X191" s="234"/>
      <c r="Y191" s="234"/>
      <c r="Z191" s="224">
        <v>56.740740740740733</v>
      </c>
      <c r="AA191" s="224">
        <v>70.666666666666657</v>
      </c>
      <c r="AB191" s="224"/>
      <c r="AC191" s="226">
        <v>5.5</v>
      </c>
      <c r="AD191" s="227">
        <v>47.70070762475703</v>
      </c>
    </row>
    <row r="192" spans="1:30">
      <c r="A192" s="236">
        <v>189</v>
      </c>
      <c r="B192" s="220">
        <v>178</v>
      </c>
      <c r="C192" s="221">
        <f t="shared" si="2"/>
        <v>0.63422818791946312</v>
      </c>
      <c r="D192" s="222" t="s">
        <v>607</v>
      </c>
      <c r="E192" s="223" t="s">
        <v>605</v>
      </c>
      <c r="F192" s="220">
        <v>5</v>
      </c>
      <c r="G192" s="220">
        <v>8</v>
      </c>
      <c r="H192" s="224">
        <v>42.393717948717949</v>
      </c>
      <c r="I192" s="225">
        <v>5</v>
      </c>
      <c r="J192" s="225">
        <v>3</v>
      </c>
      <c r="K192" s="224">
        <v>28.858222491931482</v>
      </c>
      <c r="L192" s="225">
        <v>4</v>
      </c>
      <c r="M192" s="225">
        <v>3</v>
      </c>
      <c r="N192" s="224">
        <v>44.187999999999995</v>
      </c>
      <c r="O192" s="225">
        <v>5</v>
      </c>
      <c r="P192" s="225">
        <v>3</v>
      </c>
      <c r="Q192" s="224">
        <v>65</v>
      </c>
      <c r="R192" s="225">
        <v>7</v>
      </c>
      <c r="S192" s="225">
        <v>4</v>
      </c>
      <c r="T192" s="225"/>
      <c r="U192" s="225"/>
      <c r="V192" s="225"/>
      <c r="W192" s="225"/>
      <c r="X192" s="225"/>
      <c r="Y192" s="225"/>
      <c r="Z192" s="224">
        <v>56</v>
      </c>
      <c r="AA192" s="224"/>
      <c r="AB192" s="224">
        <v>57.8</v>
      </c>
      <c r="AC192" s="226">
        <v>5.5</v>
      </c>
      <c r="AD192" s="227">
        <v>47.58908008011808</v>
      </c>
    </row>
    <row r="193" spans="1:30">
      <c r="A193" s="235">
        <v>190</v>
      </c>
      <c r="B193" s="220">
        <v>179</v>
      </c>
      <c r="C193" s="221">
        <f t="shared" si="2"/>
        <v>0.63758389261744963</v>
      </c>
      <c r="D193" s="222" t="s">
        <v>440</v>
      </c>
      <c r="E193" s="223" t="s">
        <v>438</v>
      </c>
      <c r="F193" s="220">
        <v>10</v>
      </c>
      <c r="G193" s="220">
        <v>15</v>
      </c>
      <c r="H193" s="224">
        <v>57.823397435897434</v>
      </c>
      <c r="I193" s="225">
        <v>7</v>
      </c>
      <c r="J193" s="225">
        <v>4</v>
      </c>
      <c r="K193" s="224">
        <v>28.643470418470418</v>
      </c>
      <c r="L193" s="225">
        <v>4</v>
      </c>
      <c r="M193" s="225">
        <v>3</v>
      </c>
      <c r="N193" s="224">
        <v>46.738888888888852</v>
      </c>
      <c r="O193" s="225">
        <v>5</v>
      </c>
      <c r="P193" s="225">
        <v>3</v>
      </c>
      <c r="Q193" s="224">
        <v>50</v>
      </c>
      <c r="R193" s="225">
        <v>6</v>
      </c>
      <c r="S193" s="225">
        <v>4</v>
      </c>
      <c r="T193" s="225"/>
      <c r="U193" s="225"/>
      <c r="V193" s="243"/>
      <c r="W193" s="225"/>
      <c r="X193" s="225"/>
      <c r="Y193" s="225"/>
      <c r="Z193" s="224">
        <v>56.851851851851848</v>
      </c>
      <c r="AA193" s="224"/>
      <c r="AB193" s="224">
        <v>46</v>
      </c>
      <c r="AC193" s="226">
        <v>5.5</v>
      </c>
      <c r="AD193" s="227">
        <v>47.46501974456519</v>
      </c>
    </row>
    <row r="194" spans="1:30">
      <c r="A194" s="236">
        <v>191</v>
      </c>
      <c r="B194" s="220">
        <v>180</v>
      </c>
      <c r="C194" s="221">
        <f t="shared" si="2"/>
        <v>0.64093959731543626</v>
      </c>
      <c r="D194" s="222" t="s">
        <v>661</v>
      </c>
      <c r="E194" s="223" t="s">
        <v>659</v>
      </c>
      <c r="F194" s="220">
        <v>9</v>
      </c>
      <c r="G194" s="220">
        <v>16</v>
      </c>
      <c r="H194" s="224">
        <v>48.27326923076923</v>
      </c>
      <c r="I194" s="225">
        <v>6</v>
      </c>
      <c r="J194" s="225">
        <v>4</v>
      </c>
      <c r="K194" s="224">
        <v>35.252009523809527</v>
      </c>
      <c r="L194" s="225">
        <v>5</v>
      </c>
      <c r="M194" s="225">
        <v>3</v>
      </c>
      <c r="N194" s="224">
        <v>55.322222222222202</v>
      </c>
      <c r="O194" s="225">
        <v>6</v>
      </c>
      <c r="P194" s="225">
        <v>4</v>
      </c>
      <c r="Q194" s="224">
        <v>51</v>
      </c>
      <c r="R194" s="225">
        <v>6</v>
      </c>
      <c r="S194" s="225">
        <v>4</v>
      </c>
      <c r="T194" s="225"/>
      <c r="U194" s="225"/>
      <c r="V194" s="225"/>
      <c r="W194" s="225"/>
      <c r="X194" s="225"/>
      <c r="Y194" s="225"/>
      <c r="Z194" s="224">
        <v>45.185185185185183</v>
      </c>
      <c r="AA194" s="224"/>
      <c r="AB194" s="224">
        <v>51.5</v>
      </c>
      <c r="AC194" s="226">
        <v>5.5</v>
      </c>
      <c r="AD194" s="227">
        <v>47.46048839308839</v>
      </c>
    </row>
    <row r="195" spans="1:30">
      <c r="A195" s="236">
        <v>192</v>
      </c>
      <c r="B195" s="220">
        <v>181</v>
      </c>
      <c r="C195" s="221">
        <f t="shared" si="2"/>
        <v>0.64429530201342278</v>
      </c>
      <c r="D195" s="222" t="s">
        <v>813</v>
      </c>
      <c r="E195" s="223" t="s">
        <v>811</v>
      </c>
      <c r="F195" s="220">
        <v>9</v>
      </c>
      <c r="G195" s="220">
        <v>14</v>
      </c>
      <c r="H195" s="224">
        <v>48.98621794871795</v>
      </c>
      <c r="I195" s="225">
        <v>6</v>
      </c>
      <c r="J195" s="225">
        <v>4</v>
      </c>
      <c r="K195" s="224">
        <v>31.257150432900431</v>
      </c>
      <c r="L195" s="225">
        <v>4</v>
      </c>
      <c r="M195" s="225">
        <v>3</v>
      </c>
      <c r="N195" s="224">
        <v>39.359944444444444</v>
      </c>
      <c r="O195" s="225">
        <v>4</v>
      </c>
      <c r="P195" s="225">
        <v>3</v>
      </c>
      <c r="Q195" s="224">
        <v>44</v>
      </c>
      <c r="R195" s="225">
        <v>5</v>
      </c>
      <c r="S195" s="225">
        <v>3</v>
      </c>
      <c r="T195" s="225"/>
      <c r="U195" s="225"/>
      <c r="V195" s="225"/>
      <c r="W195" s="225"/>
      <c r="X195" s="225"/>
      <c r="Y195" s="225"/>
      <c r="Z195" s="224">
        <v>60.666666666666671</v>
      </c>
      <c r="AA195" s="224"/>
      <c r="AB195" s="224">
        <v>58.5</v>
      </c>
      <c r="AC195" s="226">
        <v>5.5</v>
      </c>
      <c r="AD195" s="227">
        <v>47.412723544132632</v>
      </c>
    </row>
    <row r="196" spans="1:30">
      <c r="A196" s="235">
        <v>193</v>
      </c>
      <c r="B196" s="220">
        <v>182</v>
      </c>
      <c r="C196" s="221">
        <f t="shared" ref="C196:C259" si="3">A196/298</f>
        <v>0.6476510067114094</v>
      </c>
      <c r="D196" s="222" t="s">
        <v>39</v>
      </c>
      <c r="E196" s="223" t="s">
        <v>37</v>
      </c>
      <c r="F196" s="220">
        <v>8</v>
      </c>
      <c r="G196" s="220">
        <v>11</v>
      </c>
      <c r="H196" s="224">
        <v>33.425320512820512</v>
      </c>
      <c r="I196" s="225">
        <v>4</v>
      </c>
      <c r="J196" s="225">
        <v>3</v>
      </c>
      <c r="K196" s="224">
        <v>42.74624212985082</v>
      </c>
      <c r="L196" s="225">
        <v>5</v>
      </c>
      <c r="M196" s="225">
        <v>3</v>
      </c>
      <c r="N196" s="224">
        <v>34.444444444444457</v>
      </c>
      <c r="O196" s="225">
        <v>4</v>
      </c>
      <c r="P196" s="225">
        <v>3</v>
      </c>
      <c r="Q196" s="224">
        <v>54</v>
      </c>
      <c r="R196" s="225">
        <v>6</v>
      </c>
      <c r="S196" s="225">
        <v>4</v>
      </c>
      <c r="T196" s="225"/>
      <c r="U196" s="225"/>
      <c r="V196" s="225"/>
      <c r="W196" s="224"/>
      <c r="X196" s="225"/>
      <c r="Y196" s="225"/>
      <c r="Z196" s="224">
        <v>60.407407407407405</v>
      </c>
      <c r="AA196" s="224"/>
      <c r="AB196" s="224">
        <v>60.8</v>
      </c>
      <c r="AC196" s="226">
        <v>5.5</v>
      </c>
      <c r="AD196" s="227">
        <v>47.058802635367854</v>
      </c>
    </row>
    <row r="197" spans="1:30">
      <c r="A197" s="236">
        <v>194</v>
      </c>
      <c r="B197" s="220">
        <v>183</v>
      </c>
      <c r="C197" s="221">
        <f t="shared" si="3"/>
        <v>0.65100671140939592</v>
      </c>
      <c r="D197" s="222" t="s">
        <v>340</v>
      </c>
      <c r="E197" s="223" t="s">
        <v>338</v>
      </c>
      <c r="F197" s="220">
        <v>8</v>
      </c>
      <c r="G197" s="220">
        <v>10</v>
      </c>
      <c r="H197" s="224">
        <v>36.211346153846151</v>
      </c>
      <c r="I197" s="225">
        <v>4</v>
      </c>
      <c r="J197" s="225">
        <v>3</v>
      </c>
      <c r="K197" s="224">
        <v>27.89650509997249</v>
      </c>
      <c r="L197" s="225">
        <v>4</v>
      </c>
      <c r="M197" s="225">
        <v>3</v>
      </c>
      <c r="N197" s="224">
        <v>49.91666666666665</v>
      </c>
      <c r="O197" s="225">
        <v>5</v>
      </c>
      <c r="P197" s="225">
        <v>3</v>
      </c>
      <c r="Q197" s="224">
        <v>48</v>
      </c>
      <c r="R197" s="225">
        <v>5</v>
      </c>
      <c r="S197" s="225">
        <v>3</v>
      </c>
      <c r="T197" s="225"/>
      <c r="U197" s="225"/>
      <c r="V197" s="225"/>
      <c r="W197" s="225"/>
      <c r="X197" s="225"/>
      <c r="Y197" s="225"/>
      <c r="Z197" s="224">
        <v>67.148148148148152</v>
      </c>
      <c r="AA197" s="224"/>
      <c r="AB197" s="224">
        <v>53.3</v>
      </c>
      <c r="AC197" s="226">
        <v>5.5</v>
      </c>
      <c r="AD197" s="227">
        <v>46.995030194296987</v>
      </c>
    </row>
    <row r="198" spans="1:30">
      <c r="A198" s="236">
        <v>195</v>
      </c>
      <c r="B198" s="220">
        <v>184</v>
      </c>
      <c r="C198" s="221">
        <f t="shared" si="3"/>
        <v>0.65436241610738255</v>
      </c>
      <c r="D198" s="222" t="s">
        <v>832</v>
      </c>
      <c r="E198" s="223" t="s">
        <v>830</v>
      </c>
      <c r="F198" s="220">
        <v>9</v>
      </c>
      <c r="G198" s="220">
        <v>13</v>
      </c>
      <c r="H198" s="224">
        <v>51.244102564102562</v>
      </c>
      <c r="I198" s="225">
        <v>6</v>
      </c>
      <c r="J198" s="225">
        <v>4</v>
      </c>
      <c r="K198" s="224">
        <v>32.394497691197692</v>
      </c>
      <c r="L198" s="225">
        <v>4</v>
      </c>
      <c r="M198" s="225">
        <v>3</v>
      </c>
      <c r="N198" s="224">
        <v>44.438000000000002</v>
      </c>
      <c r="O198" s="225">
        <v>5</v>
      </c>
      <c r="P198" s="225">
        <v>3</v>
      </c>
      <c r="Q198" s="224">
        <v>46</v>
      </c>
      <c r="R198" s="225">
        <v>5</v>
      </c>
      <c r="S198" s="225">
        <v>3</v>
      </c>
      <c r="T198" s="225"/>
      <c r="U198" s="225"/>
      <c r="V198" s="225"/>
      <c r="W198" s="225"/>
      <c r="X198" s="225"/>
      <c r="Y198" s="225"/>
      <c r="Z198" s="224">
        <v>65.148148148148152</v>
      </c>
      <c r="AA198" s="224"/>
      <c r="AB198" s="224">
        <v>41.4</v>
      </c>
      <c r="AC198" s="226">
        <v>5.5</v>
      </c>
      <c r="AD198" s="227">
        <v>46.840863346081527</v>
      </c>
    </row>
    <row r="199" spans="1:30">
      <c r="A199" s="235">
        <v>196</v>
      </c>
      <c r="B199" s="220">
        <v>185</v>
      </c>
      <c r="C199" s="221">
        <f t="shared" si="3"/>
        <v>0.65771812080536918</v>
      </c>
      <c r="D199" s="222" t="s">
        <v>727</v>
      </c>
      <c r="E199" s="223" t="s">
        <v>725</v>
      </c>
      <c r="F199" s="220">
        <v>7</v>
      </c>
      <c r="G199" s="220">
        <v>11</v>
      </c>
      <c r="H199" s="224">
        <v>30.015448717948718</v>
      </c>
      <c r="I199" s="225">
        <v>3</v>
      </c>
      <c r="J199" s="225">
        <v>2</v>
      </c>
      <c r="K199" s="224">
        <v>37.472699494949495</v>
      </c>
      <c r="L199" s="225">
        <v>5</v>
      </c>
      <c r="M199" s="225">
        <v>3</v>
      </c>
      <c r="N199" s="224">
        <v>45.711111111111144</v>
      </c>
      <c r="O199" s="225">
        <v>5</v>
      </c>
      <c r="P199" s="225">
        <v>3</v>
      </c>
      <c r="Q199" s="224">
        <v>41</v>
      </c>
      <c r="R199" s="225">
        <v>1</v>
      </c>
      <c r="S199" s="225">
        <v>2</v>
      </c>
      <c r="T199" s="225"/>
      <c r="U199" s="225"/>
      <c r="V199" s="225"/>
      <c r="W199" s="225"/>
      <c r="X199" s="225"/>
      <c r="Y199" s="225"/>
      <c r="Z199" s="224">
        <v>66.851851851851848</v>
      </c>
      <c r="AA199" s="224"/>
      <c r="AB199" s="224">
        <v>56.5</v>
      </c>
      <c r="AC199" s="226">
        <v>5.5</v>
      </c>
      <c r="AD199" s="227">
        <v>46.7365656683384</v>
      </c>
    </row>
    <row r="200" spans="1:30">
      <c r="A200" s="236">
        <v>197</v>
      </c>
      <c r="B200" s="220">
        <v>186</v>
      </c>
      <c r="C200" s="221">
        <f t="shared" si="3"/>
        <v>0.66107382550335569</v>
      </c>
      <c r="D200" s="222" t="s">
        <v>244</v>
      </c>
      <c r="E200" s="223" t="s">
        <v>242</v>
      </c>
      <c r="F200" s="220">
        <v>2</v>
      </c>
      <c r="G200" s="220">
        <v>2</v>
      </c>
      <c r="H200" s="224">
        <v>44.627820512820513</v>
      </c>
      <c r="I200" s="225">
        <v>5</v>
      </c>
      <c r="J200" s="225">
        <v>3</v>
      </c>
      <c r="K200" s="224">
        <v>41.922800865800866</v>
      </c>
      <c r="L200" s="225">
        <v>5</v>
      </c>
      <c r="M200" s="225">
        <v>3</v>
      </c>
      <c r="N200" s="224">
        <v>52.33333333333335</v>
      </c>
      <c r="O200" s="225">
        <v>6</v>
      </c>
      <c r="P200" s="225">
        <v>4</v>
      </c>
      <c r="Q200" s="224">
        <v>60</v>
      </c>
      <c r="R200" s="225">
        <v>7</v>
      </c>
      <c r="S200" s="225">
        <v>4</v>
      </c>
      <c r="T200" s="225"/>
      <c r="U200" s="225"/>
      <c r="V200" s="225"/>
      <c r="W200" s="225"/>
      <c r="X200" s="225"/>
      <c r="Y200" s="225"/>
      <c r="Z200" s="224">
        <v>52.555555555555557</v>
      </c>
      <c r="AA200" s="224"/>
      <c r="AB200" s="224">
        <v>35</v>
      </c>
      <c r="AC200" s="226">
        <v>5.5</v>
      </c>
      <c r="AD200" s="227">
        <v>46.625365503183687</v>
      </c>
    </row>
    <row r="201" spans="1:30">
      <c r="A201" s="236">
        <v>198</v>
      </c>
      <c r="B201" s="220">
        <v>187</v>
      </c>
      <c r="C201" s="221">
        <f t="shared" si="3"/>
        <v>0.66442953020134232</v>
      </c>
      <c r="D201" s="222" t="s">
        <v>331</v>
      </c>
      <c r="E201" s="223" t="s">
        <v>329</v>
      </c>
      <c r="F201" s="220">
        <v>4</v>
      </c>
      <c r="G201" s="220">
        <v>6</v>
      </c>
      <c r="H201" s="224">
        <v>36.002499999999998</v>
      </c>
      <c r="I201" s="225">
        <v>4</v>
      </c>
      <c r="J201" s="225">
        <v>3</v>
      </c>
      <c r="K201" s="224">
        <v>40.920209771459767</v>
      </c>
      <c r="L201" s="225">
        <v>5</v>
      </c>
      <c r="M201" s="225">
        <v>3</v>
      </c>
      <c r="N201" s="224">
        <v>36.860833333333346</v>
      </c>
      <c r="O201" s="225">
        <v>4</v>
      </c>
      <c r="P201" s="225">
        <v>3</v>
      </c>
      <c r="Q201" s="224">
        <v>49</v>
      </c>
      <c r="R201" s="225">
        <v>5</v>
      </c>
      <c r="S201" s="225">
        <v>3</v>
      </c>
      <c r="T201" s="225"/>
      <c r="U201" s="225"/>
      <c r="V201" s="225"/>
      <c r="W201" s="225"/>
      <c r="X201" s="225"/>
      <c r="Y201" s="225"/>
      <c r="Z201" s="224">
        <v>60.185185185185176</v>
      </c>
      <c r="AA201" s="224">
        <v>56.333333333333329</v>
      </c>
      <c r="AB201" s="224"/>
      <c r="AC201" s="226">
        <v>5.5</v>
      </c>
      <c r="AD201" s="227">
        <v>46.327647567874834</v>
      </c>
    </row>
    <row r="202" spans="1:30">
      <c r="A202" s="235">
        <v>199</v>
      </c>
      <c r="B202" s="220">
        <v>188</v>
      </c>
      <c r="C202" s="221">
        <f t="shared" si="3"/>
        <v>0.66778523489932884</v>
      </c>
      <c r="D202" s="222" t="s">
        <v>334</v>
      </c>
      <c r="E202" s="223" t="s">
        <v>332</v>
      </c>
      <c r="F202" s="220">
        <v>4</v>
      </c>
      <c r="G202" s="220">
        <v>12</v>
      </c>
      <c r="H202" s="224">
        <v>35.837435897435896</v>
      </c>
      <c r="I202" s="225">
        <v>4</v>
      </c>
      <c r="J202" s="225">
        <v>3</v>
      </c>
      <c r="K202" s="224">
        <v>38.421118812347075</v>
      </c>
      <c r="L202" s="225">
        <v>5</v>
      </c>
      <c r="M202" s="225">
        <v>3</v>
      </c>
      <c r="N202" s="224">
        <v>47.528666666666652</v>
      </c>
      <c r="O202" s="225">
        <v>5</v>
      </c>
      <c r="P202" s="225">
        <v>3</v>
      </c>
      <c r="Q202" s="224">
        <v>41</v>
      </c>
      <c r="R202" s="225">
        <v>5</v>
      </c>
      <c r="S202" s="225">
        <v>3</v>
      </c>
      <c r="T202" s="225"/>
      <c r="U202" s="225"/>
      <c r="V202" s="225"/>
      <c r="W202" s="224"/>
      <c r="X202" s="225"/>
      <c r="Y202" s="225"/>
      <c r="Z202" s="224">
        <v>60.296296296296291</v>
      </c>
      <c r="AA202" s="224"/>
      <c r="AB202" s="224">
        <v>52</v>
      </c>
      <c r="AC202" s="226">
        <v>5.5</v>
      </c>
      <c r="AD202" s="227">
        <v>46.287912304135624</v>
      </c>
    </row>
    <row r="203" spans="1:30">
      <c r="A203" s="236">
        <v>200</v>
      </c>
      <c r="B203" s="220">
        <v>189</v>
      </c>
      <c r="C203" s="221">
        <f t="shared" si="3"/>
        <v>0.67114093959731547</v>
      </c>
      <c r="D203" s="222" t="s">
        <v>277</v>
      </c>
      <c r="E203" s="223" t="s">
        <v>275</v>
      </c>
      <c r="F203" s="220">
        <v>4</v>
      </c>
      <c r="G203" s="220">
        <v>6</v>
      </c>
      <c r="H203" s="224">
        <v>36.735256410256412</v>
      </c>
      <c r="I203" s="225">
        <v>4</v>
      </c>
      <c r="J203" s="225">
        <v>3</v>
      </c>
      <c r="K203" s="224">
        <v>31.598576742326742</v>
      </c>
      <c r="L203" s="225">
        <v>4</v>
      </c>
      <c r="M203" s="225">
        <v>3</v>
      </c>
      <c r="N203" s="224">
        <v>50.242999999999995</v>
      </c>
      <c r="O203" s="225">
        <v>6</v>
      </c>
      <c r="P203" s="225">
        <v>4</v>
      </c>
      <c r="Q203" s="224"/>
      <c r="R203" s="225"/>
      <c r="S203" s="225"/>
      <c r="T203" s="225">
        <v>53</v>
      </c>
      <c r="U203" s="225">
        <v>6</v>
      </c>
      <c r="V203" s="225">
        <v>4</v>
      </c>
      <c r="W203" s="225"/>
      <c r="X203" s="225"/>
      <c r="Y203" s="225"/>
      <c r="Z203" s="224">
        <v>52.407407407407405</v>
      </c>
      <c r="AA203" s="224"/>
      <c r="AB203" s="224">
        <v>57</v>
      </c>
      <c r="AC203" s="226">
        <v>5.5</v>
      </c>
      <c r="AD203" s="227">
        <v>46.269861919998284</v>
      </c>
    </row>
    <row r="204" spans="1:30">
      <c r="A204" s="236">
        <v>201</v>
      </c>
      <c r="B204" s="220">
        <v>190</v>
      </c>
      <c r="C204" s="221">
        <f t="shared" si="3"/>
        <v>0.67449664429530198</v>
      </c>
      <c r="D204" s="222" t="s">
        <v>869</v>
      </c>
      <c r="E204" s="223" t="s">
        <v>867</v>
      </c>
      <c r="F204" s="220">
        <v>5</v>
      </c>
      <c r="G204" s="220">
        <v>7</v>
      </c>
      <c r="H204" s="224">
        <v>42.027115384615385</v>
      </c>
      <c r="I204" s="225">
        <v>5</v>
      </c>
      <c r="J204" s="225">
        <v>3</v>
      </c>
      <c r="K204" s="224">
        <v>28.647242621118806</v>
      </c>
      <c r="L204" s="225">
        <v>4</v>
      </c>
      <c r="M204" s="225">
        <v>3</v>
      </c>
      <c r="N204" s="224">
        <v>25.132444444444445</v>
      </c>
      <c r="O204" s="225">
        <v>3</v>
      </c>
      <c r="P204" s="225">
        <v>2</v>
      </c>
      <c r="Q204" s="224">
        <v>37</v>
      </c>
      <c r="R204" s="225">
        <v>3</v>
      </c>
      <c r="S204" s="225">
        <v>2</v>
      </c>
      <c r="T204" s="225"/>
      <c r="U204" s="225"/>
      <c r="V204" s="234"/>
      <c r="W204" s="225"/>
      <c r="X204" s="234"/>
      <c r="Y204" s="234"/>
      <c r="Z204" s="224">
        <v>67.407407407407405</v>
      </c>
      <c r="AA204" s="224"/>
      <c r="AB204" s="224">
        <v>72</v>
      </c>
      <c r="AC204" s="226">
        <v>5.5</v>
      </c>
      <c r="AD204" s="227">
        <v>46.129856337742915</v>
      </c>
    </row>
    <row r="205" spans="1:30">
      <c r="A205" s="235">
        <v>202</v>
      </c>
      <c r="B205" s="220">
        <v>191</v>
      </c>
      <c r="C205" s="221">
        <f t="shared" si="3"/>
        <v>0.67785234899328861</v>
      </c>
      <c r="D205" s="222" t="s">
        <v>782</v>
      </c>
      <c r="E205" s="223" t="s">
        <v>2075</v>
      </c>
      <c r="F205" s="220">
        <v>6</v>
      </c>
      <c r="G205" s="220">
        <v>9</v>
      </c>
      <c r="H205" s="224">
        <v>34.034230769230767</v>
      </c>
      <c r="I205" s="225">
        <v>4</v>
      </c>
      <c r="J205" s="225">
        <v>3</v>
      </c>
      <c r="K205" s="224">
        <v>30.427856997191384</v>
      </c>
      <c r="L205" s="225">
        <v>4</v>
      </c>
      <c r="M205" s="225">
        <v>3</v>
      </c>
      <c r="N205" s="224">
        <v>52.606444444444456</v>
      </c>
      <c r="O205" s="225">
        <v>6</v>
      </c>
      <c r="P205" s="225">
        <v>4</v>
      </c>
      <c r="Q205" s="224">
        <v>32</v>
      </c>
      <c r="R205" s="225">
        <v>1</v>
      </c>
      <c r="S205" s="225">
        <v>2</v>
      </c>
      <c r="T205" s="225"/>
      <c r="U205" s="225"/>
      <c r="V205" s="225"/>
      <c r="W205" s="225"/>
      <c r="X205" s="225"/>
      <c r="Y205" s="225"/>
      <c r="Z205" s="224">
        <v>63.074074074074076</v>
      </c>
      <c r="AA205" s="224"/>
      <c r="AB205" s="224">
        <v>57</v>
      </c>
      <c r="AC205" s="226">
        <v>5.5</v>
      </c>
      <c r="AD205" s="227">
        <v>46.025928415443758</v>
      </c>
    </row>
    <row r="206" spans="1:30">
      <c r="A206" s="236">
        <v>203</v>
      </c>
      <c r="B206" s="220">
        <v>192</v>
      </c>
      <c r="C206" s="221">
        <f t="shared" si="3"/>
        <v>0.68120805369127513</v>
      </c>
      <c r="D206" s="222" t="s">
        <v>250</v>
      </c>
      <c r="E206" s="223" t="s">
        <v>2076</v>
      </c>
      <c r="F206" s="220" t="s">
        <v>1002</v>
      </c>
      <c r="G206" s="220" t="s">
        <v>2059</v>
      </c>
      <c r="H206" s="224">
        <v>52.12717948717949</v>
      </c>
      <c r="I206" s="225">
        <v>6</v>
      </c>
      <c r="J206" s="225">
        <v>4</v>
      </c>
      <c r="K206" s="224">
        <v>38.617886636636634</v>
      </c>
      <c r="L206" s="225">
        <v>5</v>
      </c>
      <c r="M206" s="225">
        <v>3</v>
      </c>
      <c r="N206" s="224">
        <v>50.996777777777794</v>
      </c>
      <c r="O206" s="225">
        <v>6</v>
      </c>
      <c r="P206" s="225">
        <v>4</v>
      </c>
      <c r="Q206" s="224">
        <v>31</v>
      </c>
      <c r="R206" s="225">
        <v>3</v>
      </c>
      <c r="S206" s="225">
        <v>2</v>
      </c>
      <c r="T206" s="225"/>
      <c r="U206" s="225"/>
      <c r="V206" s="225"/>
      <c r="W206" s="225"/>
      <c r="X206" s="225"/>
      <c r="Y206" s="225"/>
      <c r="Z206" s="224">
        <v>73.555555555555557</v>
      </c>
      <c r="AA206" s="224"/>
      <c r="AB206" s="224">
        <v>22</v>
      </c>
      <c r="AC206" s="226">
        <v>5.5</v>
      </c>
      <c r="AD206" s="227">
        <v>45.96316353766354</v>
      </c>
    </row>
    <row r="207" spans="1:30">
      <c r="A207" s="236">
        <v>204</v>
      </c>
      <c r="B207" s="220">
        <v>193</v>
      </c>
      <c r="C207" s="221">
        <f t="shared" si="3"/>
        <v>0.68456375838926176</v>
      </c>
      <c r="D207" s="222" t="s">
        <v>914</v>
      </c>
      <c r="E207" s="223" t="s">
        <v>912</v>
      </c>
      <c r="F207" s="220">
        <v>8</v>
      </c>
      <c r="G207" s="220">
        <v>12</v>
      </c>
      <c r="H207" s="224">
        <v>36.613589743589742</v>
      </c>
      <c r="I207" s="225">
        <v>4</v>
      </c>
      <c r="J207" s="225">
        <v>3</v>
      </c>
      <c r="K207" s="224">
        <v>49.500306386849864</v>
      </c>
      <c r="L207" s="225">
        <v>6</v>
      </c>
      <c r="M207" s="225">
        <v>4</v>
      </c>
      <c r="N207" s="224">
        <v>51.794444444444451</v>
      </c>
      <c r="O207" s="225">
        <v>6</v>
      </c>
      <c r="P207" s="225">
        <v>4</v>
      </c>
      <c r="Q207" s="224">
        <v>45</v>
      </c>
      <c r="R207" s="225">
        <v>5</v>
      </c>
      <c r="S207" s="225">
        <v>3</v>
      </c>
      <c r="T207" s="225"/>
      <c r="U207" s="225"/>
      <c r="V207" s="234"/>
      <c r="W207" s="225"/>
      <c r="X207" s="234"/>
      <c r="Y207" s="234"/>
      <c r="Z207" s="224">
        <v>56.777777777777786</v>
      </c>
      <c r="AA207" s="224"/>
      <c r="AB207" s="224">
        <v>35.6</v>
      </c>
      <c r="AC207" s="226">
        <v>5.5</v>
      </c>
      <c r="AD207" s="227">
        <v>45.961112427756696</v>
      </c>
    </row>
    <row r="208" spans="1:30">
      <c r="A208" s="235">
        <v>205</v>
      </c>
      <c r="B208" s="220">
        <v>194</v>
      </c>
      <c r="C208" s="221">
        <f t="shared" si="3"/>
        <v>0.68791946308724827</v>
      </c>
      <c r="D208" s="222" t="s">
        <v>223</v>
      </c>
      <c r="E208" s="223" t="s">
        <v>221</v>
      </c>
      <c r="F208" s="220">
        <v>5</v>
      </c>
      <c r="G208" s="220">
        <v>8</v>
      </c>
      <c r="H208" s="224">
        <v>35.643717948717949</v>
      </c>
      <c r="I208" s="225">
        <v>4</v>
      </c>
      <c r="J208" s="225">
        <v>3</v>
      </c>
      <c r="K208" s="224">
        <v>34.798419840587037</v>
      </c>
      <c r="L208" s="225">
        <v>4</v>
      </c>
      <c r="M208" s="225">
        <v>3</v>
      </c>
      <c r="N208" s="224">
        <v>36.003222222222199</v>
      </c>
      <c r="O208" s="225">
        <v>4</v>
      </c>
      <c r="P208" s="225">
        <v>3</v>
      </c>
      <c r="Q208" s="224">
        <v>31</v>
      </c>
      <c r="R208" s="225">
        <v>3</v>
      </c>
      <c r="S208" s="225">
        <v>2</v>
      </c>
      <c r="T208" s="225"/>
      <c r="U208" s="225"/>
      <c r="V208" s="225"/>
      <c r="W208" s="225"/>
      <c r="X208" s="225"/>
      <c r="Y208" s="225"/>
      <c r="Z208" s="224">
        <v>62.555555555555557</v>
      </c>
      <c r="AA208" s="224"/>
      <c r="AB208" s="224">
        <v>67.7</v>
      </c>
      <c r="AC208" s="226">
        <v>5.5</v>
      </c>
      <c r="AD208" s="227">
        <v>45.854711921287773</v>
      </c>
    </row>
    <row r="209" spans="1:30">
      <c r="A209" s="236">
        <v>206</v>
      </c>
      <c r="B209" s="220">
        <v>195</v>
      </c>
      <c r="C209" s="221">
        <f t="shared" si="3"/>
        <v>0.6912751677852349</v>
      </c>
      <c r="D209" s="222" t="s">
        <v>676</v>
      </c>
      <c r="E209" s="223" t="s">
        <v>674</v>
      </c>
      <c r="F209" s="220">
        <v>5</v>
      </c>
      <c r="G209" s="220">
        <v>7</v>
      </c>
      <c r="H209" s="224">
        <v>55.052692307692304</v>
      </c>
      <c r="I209" s="225">
        <v>7</v>
      </c>
      <c r="J209" s="225">
        <v>4</v>
      </c>
      <c r="K209" s="224">
        <v>25.824070994988187</v>
      </c>
      <c r="L209" s="225">
        <v>4</v>
      </c>
      <c r="M209" s="225">
        <v>3</v>
      </c>
      <c r="N209" s="224">
        <v>47.437722222222199</v>
      </c>
      <c r="O209" s="225">
        <v>5</v>
      </c>
      <c r="P209" s="225">
        <v>3</v>
      </c>
      <c r="Q209" s="224">
        <v>39</v>
      </c>
      <c r="R209" s="225">
        <v>4</v>
      </c>
      <c r="S209" s="225">
        <v>3</v>
      </c>
      <c r="T209" s="225"/>
      <c r="U209" s="225"/>
      <c r="V209" s="225"/>
      <c r="W209" s="225"/>
      <c r="X209" s="225"/>
      <c r="Y209" s="225"/>
      <c r="Z209" s="224">
        <v>67.148148148148152</v>
      </c>
      <c r="AA209" s="224"/>
      <c r="AB209" s="224">
        <v>36.799999999999997</v>
      </c>
      <c r="AC209" s="226">
        <v>5.5</v>
      </c>
      <c r="AD209" s="227">
        <v>45.775024304191064</v>
      </c>
    </row>
    <row r="210" spans="1:30">
      <c r="A210" s="236">
        <v>207</v>
      </c>
      <c r="B210" s="220">
        <v>196</v>
      </c>
      <c r="C210" s="221">
        <f t="shared" si="3"/>
        <v>0.69463087248322153</v>
      </c>
      <c r="D210" s="222" t="s">
        <v>470</v>
      </c>
      <c r="E210" s="223" t="s">
        <v>468</v>
      </c>
      <c r="F210" s="220">
        <v>9</v>
      </c>
      <c r="G210" s="220">
        <v>14</v>
      </c>
      <c r="H210" s="224">
        <v>56.614551282051281</v>
      </c>
      <c r="I210" s="225">
        <v>7</v>
      </c>
      <c r="J210" s="225">
        <v>4</v>
      </c>
      <c r="K210" s="224">
        <v>27.177758585858584</v>
      </c>
      <c r="L210" s="225">
        <v>4</v>
      </c>
      <c r="M210" s="225">
        <v>3</v>
      </c>
      <c r="N210" s="224">
        <v>39.9087777777778</v>
      </c>
      <c r="O210" s="225">
        <v>4</v>
      </c>
      <c r="P210" s="225">
        <v>3</v>
      </c>
      <c r="Q210" s="224">
        <v>55</v>
      </c>
      <c r="R210" s="225">
        <v>6</v>
      </c>
      <c r="S210" s="225">
        <v>4</v>
      </c>
      <c r="T210" s="225"/>
      <c r="U210" s="225"/>
      <c r="V210" s="225"/>
      <c r="W210" s="225"/>
      <c r="X210" s="225"/>
      <c r="Y210" s="225"/>
      <c r="Z210" s="224">
        <v>66.555555555555557</v>
      </c>
      <c r="AA210" s="224">
        <v>34</v>
      </c>
      <c r="AB210" s="224"/>
      <c r="AC210" s="226">
        <v>5.5</v>
      </c>
      <c r="AD210" s="227">
        <v>45.773935127498767</v>
      </c>
    </row>
    <row r="211" spans="1:30">
      <c r="A211" s="235">
        <v>208</v>
      </c>
      <c r="B211" s="220">
        <v>197</v>
      </c>
      <c r="C211" s="221">
        <f t="shared" si="3"/>
        <v>0.69798657718120805</v>
      </c>
      <c r="D211" s="222" t="s">
        <v>917</v>
      </c>
      <c r="E211" s="223" t="s">
        <v>915</v>
      </c>
      <c r="F211" s="220">
        <v>9</v>
      </c>
      <c r="G211" s="220">
        <v>15</v>
      </c>
      <c r="H211" s="224">
        <v>35.391282051282047</v>
      </c>
      <c r="I211" s="225">
        <v>4</v>
      </c>
      <c r="J211" s="225">
        <v>3</v>
      </c>
      <c r="K211" s="224">
        <v>37.751402886002886</v>
      </c>
      <c r="L211" s="225">
        <v>5</v>
      </c>
      <c r="M211" s="225">
        <v>3</v>
      </c>
      <c r="N211" s="224">
        <v>44.622500000000002</v>
      </c>
      <c r="O211" s="225">
        <v>5</v>
      </c>
      <c r="P211" s="225">
        <v>3</v>
      </c>
      <c r="Q211" s="224">
        <v>45</v>
      </c>
      <c r="R211" s="225">
        <v>5</v>
      </c>
      <c r="S211" s="225">
        <v>3</v>
      </c>
      <c r="T211" s="225"/>
      <c r="U211" s="225"/>
      <c r="V211" s="234"/>
      <c r="W211" s="225"/>
      <c r="X211" s="234"/>
      <c r="Y211" s="234"/>
      <c r="Z211" s="224">
        <v>58.444444444444443</v>
      </c>
      <c r="AA211" s="224"/>
      <c r="AB211" s="224">
        <v>53</v>
      </c>
      <c r="AC211" s="226">
        <v>5.5</v>
      </c>
      <c r="AD211" s="227">
        <v>45.765387160314432</v>
      </c>
    </row>
    <row r="212" spans="1:30">
      <c r="A212" s="236">
        <v>209</v>
      </c>
      <c r="B212" s="220">
        <v>198</v>
      </c>
      <c r="C212" s="221">
        <f t="shared" si="3"/>
        <v>0.70134228187919467</v>
      </c>
      <c r="D212" s="222" t="s">
        <v>54</v>
      </c>
      <c r="E212" s="223" t="s">
        <v>52</v>
      </c>
      <c r="F212" s="220">
        <v>9</v>
      </c>
      <c r="G212" s="220">
        <v>14</v>
      </c>
      <c r="H212" s="224">
        <v>35.022500000000001</v>
      </c>
      <c r="I212" s="225">
        <v>4</v>
      </c>
      <c r="J212" s="225">
        <v>3</v>
      </c>
      <c r="K212" s="224">
        <v>36.283741341991337</v>
      </c>
      <c r="L212" s="225">
        <v>5</v>
      </c>
      <c r="M212" s="225">
        <v>3</v>
      </c>
      <c r="N212" s="224">
        <v>39.488000000000007</v>
      </c>
      <c r="O212" s="225">
        <v>4</v>
      </c>
      <c r="P212" s="225">
        <v>3</v>
      </c>
      <c r="Q212" s="224">
        <v>41</v>
      </c>
      <c r="R212" s="225">
        <v>3</v>
      </c>
      <c r="S212" s="225">
        <v>2</v>
      </c>
      <c r="T212" s="225"/>
      <c r="U212" s="225"/>
      <c r="V212" s="225"/>
      <c r="W212" s="225"/>
      <c r="X212" s="225"/>
      <c r="Y212" s="225"/>
      <c r="Z212" s="224">
        <v>60.888888888888886</v>
      </c>
      <c r="AA212" s="224"/>
      <c r="AB212" s="224">
        <v>59.5</v>
      </c>
      <c r="AC212" s="226">
        <v>5.5</v>
      </c>
      <c r="AD212" s="227">
        <v>45.760569132887319</v>
      </c>
    </row>
    <row r="213" spans="1:30">
      <c r="A213" s="236">
        <v>210</v>
      </c>
      <c r="B213" s="220">
        <v>199</v>
      </c>
      <c r="C213" s="221">
        <f t="shared" si="3"/>
        <v>0.70469798657718119</v>
      </c>
      <c r="D213" s="222" t="s">
        <v>959</v>
      </c>
      <c r="E213" s="223" t="s">
        <v>2077</v>
      </c>
      <c r="F213" s="220">
        <v>5</v>
      </c>
      <c r="G213" s="220">
        <v>7</v>
      </c>
      <c r="H213" s="224">
        <v>31.743589743589745</v>
      </c>
      <c r="I213" s="225">
        <v>3</v>
      </c>
      <c r="J213" s="225">
        <v>2</v>
      </c>
      <c r="K213" s="224">
        <v>41.937937156604349</v>
      </c>
      <c r="L213" s="225">
        <v>5</v>
      </c>
      <c r="M213" s="225">
        <v>3</v>
      </c>
      <c r="N213" s="224">
        <v>47.327777777777797</v>
      </c>
      <c r="O213" s="225">
        <v>5</v>
      </c>
      <c r="P213" s="225">
        <v>3</v>
      </c>
      <c r="Q213" s="224">
        <v>35</v>
      </c>
      <c r="R213" s="225">
        <v>3</v>
      </c>
      <c r="S213" s="225">
        <v>2</v>
      </c>
      <c r="T213" s="225"/>
      <c r="U213" s="225"/>
      <c r="V213" s="234"/>
      <c r="W213" s="225"/>
      <c r="X213" s="234"/>
      <c r="Y213" s="234"/>
      <c r="Z213" s="224">
        <v>59.444444444444443</v>
      </c>
      <c r="AA213" s="224"/>
      <c r="AB213" s="224">
        <v>53.7</v>
      </c>
      <c r="AC213" s="226">
        <v>5.5</v>
      </c>
      <c r="AD213" s="227">
        <v>45.755227113166605</v>
      </c>
    </row>
    <row r="214" spans="1:30">
      <c r="A214" s="235">
        <v>211</v>
      </c>
      <c r="B214" s="220">
        <v>200</v>
      </c>
      <c r="C214" s="221">
        <f t="shared" si="3"/>
        <v>0.70805369127516782</v>
      </c>
      <c r="D214" s="222" t="s">
        <v>427</v>
      </c>
      <c r="E214" s="223" t="s">
        <v>425</v>
      </c>
      <c r="F214" s="220">
        <v>10</v>
      </c>
      <c r="G214" s="220">
        <v>16</v>
      </c>
      <c r="H214" s="224">
        <v>52.114935897435899</v>
      </c>
      <c r="I214" s="225">
        <v>6</v>
      </c>
      <c r="J214" s="225">
        <v>4</v>
      </c>
      <c r="K214" s="224">
        <v>47.479269480519477</v>
      </c>
      <c r="L214" s="225">
        <v>6</v>
      </c>
      <c r="M214" s="225">
        <v>4</v>
      </c>
      <c r="N214" s="224">
        <v>49.018555555555544</v>
      </c>
      <c r="O214" s="225">
        <v>5</v>
      </c>
      <c r="P214" s="225">
        <v>3</v>
      </c>
      <c r="Q214" s="224">
        <v>35</v>
      </c>
      <c r="R214" s="225">
        <v>4</v>
      </c>
      <c r="S214" s="225">
        <v>3</v>
      </c>
      <c r="T214" s="225"/>
      <c r="U214" s="225"/>
      <c r="V214" s="225"/>
      <c r="W214" s="225"/>
      <c r="X214" s="225"/>
      <c r="Y214" s="225"/>
      <c r="Z214" s="224">
        <v>44.74074074074074</v>
      </c>
      <c r="AA214" s="224"/>
      <c r="AB214" s="224">
        <v>39</v>
      </c>
      <c r="AC214" s="226">
        <v>5.5</v>
      </c>
      <c r="AD214" s="227">
        <v>45.42790939531848</v>
      </c>
    </row>
    <row r="215" spans="1:30">
      <c r="A215" s="236">
        <v>212</v>
      </c>
      <c r="B215" s="220">
        <v>201</v>
      </c>
      <c r="C215" s="221">
        <f t="shared" si="3"/>
        <v>0.71140939597315433</v>
      </c>
      <c r="D215" s="222" t="s">
        <v>631</v>
      </c>
      <c r="E215" s="223" t="s">
        <v>629</v>
      </c>
      <c r="F215" s="220">
        <v>6</v>
      </c>
      <c r="G215" s="220">
        <v>7</v>
      </c>
      <c r="H215" s="224">
        <v>45.147884615384612</v>
      </c>
      <c r="I215" s="225">
        <v>5</v>
      </c>
      <c r="J215" s="225">
        <v>3</v>
      </c>
      <c r="K215" s="224">
        <v>28.720785550411733</v>
      </c>
      <c r="L215" s="225">
        <v>4</v>
      </c>
      <c r="M215" s="225">
        <v>3</v>
      </c>
      <c r="N215" s="224">
        <v>53.842777777777755</v>
      </c>
      <c r="O215" s="225">
        <v>6</v>
      </c>
      <c r="P215" s="225">
        <v>4</v>
      </c>
      <c r="Q215" s="224">
        <v>47</v>
      </c>
      <c r="R215" s="225">
        <v>5</v>
      </c>
      <c r="S215" s="225">
        <v>3</v>
      </c>
      <c r="T215" s="225"/>
      <c r="U215" s="225"/>
      <c r="V215" s="225"/>
      <c r="W215" s="225"/>
      <c r="X215" s="225"/>
      <c r="Y215" s="225"/>
      <c r="Z215" s="224">
        <v>63.555555555555557</v>
      </c>
      <c r="AA215" s="224">
        <v>35</v>
      </c>
      <c r="AB215" s="224"/>
      <c r="AC215" s="226">
        <v>5.5</v>
      </c>
      <c r="AD215" s="227">
        <v>45.412182454387214</v>
      </c>
    </row>
    <row r="216" spans="1:30">
      <c r="A216" s="236">
        <v>213</v>
      </c>
      <c r="B216" s="220">
        <v>202</v>
      </c>
      <c r="C216" s="221">
        <f t="shared" si="3"/>
        <v>0.71476510067114096</v>
      </c>
      <c r="D216" s="222" t="s">
        <v>64</v>
      </c>
      <c r="E216" s="223" t="s">
        <v>62</v>
      </c>
      <c r="F216" s="220">
        <v>5</v>
      </c>
      <c r="G216" s="220">
        <v>7</v>
      </c>
      <c r="H216" s="224">
        <v>43.840769230769226</v>
      </c>
      <c r="I216" s="225">
        <v>5</v>
      </c>
      <c r="J216" s="225">
        <v>3</v>
      </c>
      <c r="K216" s="224">
        <v>27.76200174912714</v>
      </c>
      <c r="L216" s="225">
        <v>4</v>
      </c>
      <c r="M216" s="225">
        <v>3</v>
      </c>
      <c r="N216" s="224">
        <v>33.712000000000003</v>
      </c>
      <c r="O216" s="225">
        <v>4</v>
      </c>
      <c r="P216" s="225">
        <v>3</v>
      </c>
      <c r="Q216" s="224">
        <v>31</v>
      </c>
      <c r="R216" s="225">
        <v>3</v>
      </c>
      <c r="S216" s="225">
        <v>2</v>
      </c>
      <c r="T216" s="225"/>
      <c r="U216" s="225"/>
      <c r="V216" s="225"/>
      <c r="W216" s="225"/>
      <c r="X216" s="225"/>
      <c r="Y216" s="225"/>
      <c r="Z216" s="224">
        <v>68.333333333333343</v>
      </c>
      <c r="AA216" s="224"/>
      <c r="AB216" s="224">
        <v>59.3</v>
      </c>
      <c r="AC216" s="226">
        <v>5.5</v>
      </c>
      <c r="AD216" s="227">
        <v>45.172382602405399</v>
      </c>
    </row>
    <row r="217" spans="1:30">
      <c r="A217" s="235">
        <v>214</v>
      </c>
      <c r="B217" s="220">
        <v>203</v>
      </c>
      <c r="C217" s="221">
        <f t="shared" si="3"/>
        <v>0.71812080536912748</v>
      </c>
      <c r="D217" s="222" t="s">
        <v>835</v>
      </c>
      <c r="E217" s="223" t="s">
        <v>833</v>
      </c>
      <c r="F217" s="220">
        <v>10</v>
      </c>
      <c r="G217" s="220">
        <v>14</v>
      </c>
      <c r="H217" s="224">
        <v>46.196346153846157</v>
      </c>
      <c r="I217" s="225">
        <v>5</v>
      </c>
      <c r="J217" s="225">
        <v>3</v>
      </c>
      <c r="K217" s="224">
        <v>31.005741341991346</v>
      </c>
      <c r="L217" s="225">
        <v>4</v>
      </c>
      <c r="M217" s="225">
        <v>3</v>
      </c>
      <c r="N217" s="224">
        <v>38.906444444444446</v>
      </c>
      <c r="O217" s="225">
        <v>4</v>
      </c>
      <c r="P217" s="225">
        <v>3</v>
      </c>
      <c r="Q217" s="224">
        <v>47</v>
      </c>
      <c r="R217" s="225">
        <v>5</v>
      </c>
      <c r="S217" s="225">
        <v>3</v>
      </c>
      <c r="T217" s="225"/>
      <c r="U217" s="225"/>
      <c r="V217" s="225"/>
      <c r="W217" s="225"/>
      <c r="X217" s="225"/>
      <c r="Y217" s="225"/>
      <c r="Z217" s="224">
        <v>51.666666666666671</v>
      </c>
      <c r="AA217" s="224">
        <v>55.333333333333329</v>
      </c>
      <c r="AB217" s="224"/>
      <c r="AC217" s="226">
        <v>5.5</v>
      </c>
      <c r="AD217" s="227">
        <v>44.837914898233073</v>
      </c>
    </row>
    <row r="218" spans="1:30">
      <c r="A218" s="236">
        <v>215</v>
      </c>
      <c r="B218" s="220">
        <v>204</v>
      </c>
      <c r="C218" s="221">
        <f t="shared" si="3"/>
        <v>0.72147651006711411</v>
      </c>
      <c r="D218" s="222" t="s">
        <v>554</v>
      </c>
      <c r="E218" s="223" t="s">
        <v>552</v>
      </c>
      <c r="F218" s="220">
        <v>8</v>
      </c>
      <c r="G218" s="220">
        <v>10</v>
      </c>
      <c r="H218" s="224">
        <v>50.51660256410257</v>
      </c>
      <c r="I218" s="225">
        <v>6</v>
      </c>
      <c r="J218" s="225">
        <v>4</v>
      </c>
      <c r="K218" s="224">
        <v>26.162397527593175</v>
      </c>
      <c r="L218" s="225">
        <v>4</v>
      </c>
      <c r="M218" s="225">
        <v>3</v>
      </c>
      <c r="N218" s="224">
        <v>29.138888888888854</v>
      </c>
      <c r="O218" s="225">
        <v>3</v>
      </c>
      <c r="P218" s="225">
        <v>2</v>
      </c>
      <c r="Q218" s="224">
        <v>36</v>
      </c>
      <c r="R218" s="225">
        <v>3</v>
      </c>
      <c r="S218" s="225">
        <v>2</v>
      </c>
      <c r="T218" s="225"/>
      <c r="U218" s="225"/>
      <c r="V218" s="225"/>
      <c r="W218" s="225"/>
      <c r="X218" s="225"/>
      <c r="Y218" s="225"/>
      <c r="Z218" s="224">
        <v>68.074074074074076</v>
      </c>
      <c r="AA218" s="224"/>
      <c r="AB218" s="224">
        <v>54.7</v>
      </c>
      <c r="AC218" s="226">
        <v>5.5</v>
      </c>
      <c r="AD218" s="227">
        <v>44.834902373574302</v>
      </c>
    </row>
    <row r="219" spans="1:30">
      <c r="A219" s="236">
        <v>216</v>
      </c>
      <c r="B219" s="220">
        <v>205</v>
      </c>
      <c r="C219" s="221">
        <f t="shared" si="3"/>
        <v>0.72483221476510062</v>
      </c>
      <c r="D219" s="222" t="s">
        <v>325</v>
      </c>
      <c r="E219" s="223" t="s">
        <v>323</v>
      </c>
      <c r="F219" s="220">
        <v>7</v>
      </c>
      <c r="G219" s="220">
        <v>12</v>
      </c>
      <c r="H219" s="224">
        <v>35.693141025641026</v>
      </c>
      <c r="I219" s="225">
        <v>4</v>
      </c>
      <c r="J219" s="225">
        <v>3</v>
      </c>
      <c r="K219" s="224">
        <v>37.868265873015872</v>
      </c>
      <c r="L219" s="225">
        <v>5</v>
      </c>
      <c r="M219" s="225">
        <v>3</v>
      </c>
      <c r="N219" s="224">
        <v>40.927777777777756</v>
      </c>
      <c r="O219" s="225">
        <v>5</v>
      </c>
      <c r="P219" s="225">
        <v>3</v>
      </c>
      <c r="Q219" s="224">
        <v>41</v>
      </c>
      <c r="R219" s="225">
        <v>3</v>
      </c>
      <c r="S219" s="225">
        <v>2</v>
      </c>
      <c r="T219" s="225"/>
      <c r="U219" s="225"/>
      <c r="V219" s="225"/>
      <c r="W219" s="225"/>
      <c r="X219" s="225"/>
      <c r="Y219" s="225"/>
      <c r="Z219" s="224">
        <v>54.518518518518519</v>
      </c>
      <c r="AA219" s="224">
        <v>57</v>
      </c>
      <c r="AB219" s="224"/>
      <c r="AC219" s="226">
        <v>5.5</v>
      </c>
      <c r="AD219" s="227">
        <v>44.8195823990824</v>
      </c>
    </row>
    <row r="220" spans="1:30">
      <c r="A220" s="235">
        <v>217</v>
      </c>
      <c r="B220" s="220">
        <v>206</v>
      </c>
      <c r="C220" s="221">
        <f t="shared" si="3"/>
        <v>0.72818791946308725</v>
      </c>
      <c r="D220" s="222" t="s">
        <v>506</v>
      </c>
      <c r="E220" s="223" t="s">
        <v>504</v>
      </c>
      <c r="F220" s="220">
        <v>6</v>
      </c>
      <c r="G220" s="220">
        <v>9</v>
      </c>
      <c r="H220" s="224">
        <v>35.204743589743586</v>
      </c>
      <c r="I220" s="225">
        <v>4</v>
      </c>
      <c r="J220" s="225">
        <v>3</v>
      </c>
      <c r="K220" s="224">
        <v>36.110320164238139</v>
      </c>
      <c r="L220" s="225">
        <v>5</v>
      </c>
      <c r="M220" s="225">
        <v>3</v>
      </c>
      <c r="N220" s="224">
        <v>32.979666666666695</v>
      </c>
      <c r="O220" s="225">
        <v>4</v>
      </c>
      <c r="P220" s="225">
        <v>3</v>
      </c>
      <c r="Q220" s="224">
        <v>51</v>
      </c>
      <c r="R220" s="225">
        <v>6</v>
      </c>
      <c r="S220" s="225">
        <v>4</v>
      </c>
      <c r="T220" s="225"/>
      <c r="U220" s="225"/>
      <c r="V220" s="225"/>
      <c r="W220" s="225"/>
      <c r="X220" s="225"/>
      <c r="Y220" s="225"/>
      <c r="Z220" s="224">
        <v>53.592592592592595</v>
      </c>
      <c r="AA220" s="224"/>
      <c r="AB220" s="224">
        <v>62</v>
      </c>
      <c r="AC220" s="226">
        <v>5.5</v>
      </c>
      <c r="AD220" s="227">
        <v>44.615876911498368</v>
      </c>
    </row>
    <row r="221" spans="1:30">
      <c r="A221" s="236">
        <v>218</v>
      </c>
      <c r="B221" s="220">
        <v>207</v>
      </c>
      <c r="C221" s="221">
        <f t="shared" si="3"/>
        <v>0.73154362416107388</v>
      </c>
      <c r="D221" s="222" t="s">
        <v>580</v>
      </c>
      <c r="E221" s="223" t="s">
        <v>578</v>
      </c>
      <c r="F221" s="220">
        <v>6</v>
      </c>
      <c r="G221" s="220">
        <v>8</v>
      </c>
      <c r="H221" s="224">
        <v>44.212756410256404</v>
      </c>
      <c r="I221" s="225">
        <v>5</v>
      </c>
      <c r="J221" s="225">
        <v>3</v>
      </c>
      <c r="K221" s="224">
        <v>30.43348926853028</v>
      </c>
      <c r="L221" s="225">
        <v>4</v>
      </c>
      <c r="M221" s="225">
        <v>3</v>
      </c>
      <c r="N221" s="224">
        <v>45.600722222222196</v>
      </c>
      <c r="O221" s="225">
        <v>5</v>
      </c>
      <c r="P221" s="225">
        <v>3</v>
      </c>
      <c r="Q221" s="224"/>
      <c r="R221" s="225"/>
      <c r="S221" s="225"/>
      <c r="T221" s="225">
        <v>52</v>
      </c>
      <c r="U221" s="225">
        <v>6</v>
      </c>
      <c r="V221" s="225">
        <v>4</v>
      </c>
      <c r="W221" s="225"/>
      <c r="X221" s="225"/>
      <c r="Y221" s="225"/>
      <c r="Z221" s="224">
        <v>59.851851851851848</v>
      </c>
      <c r="AA221" s="224"/>
      <c r="AB221" s="224">
        <v>39</v>
      </c>
      <c r="AC221" s="226">
        <v>5.5</v>
      </c>
      <c r="AD221" s="227">
        <v>44.563421773247406</v>
      </c>
    </row>
    <row r="222" spans="1:30">
      <c r="A222" s="236">
        <v>219</v>
      </c>
      <c r="B222" s="220">
        <v>208</v>
      </c>
      <c r="C222" s="221">
        <f t="shared" si="3"/>
        <v>0.7348993288590604</v>
      </c>
      <c r="D222" s="222" t="s">
        <v>379</v>
      </c>
      <c r="E222" s="223" t="s">
        <v>377</v>
      </c>
      <c r="F222" s="220">
        <v>10</v>
      </c>
      <c r="G222" s="220">
        <v>16</v>
      </c>
      <c r="H222" s="224">
        <v>43.519059340659346</v>
      </c>
      <c r="I222" s="225">
        <v>5</v>
      </c>
      <c r="J222" s="225">
        <v>3</v>
      </c>
      <c r="K222" s="224">
        <v>27.805959821428566</v>
      </c>
      <c r="L222" s="225">
        <v>4</v>
      </c>
      <c r="M222" s="225">
        <v>3</v>
      </c>
      <c r="N222" s="224">
        <v>33.787190277777775</v>
      </c>
      <c r="O222" s="225">
        <v>4</v>
      </c>
      <c r="P222" s="225">
        <v>3</v>
      </c>
      <c r="Q222" s="224">
        <v>55</v>
      </c>
      <c r="R222" s="225">
        <v>6</v>
      </c>
      <c r="S222" s="225">
        <v>4</v>
      </c>
      <c r="T222" s="225"/>
      <c r="U222" s="225"/>
      <c r="V222" s="225"/>
      <c r="W222" s="225"/>
      <c r="X222" s="225"/>
      <c r="Y222" s="225"/>
      <c r="Z222" s="224">
        <v>51.238888888888887</v>
      </c>
      <c r="AA222" s="224"/>
      <c r="AB222" s="224">
        <v>60</v>
      </c>
      <c r="AC222" s="226">
        <v>5.5</v>
      </c>
      <c r="AD222" s="227">
        <v>44.33656333250083</v>
      </c>
    </row>
    <row r="223" spans="1:30">
      <c r="A223" s="235">
        <v>220</v>
      </c>
      <c r="B223" s="220">
        <v>209</v>
      </c>
      <c r="C223" s="221">
        <f t="shared" si="3"/>
        <v>0.73825503355704702</v>
      </c>
      <c r="D223" s="222" t="s">
        <v>91</v>
      </c>
      <c r="E223" s="223" t="s">
        <v>89</v>
      </c>
      <c r="F223" s="220">
        <v>3</v>
      </c>
      <c r="G223" s="220">
        <v>6</v>
      </c>
      <c r="H223" s="224">
        <v>47.394358974358973</v>
      </c>
      <c r="I223" s="225">
        <v>6</v>
      </c>
      <c r="J223" s="225">
        <v>4</v>
      </c>
      <c r="K223" s="224">
        <v>37.309333840546373</v>
      </c>
      <c r="L223" s="225">
        <v>5</v>
      </c>
      <c r="M223" s="225">
        <v>3</v>
      </c>
      <c r="N223" s="224">
        <v>48.849999999999994</v>
      </c>
      <c r="O223" s="225">
        <v>5</v>
      </c>
      <c r="P223" s="225">
        <v>3</v>
      </c>
      <c r="Q223" s="224">
        <v>60</v>
      </c>
      <c r="R223" s="225">
        <v>7</v>
      </c>
      <c r="S223" s="225">
        <v>4</v>
      </c>
      <c r="T223" s="225"/>
      <c r="U223" s="225"/>
      <c r="V223" s="225"/>
      <c r="W223" s="224"/>
      <c r="X223" s="225"/>
      <c r="Y223" s="225"/>
      <c r="Z223" s="224">
        <v>44.25925925925926</v>
      </c>
      <c r="AA223" s="224"/>
      <c r="AB223" s="224">
        <v>36</v>
      </c>
      <c r="AC223" s="226">
        <v>5.5</v>
      </c>
      <c r="AD223" s="227">
        <v>44.329627649848106</v>
      </c>
    </row>
    <row r="224" spans="1:30">
      <c r="A224" s="236">
        <v>221</v>
      </c>
      <c r="B224" s="220">
        <v>210</v>
      </c>
      <c r="C224" s="221">
        <f t="shared" si="3"/>
        <v>0.74161073825503354</v>
      </c>
      <c r="D224" s="222" t="s">
        <v>804</v>
      </c>
      <c r="E224" s="223" t="s">
        <v>802</v>
      </c>
      <c r="F224" s="220">
        <v>10</v>
      </c>
      <c r="G224" s="220">
        <v>15</v>
      </c>
      <c r="H224" s="224">
        <v>35.404807692307692</v>
      </c>
      <c r="I224" s="225">
        <v>4</v>
      </c>
      <c r="J224" s="225">
        <v>3</v>
      </c>
      <c r="K224" s="224">
        <v>31.752700216450215</v>
      </c>
      <c r="L224" s="225">
        <v>4</v>
      </c>
      <c r="M224" s="225">
        <v>3</v>
      </c>
      <c r="N224" s="224">
        <v>28.023388888888899</v>
      </c>
      <c r="O224" s="225">
        <v>3</v>
      </c>
      <c r="P224" s="225">
        <v>2</v>
      </c>
      <c r="Q224" s="224">
        <v>30</v>
      </c>
      <c r="R224" s="225">
        <v>3</v>
      </c>
      <c r="S224" s="225">
        <v>2</v>
      </c>
      <c r="T224" s="225"/>
      <c r="U224" s="225"/>
      <c r="V224" s="225"/>
      <c r="W224" s="225"/>
      <c r="X224" s="225"/>
      <c r="Y224" s="225"/>
      <c r="Z224" s="224">
        <v>64.407407407407405</v>
      </c>
      <c r="AA224" s="224"/>
      <c r="AB224" s="224">
        <v>67</v>
      </c>
      <c r="AC224" s="226">
        <v>5.5</v>
      </c>
      <c r="AD224" s="227">
        <v>43.925146219100768</v>
      </c>
    </row>
    <row r="225" spans="1:30">
      <c r="A225" s="236">
        <v>222</v>
      </c>
      <c r="B225" s="220">
        <v>211</v>
      </c>
      <c r="C225" s="221">
        <f t="shared" si="3"/>
        <v>0.74496644295302017</v>
      </c>
      <c r="D225" s="222" t="s">
        <v>217</v>
      </c>
      <c r="E225" s="223" t="s">
        <v>215</v>
      </c>
      <c r="F225" s="220">
        <v>8</v>
      </c>
      <c r="G225" s="220">
        <v>12</v>
      </c>
      <c r="H225" s="224">
        <v>36.590897435897432</v>
      </c>
      <c r="I225" s="225">
        <v>4</v>
      </c>
      <c r="J225" s="225">
        <v>3</v>
      </c>
      <c r="K225" s="224">
        <v>40.816378569498134</v>
      </c>
      <c r="L225" s="225">
        <v>5</v>
      </c>
      <c r="M225" s="225">
        <v>3</v>
      </c>
      <c r="N225" s="224">
        <v>27.033333333333346</v>
      </c>
      <c r="O225" s="225">
        <v>3</v>
      </c>
      <c r="P225" s="225">
        <v>2</v>
      </c>
      <c r="Q225" s="224">
        <v>54</v>
      </c>
      <c r="R225" s="225">
        <v>6</v>
      </c>
      <c r="S225" s="225">
        <v>4</v>
      </c>
      <c r="T225" s="225"/>
      <c r="U225" s="225"/>
      <c r="V225" s="225"/>
      <c r="W225" s="225"/>
      <c r="X225" s="225"/>
      <c r="Y225" s="225"/>
      <c r="Z225" s="224">
        <v>54.555555555555557</v>
      </c>
      <c r="AA225" s="224"/>
      <c r="AB225" s="224">
        <v>55.5</v>
      </c>
      <c r="AC225" s="226">
        <v>5.5</v>
      </c>
      <c r="AD225" s="227">
        <v>43.908393617142629</v>
      </c>
    </row>
    <row r="226" spans="1:30">
      <c r="A226" s="235">
        <v>223</v>
      </c>
      <c r="B226" s="220">
        <v>212</v>
      </c>
      <c r="C226" s="221">
        <f t="shared" si="3"/>
        <v>0.74832214765100669</v>
      </c>
      <c r="D226" s="222" t="s">
        <v>551</v>
      </c>
      <c r="E226" s="223" t="s">
        <v>549</v>
      </c>
      <c r="F226" s="220">
        <v>7</v>
      </c>
      <c r="G226" s="220">
        <v>10</v>
      </c>
      <c r="H226" s="224">
        <v>51</v>
      </c>
      <c r="I226" s="225">
        <v>6</v>
      </c>
      <c r="J226" s="225">
        <v>4</v>
      </c>
      <c r="K226" s="224">
        <v>22.134604978354979</v>
      </c>
      <c r="L226" s="225">
        <v>3</v>
      </c>
      <c r="M226" s="225">
        <v>2</v>
      </c>
      <c r="N226" s="224">
        <v>48.677777777777798</v>
      </c>
      <c r="O226" s="225">
        <v>5</v>
      </c>
      <c r="P226" s="225">
        <v>3</v>
      </c>
      <c r="Q226" s="224">
        <v>50</v>
      </c>
      <c r="R226" s="225">
        <v>6</v>
      </c>
      <c r="S226" s="225">
        <v>4</v>
      </c>
      <c r="T226" s="225"/>
      <c r="U226" s="225"/>
      <c r="V226" s="225"/>
      <c r="W226" s="225"/>
      <c r="X226" s="225"/>
      <c r="Y226" s="225"/>
      <c r="Z226" s="224">
        <v>54.370370370370381</v>
      </c>
      <c r="AA226" s="224"/>
      <c r="AB226" s="224">
        <v>40</v>
      </c>
      <c r="AC226" s="226">
        <v>5.5</v>
      </c>
      <c r="AD226" s="227">
        <v>43.851409659364215</v>
      </c>
    </row>
    <row r="227" spans="1:30">
      <c r="A227" s="236">
        <v>224</v>
      </c>
      <c r="B227" s="220">
        <v>213</v>
      </c>
      <c r="C227" s="221">
        <f t="shared" si="3"/>
        <v>0.75167785234899331</v>
      </c>
      <c r="D227" s="222" t="s">
        <v>610</v>
      </c>
      <c r="E227" s="223" t="s">
        <v>608</v>
      </c>
      <c r="F227" s="220">
        <v>7</v>
      </c>
      <c r="G227" s="220">
        <v>14</v>
      </c>
      <c r="H227" s="224">
        <v>35.655128205128207</v>
      </c>
      <c r="I227" s="225">
        <v>4</v>
      </c>
      <c r="J227" s="225">
        <v>3</v>
      </c>
      <c r="K227" s="224">
        <v>24.618718614718613</v>
      </c>
      <c r="L227" s="225">
        <v>3</v>
      </c>
      <c r="M227" s="225">
        <v>2</v>
      </c>
      <c r="N227" s="224">
        <v>35.627777777777752</v>
      </c>
      <c r="O227" s="225">
        <v>4</v>
      </c>
      <c r="P227" s="225">
        <v>3</v>
      </c>
      <c r="Q227" s="224">
        <v>42</v>
      </c>
      <c r="R227" s="225">
        <v>5</v>
      </c>
      <c r="S227" s="225">
        <v>3</v>
      </c>
      <c r="T227" s="225"/>
      <c r="U227" s="225"/>
      <c r="V227" s="225"/>
      <c r="W227" s="225"/>
      <c r="X227" s="225"/>
      <c r="Y227" s="225"/>
      <c r="Z227" s="224">
        <v>69.407407407407405</v>
      </c>
      <c r="AA227" s="224"/>
      <c r="AB227" s="224">
        <v>54.8</v>
      </c>
      <c r="AC227" s="226">
        <v>5.5</v>
      </c>
      <c r="AD227" s="227">
        <v>43.838005819096722</v>
      </c>
    </row>
    <row r="228" spans="1:30">
      <c r="A228" s="236">
        <v>225</v>
      </c>
      <c r="B228" s="220">
        <v>214</v>
      </c>
      <c r="C228" s="221">
        <f t="shared" si="3"/>
        <v>0.75503355704697983</v>
      </c>
      <c r="D228" s="222" t="s">
        <v>449</v>
      </c>
      <c r="E228" s="223" t="s">
        <v>447</v>
      </c>
      <c r="F228" s="220">
        <v>11</v>
      </c>
      <c r="G228" s="220">
        <v>16</v>
      </c>
      <c r="H228" s="224">
        <v>41.217307692307692</v>
      </c>
      <c r="I228" s="225">
        <v>5</v>
      </c>
      <c r="J228" s="225">
        <v>3</v>
      </c>
      <c r="K228" s="224">
        <v>31.312800582267975</v>
      </c>
      <c r="L228" s="225">
        <v>4</v>
      </c>
      <c r="M228" s="225">
        <v>3</v>
      </c>
      <c r="N228" s="224">
        <v>31.14094444444445</v>
      </c>
      <c r="O228" s="225">
        <v>4</v>
      </c>
      <c r="P228" s="225">
        <v>3</v>
      </c>
      <c r="Q228" s="224">
        <v>53</v>
      </c>
      <c r="R228" s="225">
        <v>6</v>
      </c>
      <c r="S228" s="225">
        <v>4</v>
      </c>
      <c r="T228" s="225"/>
      <c r="U228" s="225"/>
      <c r="V228" s="225"/>
      <c r="W228" s="225"/>
      <c r="X228" s="225"/>
      <c r="Y228" s="225"/>
      <c r="Z228" s="224">
        <v>52</v>
      </c>
      <c r="AA228" s="224"/>
      <c r="AB228" s="224">
        <v>57.5</v>
      </c>
      <c r="AC228" s="226">
        <v>5.5</v>
      </c>
      <c r="AD228" s="227">
        <v>43.576555039821841</v>
      </c>
    </row>
    <row r="229" spans="1:30">
      <c r="A229" s="235">
        <v>226</v>
      </c>
      <c r="B229" s="220">
        <v>215</v>
      </c>
      <c r="C229" s="221">
        <f t="shared" si="3"/>
        <v>0.75838926174496646</v>
      </c>
      <c r="D229" s="222" t="s">
        <v>785</v>
      </c>
      <c r="E229" s="223" t="s">
        <v>2078</v>
      </c>
      <c r="F229" s="220">
        <v>8</v>
      </c>
      <c r="G229" s="220">
        <v>12</v>
      </c>
      <c r="H229" s="224">
        <v>45.967820512820509</v>
      </c>
      <c r="I229" s="225">
        <v>5</v>
      </c>
      <c r="J229" s="225">
        <v>3</v>
      </c>
      <c r="K229" s="224">
        <v>32.575795732045734</v>
      </c>
      <c r="L229" s="225">
        <v>4</v>
      </c>
      <c r="M229" s="225">
        <v>3</v>
      </c>
      <c r="N229" s="224">
        <v>25.966666666666693</v>
      </c>
      <c r="O229" s="225">
        <v>3</v>
      </c>
      <c r="P229" s="225">
        <v>2</v>
      </c>
      <c r="Q229" s="224">
        <v>22</v>
      </c>
      <c r="R229" s="225">
        <v>1</v>
      </c>
      <c r="S229" s="225">
        <v>2</v>
      </c>
      <c r="T229" s="225"/>
      <c r="U229" s="225"/>
      <c r="V229" s="225"/>
      <c r="W229" s="225"/>
      <c r="X229" s="225"/>
      <c r="Y229" s="225"/>
      <c r="Z229" s="224">
        <v>63.111111111111114</v>
      </c>
      <c r="AA229" s="224"/>
      <c r="AB229" s="224">
        <v>60.3</v>
      </c>
      <c r="AC229" s="226">
        <v>5.5</v>
      </c>
      <c r="AD229" s="227">
        <v>43.440253458662553</v>
      </c>
    </row>
    <row r="230" spans="1:30">
      <c r="A230" s="236">
        <v>227</v>
      </c>
      <c r="B230" s="220">
        <v>216</v>
      </c>
      <c r="C230" s="221">
        <f t="shared" si="3"/>
        <v>0.76174496644295298</v>
      </c>
      <c r="D230" s="222" t="s">
        <v>322</v>
      </c>
      <c r="E230" s="223" t="s">
        <v>320</v>
      </c>
      <c r="F230" s="220">
        <v>11</v>
      </c>
      <c r="G230" s="220">
        <v>14</v>
      </c>
      <c r="H230" s="224">
        <v>29.501538461538463</v>
      </c>
      <c r="I230" s="225">
        <v>3</v>
      </c>
      <c r="J230" s="225">
        <v>2</v>
      </c>
      <c r="K230" s="224">
        <v>38.421118812347075</v>
      </c>
      <c r="L230" s="225">
        <v>5</v>
      </c>
      <c r="M230" s="225">
        <v>3</v>
      </c>
      <c r="N230" s="224">
        <v>29.625</v>
      </c>
      <c r="O230" s="225">
        <v>3</v>
      </c>
      <c r="P230" s="225">
        <v>2</v>
      </c>
      <c r="Q230" s="224">
        <v>47</v>
      </c>
      <c r="R230" s="225">
        <v>5</v>
      </c>
      <c r="S230" s="225">
        <v>3</v>
      </c>
      <c r="T230" s="225"/>
      <c r="U230" s="225"/>
      <c r="V230" s="225"/>
      <c r="W230" s="224"/>
      <c r="X230" s="225"/>
      <c r="Y230" s="225"/>
      <c r="Z230" s="224">
        <v>57.037037037037038</v>
      </c>
      <c r="AA230" s="224"/>
      <c r="AB230" s="224">
        <v>59.3</v>
      </c>
      <c r="AC230" s="226">
        <v>5.5</v>
      </c>
      <c r="AD230" s="227">
        <v>43.16085351107683</v>
      </c>
    </row>
    <row r="231" spans="1:30">
      <c r="A231" s="236">
        <v>228</v>
      </c>
      <c r="B231" s="220">
        <v>217</v>
      </c>
      <c r="C231" s="221">
        <f t="shared" si="3"/>
        <v>0.7651006711409396</v>
      </c>
      <c r="D231" s="222" t="s">
        <v>382</v>
      </c>
      <c r="E231" s="223" t="s">
        <v>380</v>
      </c>
      <c r="F231" s="220">
        <v>6</v>
      </c>
      <c r="G231" s="220">
        <v>7</v>
      </c>
      <c r="H231" s="224">
        <v>32.156217948717952</v>
      </c>
      <c r="I231" s="225">
        <v>3</v>
      </c>
      <c r="J231" s="225">
        <v>2</v>
      </c>
      <c r="K231" s="224">
        <v>19.603202000286778</v>
      </c>
      <c r="L231" s="225">
        <v>3</v>
      </c>
      <c r="M231" s="225">
        <v>2</v>
      </c>
      <c r="N231" s="224">
        <v>23.6277222222222</v>
      </c>
      <c r="O231" s="225">
        <v>3</v>
      </c>
      <c r="P231" s="225">
        <v>2</v>
      </c>
      <c r="Q231" s="224">
        <v>40</v>
      </c>
      <c r="R231" s="225">
        <v>3</v>
      </c>
      <c r="S231" s="225">
        <v>2</v>
      </c>
      <c r="T231" s="225"/>
      <c r="U231" s="225"/>
      <c r="V231" s="225"/>
      <c r="W231" s="225"/>
      <c r="X231" s="225"/>
      <c r="Y231" s="225"/>
      <c r="Z231" s="224">
        <v>68.074074074074076</v>
      </c>
      <c r="AA231" s="224">
        <v>73.333333333333343</v>
      </c>
      <c r="AB231" s="224"/>
      <c r="AC231" s="226">
        <v>5.5</v>
      </c>
      <c r="AD231" s="227">
        <v>43.053554468842606</v>
      </c>
    </row>
    <row r="232" spans="1:30">
      <c r="A232" s="235">
        <v>229</v>
      </c>
      <c r="B232" s="220">
        <v>218</v>
      </c>
      <c r="C232" s="221">
        <f t="shared" si="3"/>
        <v>0.76845637583892612</v>
      </c>
      <c r="D232" s="222" t="s">
        <v>33</v>
      </c>
      <c r="E232" s="223" t="s">
        <v>31</v>
      </c>
      <c r="F232" s="240">
        <v>4</v>
      </c>
      <c r="G232" s="240">
        <v>6</v>
      </c>
      <c r="H232" s="224">
        <v>32.423397435897428</v>
      </c>
      <c r="I232" s="225">
        <v>3</v>
      </c>
      <c r="J232" s="225">
        <v>2</v>
      </c>
      <c r="K232" s="224">
        <v>32.875174768924765</v>
      </c>
      <c r="L232" s="225">
        <v>4</v>
      </c>
      <c r="M232" s="225">
        <v>3</v>
      </c>
      <c r="N232" s="224">
        <v>34.444166666666646</v>
      </c>
      <c r="O232" s="225">
        <v>4</v>
      </c>
      <c r="P232" s="225">
        <v>3</v>
      </c>
      <c r="Q232" s="224">
        <v>52</v>
      </c>
      <c r="R232" s="225">
        <v>6</v>
      </c>
      <c r="S232" s="225">
        <v>4</v>
      </c>
      <c r="T232" s="225"/>
      <c r="U232" s="225"/>
      <c r="V232" s="225"/>
      <c r="W232" s="225"/>
      <c r="X232" s="225"/>
      <c r="Y232" s="225"/>
      <c r="Z232" s="224">
        <v>55.777777777777779</v>
      </c>
      <c r="AA232" s="224"/>
      <c r="AB232" s="224">
        <v>54.5</v>
      </c>
      <c r="AC232" s="226">
        <v>5.5</v>
      </c>
      <c r="AD232" s="227">
        <v>42.912821208957567</v>
      </c>
    </row>
    <row r="233" spans="1:30">
      <c r="A233" s="236">
        <v>230</v>
      </c>
      <c r="B233" s="220">
        <v>219</v>
      </c>
      <c r="C233" s="221">
        <f t="shared" si="3"/>
        <v>0.77181208053691275</v>
      </c>
      <c r="D233" s="222" t="s">
        <v>358</v>
      </c>
      <c r="E233" s="241" t="s">
        <v>356</v>
      </c>
      <c r="F233" s="242">
        <v>2</v>
      </c>
      <c r="G233" s="242">
        <v>1</v>
      </c>
      <c r="H233" s="224">
        <v>43.040277777777774</v>
      </c>
      <c r="I233" s="225">
        <v>5</v>
      </c>
      <c r="J233" s="225">
        <v>3</v>
      </c>
      <c r="K233" s="224">
        <v>47.72368749999999</v>
      </c>
      <c r="L233" s="225">
        <v>6</v>
      </c>
      <c r="M233" s="225">
        <v>4</v>
      </c>
      <c r="N233" s="224">
        <v>79.655555555555537</v>
      </c>
      <c r="O233" s="225">
        <v>8</v>
      </c>
      <c r="P233" s="225">
        <v>5</v>
      </c>
      <c r="Q233" s="224"/>
      <c r="R233" s="225"/>
      <c r="S233" s="225"/>
      <c r="T233" s="225">
        <v>45</v>
      </c>
      <c r="U233" s="225">
        <v>5</v>
      </c>
      <c r="V233" s="225">
        <v>3</v>
      </c>
      <c r="W233" s="225"/>
      <c r="X233" s="225"/>
      <c r="Y233" s="225"/>
      <c r="Z233" s="224">
        <v>39.355555555555554</v>
      </c>
      <c r="AA233" s="224"/>
      <c r="AB233" s="224">
        <v>2</v>
      </c>
      <c r="AC233" s="226">
        <v>5.5</v>
      </c>
      <c r="AD233" s="227">
        <v>42.595468434343431</v>
      </c>
    </row>
    <row r="234" spans="1:30">
      <c r="A234" s="236">
        <v>231</v>
      </c>
      <c r="B234" s="220">
        <v>220</v>
      </c>
      <c r="C234" s="221">
        <f t="shared" si="3"/>
        <v>0.77516778523489938</v>
      </c>
      <c r="D234" s="222" t="s">
        <v>847</v>
      </c>
      <c r="E234" s="223" t="s">
        <v>845</v>
      </c>
      <c r="F234" s="220">
        <v>6</v>
      </c>
      <c r="G234" s="220">
        <v>8</v>
      </c>
      <c r="H234" s="224">
        <v>38.152243589743591</v>
      </c>
      <c r="I234" s="225">
        <v>4</v>
      </c>
      <c r="J234" s="225">
        <v>3</v>
      </c>
      <c r="K234" s="224">
        <v>43.89330128117588</v>
      </c>
      <c r="L234" s="225">
        <v>5</v>
      </c>
      <c r="M234" s="225">
        <v>3</v>
      </c>
      <c r="N234" s="224">
        <v>31.969722222222199</v>
      </c>
      <c r="O234" s="225">
        <v>4</v>
      </c>
      <c r="P234" s="225">
        <v>3</v>
      </c>
      <c r="Q234" s="224">
        <v>31</v>
      </c>
      <c r="R234" s="225">
        <v>2</v>
      </c>
      <c r="S234" s="225">
        <v>2</v>
      </c>
      <c r="T234" s="225"/>
      <c r="U234" s="225"/>
      <c r="V234" s="234"/>
      <c r="W234" s="225"/>
      <c r="X234" s="234"/>
      <c r="Y234" s="234"/>
      <c r="Z234" s="224">
        <v>58</v>
      </c>
      <c r="AA234" s="224"/>
      <c r="AB234" s="224">
        <v>46.5</v>
      </c>
      <c r="AC234" s="226">
        <v>5.5</v>
      </c>
      <c r="AD234" s="227">
        <v>42.548230380571219</v>
      </c>
    </row>
    <row r="235" spans="1:30">
      <c r="A235" s="235">
        <v>232</v>
      </c>
      <c r="B235" s="220">
        <v>221</v>
      </c>
      <c r="C235" s="221">
        <f t="shared" si="3"/>
        <v>0.77852348993288589</v>
      </c>
      <c r="D235" s="222" t="s">
        <v>280</v>
      </c>
      <c r="E235" s="223" t="s">
        <v>278</v>
      </c>
      <c r="F235" s="220">
        <v>8</v>
      </c>
      <c r="G235" s="220">
        <v>12</v>
      </c>
      <c r="H235" s="224">
        <v>49.239358974358971</v>
      </c>
      <c r="I235" s="225">
        <v>6</v>
      </c>
      <c r="J235" s="225">
        <v>4</v>
      </c>
      <c r="K235" s="224">
        <v>36.392572653192218</v>
      </c>
      <c r="L235" s="225">
        <v>5</v>
      </c>
      <c r="M235" s="225">
        <v>3</v>
      </c>
      <c r="N235" s="224">
        <v>48.0833333333333</v>
      </c>
      <c r="O235" s="225">
        <v>5</v>
      </c>
      <c r="P235" s="225">
        <v>3</v>
      </c>
      <c r="Q235" s="224">
        <v>43</v>
      </c>
      <c r="R235" s="225">
        <v>5</v>
      </c>
      <c r="S235" s="225">
        <v>3</v>
      </c>
      <c r="T235" s="225"/>
      <c r="U235" s="225"/>
      <c r="V235" s="225"/>
      <c r="W235" s="225"/>
      <c r="X235" s="225"/>
      <c r="Y235" s="225"/>
      <c r="Z235" s="224">
        <v>59.296296296296291</v>
      </c>
      <c r="AA235" s="224"/>
      <c r="AB235" s="224">
        <v>19.5</v>
      </c>
      <c r="AC235" s="226">
        <v>5.5</v>
      </c>
      <c r="AD235" s="227">
        <v>42.54755659221469</v>
      </c>
    </row>
    <row r="236" spans="1:30">
      <c r="A236" s="236">
        <v>233</v>
      </c>
      <c r="B236" s="220">
        <v>222</v>
      </c>
      <c r="C236" s="221">
        <f t="shared" si="3"/>
        <v>0.78187919463087252</v>
      </c>
      <c r="D236" s="222" t="s">
        <v>127</v>
      </c>
      <c r="E236" s="223" t="s">
        <v>125</v>
      </c>
      <c r="F236" s="220">
        <v>5</v>
      </c>
      <c r="G236" s="220">
        <v>8</v>
      </c>
      <c r="H236" s="224">
        <v>53.305815297202798</v>
      </c>
      <c r="I236" s="225">
        <v>6</v>
      </c>
      <c r="J236" s="225">
        <v>4</v>
      </c>
      <c r="K236" s="224">
        <v>37.997487430993679</v>
      </c>
      <c r="L236" s="225">
        <v>5</v>
      </c>
      <c r="M236" s="225">
        <v>3</v>
      </c>
      <c r="N236" s="224">
        <v>40.516545833333318</v>
      </c>
      <c r="O236" s="225">
        <v>5</v>
      </c>
      <c r="P236" s="225">
        <v>3</v>
      </c>
      <c r="Q236" s="224">
        <v>0</v>
      </c>
      <c r="R236" s="225">
        <v>1</v>
      </c>
      <c r="S236" s="225">
        <v>2</v>
      </c>
      <c r="T236" s="225"/>
      <c r="U236" s="225"/>
      <c r="V236" s="225"/>
      <c r="W236" s="225"/>
      <c r="X236" s="225"/>
      <c r="Y236" s="225"/>
      <c r="Z236" s="224">
        <v>49.918518518518511</v>
      </c>
      <c r="AA236" s="224"/>
      <c r="AB236" s="224">
        <v>51.5</v>
      </c>
      <c r="AC236" s="226">
        <v>5.5</v>
      </c>
      <c r="AD236" s="227">
        <v>42.406975832736059</v>
      </c>
    </row>
    <row r="237" spans="1:30">
      <c r="A237" s="236">
        <v>234</v>
      </c>
      <c r="B237" s="220">
        <v>223</v>
      </c>
      <c r="C237" s="221">
        <f t="shared" si="3"/>
        <v>0.78523489932885904</v>
      </c>
      <c r="D237" s="222" t="s">
        <v>79</v>
      </c>
      <c r="E237" s="223" t="s">
        <v>77</v>
      </c>
      <c r="F237" s="220">
        <v>6</v>
      </c>
      <c r="G237" s="220">
        <v>9</v>
      </c>
      <c r="H237" s="224">
        <v>35.314038461538459</v>
      </c>
      <c r="I237" s="225">
        <v>4</v>
      </c>
      <c r="J237" s="225">
        <v>3</v>
      </c>
      <c r="K237" s="224">
        <v>28.781408766575169</v>
      </c>
      <c r="L237" s="225">
        <v>4</v>
      </c>
      <c r="M237" s="225">
        <v>3</v>
      </c>
      <c r="N237" s="224">
        <v>27.170888888888896</v>
      </c>
      <c r="O237" s="225">
        <v>3</v>
      </c>
      <c r="P237" s="225">
        <v>2</v>
      </c>
      <c r="Q237" s="224">
        <v>42</v>
      </c>
      <c r="R237" s="225">
        <v>5</v>
      </c>
      <c r="S237" s="225">
        <v>3</v>
      </c>
      <c r="T237" s="225"/>
      <c r="U237" s="225"/>
      <c r="V237" s="225"/>
      <c r="W237" s="225"/>
      <c r="X237" s="225"/>
      <c r="Y237" s="225"/>
      <c r="Z237" s="224">
        <v>52.925925925925924</v>
      </c>
      <c r="AA237" s="224"/>
      <c r="AB237" s="224">
        <v>67</v>
      </c>
      <c r="AC237" s="226">
        <v>5.5</v>
      </c>
      <c r="AD237" s="227">
        <v>42.216774916896085</v>
      </c>
    </row>
    <row r="238" spans="1:30">
      <c r="A238" s="235">
        <v>235</v>
      </c>
      <c r="B238" s="220">
        <v>224</v>
      </c>
      <c r="C238" s="221">
        <f t="shared" si="3"/>
        <v>0.78859060402684567</v>
      </c>
      <c r="D238" s="222" t="s">
        <v>563</v>
      </c>
      <c r="E238" s="223" t="s">
        <v>561</v>
      </c>
      <c r="F238" s="220">
        <v>7</v>
      </c>
      <c r="G238" s="220">
        <v>10</v>
      </c>
      <c r="H238" s="224">
        <v>43.456410256410251</v>
      </c>
      <c r="I238" s="225">
        <v>5</v>
      </c>
      <c r="J238" s="225">
        <v>3</v>
      </c>
      <c r="K238" s="224">
        <v>22.139517676767674</v>
      </c>
      <c r="L238" s="225">
        <v>3</v>
      </c>
      <c r="M238" s="225">
        <v>2</v>
      </c>
      <c r="N238" s="224">
        <v>33.25</v>
      </c>
      <c r="O238" s="225">
        <v>4</v>
      </c>
      <c r="P238" s="225">
        <v>3</v>
      </c>
      <c r="Q238" s="224">
        <v>41</v>
      </c>
      <c r="R238" s="225">
        <v>5</v>
      </c>
      <c r="S238" s="225">
        <v>3</v>
      </c>
      <c r="T238" s="225"/>
      <c r="U238" s="225"/>
      <c r="V238" s="225"/>
      <c r="W238" s="225"/>
      <c r="X238" s="225"/>
      <c r="Y238" s="225"/>
      <c r="Z238" s="224">
        <v>60.814814814814817</v>
      </c>
      <c r="AA238" s="224">
        <v>51.666666666666671</v>
      </c>
      <c r="AB238" s="224"/>
      <c r="AC238" s="226">
        <v>5.5</v>
      </c>
      <c r="AD238" s="227">
        <v>42.150438075392621</v>
      </c>
    </row>
    <row r="239" spans="1:30">
      <c r="A239" s="236">
        <v>236</v>
      </c>
      <c r="B239" s="220">
        <v>225</v>
      </c>
      <c r="C239" s="221">
        <f t="shared" si="3"/>
        <v>0.79194630872483218</v>
      </c>
      <c r="D239" s="222" t="s">
        <v>844</v>
      </c>
      <c r="E239" s="223" t="s">
        <v>842</v>
      </c>
      <c r="F239" s="220">
        <v>10</v>
      </c>
      <c r="G239" s="220">
        <v>15</v>
      </c>
      <c r="H239" s="224">
        <v>41.500064102564103</v>
      </c>
      <c r="I239" s="225">
        <v>5</v>
      </c>
      <c r="J239" s="225">
        <v>3</v>
      </c>
      <c r="K239" s="224">
        <v>21.438885281385279</v>
      </c>
      <c r="L239" s="225">
        <v>3</v>
      </c>
      <c r="M239" s="225">
        <v>2</v>
      </c>
      <c r="N239" s="224">
        <v>42.183611111111148</v>
      </c>
      <c r="O239" s="225">
        <v>5</v>
      </c>
      <c r="P239" s="225">
        <v>3</v>
      </c>
      <c r="Q239" s="224">
        <v>35</v>
      </c>
      <c r="R239" s="225">
        <v>4</v>
      </c>
      <c r="S239" s="225">
        <v>3</v>
      </c>
      <c r="T239" s="225"/>
      <c r="U239" s="225"/>
      <c r="V239" s="225"/>
      <c r="W239" s="224"/>
      <c r="X239" s="225"/>
      <c r="Y239" s="225"/>
      <c r="Z239" s="224">
        <v>42.592592592592595</v>
      </c>
      <c r="AA239" s="224">
        <v>66.333333333333343</v>
      </c>
      <c r="AB239" s="224"/>
      <c r="AC239" s="226">
        <v>5.5</v>
      </c>
      <c r="AD239" s="227">
        <v>42.099724803815718</v>
      </c>
    </row>
    <row r="240" spans="1:30">
      <c r="A240" s="236">
        <v>237</v>
      </c>
      <c r="B240" s="220">
        <v>226</v>
      </c>
      <c r="C240" s="221">
        <f t="shared" si="3"/>
        <v>0.79530201342281881</v>
      </c>
      <c r="D240" s="222" t="s">
        <v>595</v>
      </c>
      <c r="E240" s="223" t="s">
        <v>593</v>
      </c>
      <c r="F240" s="220">
        <v>10</v>
      </c>
      <c r="G240" s="220">
        <v>15</v>
      </c>
      <c r="H240" s="224">
        <v>30.766987179487181</v>
      </c>
      <c r="I240" s="225">
        <v>3</v>
      </c>
      <c r="J240" s="225">
        <v>2</v>
      </c>
      <c r="K240" s="224">
        <v>23.016673881673881</v>
      </c>
      <c r="L240" s="225">
        <v>3</v>
      </c>
      <c r="M240" s="225">
        <v>2</v>
      </c>
      <c r="N240" s="224">
        <v>49.943277777777794</v>
      </c>
      <c r="O240" s="225">
        <v>5</v>
      </c>
      <c r="P240" s="225">
        <v>3</v>
      </c>
      <c r="Q240" s="224">
        <v>29</v>
      </c>
      <c r="R240" s="225">
        <v>2</v>
      </c>
      <c r="S240" s="225">
        <v>2</v>
      </c>
      <c r="T240" s="225"/>
      <c r="U240" s="225"/>
      <c r="V240" s="225"/>
      <c r="W240" s="225"/>
      <c r="X240" s="225"/>
      <c r="Y240" s="225"/>
      <c r="Z240" s="224">
        <v>56.518518518518519</v>
      </c>
      <c r="AA240" s="224"/>
      <c r="AB240" s="224">
        <v>55</v>
      </c>
      <c r="AC240" s="226">
        <v>5.5</v>
      </c>
      <c r="AD240" s="227">
        <v>41.771901337719527</v>
      </c>
    </row>
    <row r="241" spans="1:30">
      <c r="A241" s="235">
        <v>238</v>
      </c>
      <c r="B241" s="220">
        <v>227</v>
      </c>
      <c r="C241" s="221">
        <f t="shared" si="3"/>
        <v>0.79865771812080533</v>
      </c>
      <c r="D241" s="222" t="s">
        <v>863</v>
      </c>
      <c r="E241" s="223" t="s">
        <v>861</v>
      </c>
      <c r="F241" s="220" t="s">
        <v>1002</v>
      </c>
      <c r="G241" s="220" t="s">
        <v>2059</v>
      </c>
      <c r="H241" s="224">
        <v>31.160384615384615</v>
      </c>
      <c r="I241" s="225">
        <v>3</v>
      </c>
      <c r="J241" s="225">
        <v>2</v>
      </c>
      <c r="K241" s="224">
        <v>34.672811902811901</v>
      </c>
      <c r="L241" s="225">
        <v>4</v>
      </c>
      <c r="M241" s="225">
        <v>3</v>
      </c>
      <c r="N241" s="224">
        <v>39.93655555555555</v>
      </c>
      <c r="O241" s="225">
        <v>4</v>
      </c>
      <c r="P241" s="225">
        <v>3</v>
      </c>
      <c r="Q241" s="224">
        <v>39</v>
      </c>
      <c r="R241" s="225">
        <v>4</v>
      </c>
      <c r="S241" s="225">
        <v>3</v>
      </c>
      <c r="T241" s="225"/>
      <c r="U241" s="225"/>
      <c r="V241" s="234"/>
      <c r="W241" s="225"/>
      <c r="X241" s="234"/>
      <c r="Y241" s="234"/>
      <c r="Z241" s="224">
        <v>71.555555555555557</v>
      </c>
      <c r="AA241" s="224"/>
      <c r="AB241" s="224">
        <v>32.5</v>
      </c>
      <c r="AC241" s="226">
        <v>5.5</v>
      </c>
      <c r="AD241" s="227">
        <v>41.695510478055937</v>
      </c>
    </row>
    <row r="242" spans="1:30">
      <c r="A242" s="236">
        <v>239</v>
      </c>
      <c r="B242" s="220">
        <v>228</v>
      </c>
      <c r="C242" s="221">
        <f t="shared" si="3"/>
        <v>0.80201342281879195</v>
      </c>
      <c r="D242" s="222" t="s">
        <v>658</v>
      </c>
      <c r="E242" s="223" t="s">
        <v>656</v>
      </c>
      <c r="F242" s="220">
        <v>9</v>
      </c>
      <c r="G242" s="220">
        <v>16</v>
      </c>
      <c r="H242" s="224">
        <v>35.501730769230768</v>
      </c>
      <c r="I242" s="225">
        <v>4</v>
      </c>
      <c r="J242" s="225">
        <v>3</v>
      </c>
      <c r="K242" s="224">
        <v>25.297857936507938</v>
      </c>
      <c r="L242" s="225">
        <v>4</v>
      </c>
      <c r="M242" s="225">
        <v>3</v>
      </c>
      <c r="N242" s="224">
        <v>41.79766666666665</v>
      </c>
      <c r="O242" s="225">
        <v>5</v>
      </c>
      <c r="P242" s="225">
        <v>3</v>
      </c>
      <c r="Q242" s="224">
        <v>47</v>
      </c>
      <c r="R242" s="225">
        <v>5</v>
      </c>
      <c r="S242" s="225">
        <v>3</v>
      </c>
      <c r="T242" s="225"/>
      <c r="U242" s="225"/>
      <c r="V242" s="225"/>
      <c r="W242" s="225"/>
      <c r="X242" s="225"/>
      <c r="Y242" s="225"/>
      <c r="Z242" s="224">
        <v>51.518518518518519</v>
      </c>
      <c r="AA242" s="224"/>
      <c r="AB242" s="224">
        <v>51.5</v>
      </c>
      <c r="AC242" s="226">
        <v>5.5</v>
      </c>
      <c r="AD242" s="227">
        <v>41.657413434713433</v>
      </c>
    </row>
    <row r="243" spans="1:30">
      <c r="A243" s="236">
        <v>240</v>
      </c>
      <c r="B243" s="220">
        <v>229</v>
      </c>
      <c r="C243" s="221">
        <f t="shared" si="3"/>
        <v>0.80536912751677847</v>
      </c>
      <c r="D243" s="222" t="s">
        <v>826</v>
      </c>
      <c r="E243" s="223" t="s">
        <v>824</v>
      </c>
      <c r="F243" s="220">
        <v>11</v>
      </c>
      <c r="G243" s="220">
        <v>15</v>
      </c>
      <c r="H243" s="224">
        <v>34.34685897435898</v>
      </c>
      <c r="I243" s="225">
        <v>4</v>
      </c>
      <c r="J243" s="225">
        <v>3</v>
      </c>
      <c r="K243" s="224">
        <v>36.196922172030867</v>
      </c>
      <c r="L243" s="225">
        <v>5</v>
      </c>
      <c r="M243" s="225">
        <v>3</v>
      </c>
      <c r="N243" s="224">
        <v>48.389111111111148</v>
      </c>
      <c r="O243" s="225">
        <v>5</v>
      </c>
      <c r="P243" s="225">
        <v>3</v>
      </c>
      <c r="Q243" s="224">
        <v>36</v>
      </c>
      <c r="R243" s="225">
        <v>3</v>
      </c>
      <c r="S243" s="225">
        <v>2</v>
      </c>
      <c r="T243" s="225"/>
      <c r="U243" s="225"/>
      <c r="V243" s="225"/>
      <c r="W243" s="225"/>
      <c r="X243" s="225"/>
      <c r="Y243" s="225"/>
      <c r="Z243" s="224">
        <v>53.962962962962962</v>
      </c>
      <c r="AA243" s="224"/>
      <c r="AB243" s="224">
        <v>38.200000000000003</v>
      </c>
      <c r="AC243" s="226">
        <v>5.5</v>
      </c>
      <c r="AD243" s="227">
        <v>41.653791858266182</v>
      </c>
    </row>
    <row r="244" spans="1:30">
      <c r="A244" s="235">
        <v>241</v>
      </c>
      <c r="B244" s="220">
        <v>230</v>
      </c>
      <c r="C244" s="221">
        <f t="shared" si="3"/>
        <v>0.8087248322147651</v>
      </c>
      <c r="D244" s="222" t="s">
        <v>881</v>
      </c>
      <c r="E244" s="223" t="s">
        <v>879</v>
      </c>
      <c r="F244" s="220">
        <v>4</v>
      </c>
      <c r="G244" s="220">
        <v>5</v>
      </c>
      <c r="H244" s="224">
        <v>29.1675</v>
      </c>
      <c r="I244" s="225">
        <v>3</v>
      </c>
      <c r="J244" s="225">
        <v>2</v>
      </c>
      <c r="K244" s="224">
        <v>23.10748396123396</v>
      </c>
      <c r="L244" s="225">
        <v>3</v>
      </c>
      <c r="M244" s="225">
        <v>2</v>
      </c>
      <c r="N244" s="224">
        <v>34.696777777777797</v>
      </c>
      <c r="O244" s="225">
        <v>4</v>
      </c>
      <c r="P244" s="225">
        <v>3</v>
      </c>
      <c r="Q244" s="224">
        <v>39</v>
      </c>
      <c r="R244" s="225">
        <v>4</v>
      </c>
      <c r="S244" s="225">
        <v>3</v>
      </c>
      <c r="T244" s="225"/>
      <c r="U244" s="225"/>
      <c r="V244" s="234"/>
      <c r="W244" s="225"/>
      <c r="X244" s="234"/>
      <c r="Y244" s="234"/>
      <c r="Z244" s="224">
        <v>66.259259259259267</v>
      </c>
      <c r="AA244" s="224"/>
      <c r="AB244" s="224">
        <v>55.2</v>
      </c>
      <c r="AC244" s="226">
        <v>5.5</v>
      </c>
      <c r="AD244" s="227">
        <v>41.442003817867459</v>
      </c>
    </row>
    <row r="245" spans="1:30">
      <c r="A245" s="236">
        <v>242</v>
      </c>
      <c r="B245" s="220">
        <v>231</v>
      </c>
      <c r="C245" s="221">
        <f t="shared" si="3"/>
        <v>0.81208053691275173</v>
      </c>
      <c r="D245" s="222" t="s">
        <v>589</v>
      </c>
      <c r="E245" s="223" t="s">
        <v>587</v>
      </c>
      <c r="F245" s="220">
        <v>1</v>
      </c>
      <c r="G245" s="220">
        <v>2</v>
      </c>
      <c r="H245" s="224">
        <v>30.527564102564099</v>
      </c>
      <c r="I245" s="225">
        <v>3</v>
      </c>
      <c r="J245" s="225">
        <v>2</v>
      </c>
      <c r="K245" s="224">
        <v>33.984289754689755</v>
      </c>
      <c r="L245" s="225">
        <v>4</v>
      </c>
      <c r="M245" s="225">
        <v>3</v>
      </c>
      <c r="N245" s="224">
        <v>34.933777777777792</v>
      </c>
      <c r="O245" s="225">
        <v>4</v>
      </c>
      <c r="P245" s="225">
        <v>3</v>
      </c>
      <c r="Q245" s="224">
        <v>18</v>
      </c>
      <c r="R245" s="225">
        <v>1</v>
      </c>
      <c r="S245" s="225">
        <v>2</v>
      </c>
      <c r="T245" s="225"/>
      <c r="U245" s="225"/>
      <c r="V245" s="225"/>
      <c r="W245" s="225"/>
      <c r="X245" s="225"/>
      <c r="Y245" s="225"/>
      <c r="Z245" s="224">
        <v>68.851851851851848</v>
      </c>
      <c r="AA245" s="224"/>
      <c r="AB245" s="224">
        <v>49.8</v>
      </c>
      <c r="AC245" s="226">
        <v>5.5</v>
      </c>
      <c r="AD245" s="227">
        <v>41.290451543069729</v>
      </c>
    </row>
    <row r="246" spans="1:30">
      <c r="A246" s="236">
        <v>243</v>
      </c>
      <c r="B246" s="220">
        <v>232</v>
      </c>
      <c r="C246" s="221">
        <f t="shared" si="3"/>
        <v>0.81543624161073824</v>
      </c>
      <c r="D246" s="222" t="s">
        <v>434</v>
      </c>
      <c r="E246" s="223" t="s">
        <v>432</v>
      </c>
      <c r="F246" s="220">
        <v>1</v>
      </c>
      <c r="G246" s="220">
        <v>3</v>
      </c>
      <c r="H246" s="224">
        <v>46.842884615384619</v>
      </c>
      <c r="I246" s="225">
        <v>5</v>
      </c>
      <c r="J246" s="225">
        <v>3</v>
      </c>
      <c r="K246" s="224">
        <v>39.422268975468974</v>
      </c>
      <c r="L246" s="225">
        <v>5</v>
      </c>
      <c r="M246" s="225">
        <v>3</v>
      </c>
      <c r="N246" s="224">
        <v>31.374111111111098</v>
      </c>
      <c r="O246" s="225">
        <v>4</v>
      </c>
      <c r="P246" s="225">
        <v>3</v>
      </c>
      <c r="Q246" s="224"/>
      <c r="R246" s="225"/>
      <c r="S246" s="225"/>
      <c r="T246" s="225">
        <v>23</v>
      </c>
      <c r="U246" s="225">
        <v>2</v>
      </c>
      <c r="V246" s="225">
        <v>2</v>
      </c>
      <c r="W246" s="225"/>
      <c r="X246" s="225"/>
      <c r="Y246" s="225"/>
      <c r="Z246" s="224">
        <v>49.629629629629626</v>
      </c>
      <c r="AA246" s="224"/>
      <c r="AB246" s="224">
        <v>48</v>
      </c>
      <c r="AC246" s="226">
        <v>5.5</v>
      </c>
      <c r="AD246" s="227">
        <v>41.230708060289878</v>
      </c>
    </row>
    <row r="247" spans="1:30">
      <c r="A247" s="235">
        <v>244</v>
      </c>
      <c r="B247" s="220">
        <v>233</v>
      </c>
      <c r="C247" s="221">
        <f t="shared" si="3"/>
        <v>0.81879194630872487</v>
      </c>
      <c r="D247" s="222" t="s">
        <v>226</v>
      </c>
      <c r="E247" s="223" t="s">
        <v>224</v>
      </c>
      <c r="F247" s="220">
        <v>6</v>
      </c>
      <c r="G247" s="220">
        <v>8</v>
      </c>
      <c r="H247" s="224">
        <v>32.034807692307695</v>
      </c>
      <c r="I247" s="225">
        <v>3</v>
      </c>
      <c r="J247" s="225">
        <v>2</v>
      </c>
      <c r="K247" s="224">
        <v>34.198769622771202</v>
      </c>
      <c r="L247" s="225">
        <v>4</v>
      </c>
      <c r="M247" s="225">
        <v>3</v>
      </c>
      <c r="N247" s="224">
        <v>28.789166666666695</v>
      </c>
      <c r="O247" s="225">
        <v>3</v>
      </c>
      <c r="P247" s="225">
        <v>2</v>
      </c>
      <c r="Q247" s="224">
        <v>45</v>
      </c>
      <c r="R247" s="225">
        <v>3</v>
      </c>
      <c r="S247" s="225">
        <v>2</v>
      </c>
      <c r="T247" s="225"/>
      <c r="U247" s="225"/>
      <c r="V247" s="225"/>
      <c r="W247" s="225"/>
      <c r="X247" s="225"/>
      <c r="Y247" s="225"/>
      <c r="Z247" s="224">
        <v>56.296296296296291</v>
      </c>
      <c r="AA247" s="224"/>
      <c r="AB247" s="224">
        <v>52.5</v>
      </c>
      <c r="AC247" s="226">
        <v>5.5</v>
      </c>
      <c r="AD247" s="227">
        <v>41.148916414189436</v>
      </c>
    </row>
    <row r="248" spans="1:30">
      <c r="A248" s="236">
        <v>245</v>
      </c>
      <c r="B248" s="220">
        <v>234</v>
      </c>
      <c r="C248" s="221">
        <f t="shared" si="3"/>
        <v>0.82214765100671139</v>
      </c>
      <c r="D248" s="222" t="s">
        <v>817</v>
      </c>
      <c r="E248" s="223" t="s">
        <v>814</v>
      </c>
      <c r="F248" s="220">
        <v>7</v>
      </c>
      <c r="G248" s="220">
        <v>12</v>
      </c>
      <c r="H248" s="224">
        <v>35.936346153846159</v>
      </c>
      <c r="I248" s="225">
        <v>4</v>
      </c>
      <c r="J248" s="225">
        <v>3</v>
      </c>
      <c r="K248" s="224">
        <v>19.718807720057718</v>
      </c>
      <c r="L248" s="225">
        <v>3</v>
      </c>
      <c r="M248" s="225">
        <v>2</v>
      </c>
      <c r="N248" s="224">
        <v>19.583333333333343</v>
      </c>
      <c r="O248" s="225">
        <v>2</v>
      </c>
      <c r="P248" s="225">
        <v>2</v>
      </c>
      <c r="Q248" s="224">
        <v>66</v>
      </c>
      <c r="R248" s="225">
        <v>7</v>
      </c>
      <c r="S248" s="225">
        <v>4</v>
      </c>
      <c r="T248" s="225"/>
      <c r="U248" s="225"/>
      <c r="V248" s="225"/>
      <c r="W248" s="225"/>
      <c r="X248" s="225"/>
      <c r="Y248" s="225"/>
      <c r="Z248" s="224">
        <v>66.148148148148152</v>
      </c>
      <c r="AA248" s="224"/>
      <c r="AB248" s="224">
        <v>51.5</v>
      </c>
      <c r="AC248" s="226">
        <v>5.5</v>
      </c>
      <c r="AD248" s="227">
        <v>41.070297337342794</v>
      </c>
    </row>
    <row r="249" spans="1:30">
      <c r="A249" s="236">
        <v>246</v>
      </c>
      <c r="B249" s="220">
        <v>235</v>
      </c>
      <c r="C249" s="221">
        <f t="shared" si="3"/>
        <v>0.82550335570469802</v>
      </c>
      <c r="D249" s="222" t="s">
        <v>400</v>
      </c>
      <c r="E249" s="223" t="s">
        <v>398</v>
      </c>
      <c r="F249" s="220">
        <v>11</v>
      </c>
      <c r="G249" s="220">
        <v>14</v>
      </c>
      <c r="H249" s="224">
        <v>39.997564102564098</v>
      </c>
      <c r="I249" s="225">
        <v>4</v>
      </c>
      <c r="J249" s="225">
        <v>3</v>
      </c>
      <c r="K249" s="224">
        <v>29.137908134136392</v>
      </c>
      <c r="L249" s="225">
        <v>4</v>
      </c>
      <c r="M249" s="225">
        <v>3</v>
      </c>
      <c r="N249" s="224">
        <v>24.926333333333346</v>
      </c>
      <c r="O249" s="225">
        <v>3</v>
      </c>
      <c r="P249" s="225">
        <v>2</v>
      </c>
      <c r="Q249" s="224">
        <v>38</v>
      </c>
      <c r="R249" s="225">
        <v>4</v>
      </c>
      <c r="S249" s="225">
        <v>3</v>
      </c>
      <c r="T249" s="225"/>
      <c r="U249" s="225"/>
      <c r="V249" s="225"/>
      <c r="W249" s="225"/>
      <c r="X249" s="225"/>
      <c r="Y249" s="225"/>
      <c r="Z249" s="224">
        <v>59.962962962962962</v>
      </c>
      <c r="AA249" s="224"/>
      <c r="AB249" s="224">
        <v>52.4</v>
      </c>
      <c r="AC249" s="226">
        <v>5.5</v>
      </c>
      <c r="AD249" s="227">
        <v>40.986321551453962</v>
      </c>
    </row>
    <row r="250" spans="1:30">
      <c r="A250" s="235">
        <v>247</v>
      </c>
      <c r="B250" s="220">
        <v>236</v>
      </c>
      <c r="C250" s="221">
        <f t="shared" si="3"/>
        <v>0.82885906040268453</v>
      </c>
      <c r="D250" s="222" t="s">
        <v>569</v>
      </c>
      <c r="E250" s="223" t="s">
        <v>567</v>
      </c>
      <c r="F250" s="220">
        <v>9</v>
      </c>
      <c r="G250" s="220">
        <v>15</v>
      </c>
      <c r="H250" s="224">
        <v>35.382628205128206</v>
      </c>
      <c r="I250" s="225">
        <v>4</v>
      </c>
      <c r="J250" s="225">
        <v>3</v>
      </c>
      <c r="K250" s="224">
        <v>34.220841341991346</v>
      </c>
      <c r="L250" s="225">
        <v>4</v>
      </c>
      <c r="M250" s="225">
        <v>3</v>
      </c>
      <c r="N250" s="224">
        <v>27.061999999999994</v>
      </c>
      <c r="O250" s="225">
        <v>3</v>
      </c>
      <c r="P250" s="225">
        <v>2</v>
      </c>
      <c r="Q250" s="224">
        <v>63</v>
      </c>
      <c r="R250" s="225">
        <v>7</v>
      </c>
      <c r="S250" s="225">
        <v>4</v>
      </c>
      <c r="T250" s="225"/>
      <c r="U250" s="225"/>
      <c r="V250" s="225"/>
      <c r="W250" s="225"/>
      <c r="X250" s="225"/>
      <c r="Y250" s="225"/>
      <c r="Z250" s="224">
        <v>57.370370370370381</v>
      </c>
      <c r="AA250" s="224"/>
      <c r="AB250" s="224">
        <v>39</v>
      </c>
      <c r="AC250" s="226">
        <v>5.5</v>
      </c>
      <c r="AD250" s="227">
        <v>40.824698166816347</v>
      </c>
    </row>
    <row r="251" spans="1:30">
      <c r="A251" s="236">
        <v>248</v>
      </c>
      <c r="B251" s="220">
        <v>237</v>
      </c>
      <c r="C251" s="221">
        <f t="shared" si="3"/>
        <v>0.83221476510067116</v>
      </c>
      <c r="D251" s="222" t="s">
        <v>310</v>
      </c>
      <c r="E251" s="223" t="s">
        <v>308</v>
      </c>
      <c r="F251" s="220">
        <v>4</v>
      </c>
      <c r="G251" s="220">
        <v>6</v>
      </c>
      <c r="H251" s="224">
        <v>40.736666666666672</v>
      </c>
      <c r="I251" s="225">
        <v>5</v>
      </c>
      <c r="J251" s="225">
        <v>3</v>
      </c>
      <c r="K251" s="224">
        <v>31.718935055185053</v>
      </c>
      <c r="L251" s="225">
        <v>4</v>
      </c>
      <c r="M251" s="225">
        <v>3</v>
      </c>
      <c r="N251" s="224">
        <v>29.543555555555542</v>
      </c>
      <c r="O251" s="225">
        <v>3</v>
      </c>
      <c r="P251" s="225">
        <v>2</v>
      </c>
      <c r="Q251" s="224">
        <v>33</v>
      </c>
      <c r="R251" s="225">
        <v>4</v>
      </c>
      <c r="S251" s="225">
        <v>3</v>
      </c>
      <c r="T251" s="225"/>
      <c r="U251" s="225"/>
      <c r="V251" s="225"/>
      <c r="W251" s="225"/>
      <c r="X251" s="225"/>
      <c r="Y251" s="225"/>
      <c r="Z251" s="224">
        <v>44.74074074074074</v>
      </c>
      <c r="AA251" s="224"/>
      <c r="AB251" s="224">
        <v>61</v>
      </c>
      <c r="AC251" s="226">
        <v>5.5</v>
      </c>
      <c r="AD251" s="227">
        <v>40.770890548754181</v>
      </c>
    </row>
    <row r="252" spans="1:30">
      <c r="A252" s="236">
        <v>249</v>
      </c>
      <c r="B252" s="220">
        <v>238</v>
      </c>
      <c r="C252" s="221">
        <f t="shared" si="3"/>
        <v>0.83557046979865768</v>
      </c>
      <c r="D252" s="222" t="s">
        <v>708</v>
      </c>
      <c r="E252" s="223" t="s">
        <v>706</v>
      </c>
      <c r="F252" s="220">
        <v>6</v>
      </c>
      <c r="G252" s="220">
        <v>8</v>
      </c>
      <c r="H252" s="224">
        <v>46.432500000000005</v>
      </c>
      <c r="I252" s="225">
        <v>5</v>
      </c>
      <c r="J252" s="225">
        <v>3</v>
      </c>
      <c r="K252" s="224">
        <v>24.638814249980651</v>
      </c>
      <c r="L252" s="225">
        <v>3</v>
      </c>
      <c r="M252" s="225">
        <v>2</v>
      </c>
      <c r="N252" s="224">
        <v>31.607444444444443</v>
      </c>
      <c r="O252" s="225">
        <v>4</v>
      </c>
      <c r="P252" s="225">
        <v>3</v>
      </c>
      <c r="Q252" s="224">
        <v>45</v>
      </c>
      <c r="R252" s="225">
        <v>3</v>
      </c>
      <c r="S252" s="225">
        <v>2</v>
      </c>
      <c r="T252" s="225"/>
      <c r="U252" s="225"/>
      <c r="V252" s="225"/>
      <c r="W252" s="225"/>
      <c r="X252" s="225"/>
      <c r="Y252" s="225"/>
      <c r="Z252" s="224">
        <v>50.666666666666671</v>
      </c>
      <c r="AA252" s="224"/>
      <c r="AB252" s="224">
        <v>47.5</v>
      </c>
      <c r="AC252" s="226">
        <v>5.5</v>
      </c>
      <c r="AD252" s="227">
        <v>40.608259156562141</v>
      </c>
    </row>
    <row r="253" spans="1:30">
      <c r="A253" s="235">
        <v>250</v>
      </c>
      <c r="B253" s="220">
        <v>239</v>
      </c>
      <c r="C253" s="221">
        <f t="shared" si="3"/>
        <v>0.83892617449664431</v>
      </c>
      <c r="D253" s="222" t="s">
        <v>770</v>
      </c>
      <c r="E253" s="223" t="s">
        <v>768</v>
      </c>
      <c r="F253" s="220">
        <v>9</v>
      </c>
      <c r="G253" s="220">
        <v>14</v>
      </c>
      <c r="H253" s="224">
        <v>38.343627884615387</v>
      </c>
      <c r="I253" s="225">
        <v>4</v>
      </c>
      <c r="J253" s="225">
        <v>3</v>
      </c>
      <c r="K253" s="224">
        <v>29.31</v>
      </c>
      <c r="L253" s="225">
        <v>4</v>
      </c>
      <c r="M253" s="225">
        <v>3</v>
      </c>
      <c r="N253" s="224">
        <v>27.632166666666649</v>
      </c>
      <c r="O253" s="225">
        <v>3</v>
      </c>
      <c r="P253" s="225">
        <v>2</v>
      </c>
      <c r="Q253" s="224"/>
      <c r="R253" s="225"/>
      <c r="S253" s="225"/>
      <c r="T253" s="225">
        <v>56</v>
      </c>
      <c r="U253" s="225">
        <v>6</v>
      </c>
      <c r="V253" s="225">
        <v>4</v>
      </c>
      <c r="W253" s="225"/>
      <c r="X253" s="225"/>
      <c r="Y253" s="225"/>
      <c r="Z253" s="224">
        <v>68.962962962962962</v>
      </c>
      <c r="AA253" s="224"/>
      <c r="AB253" s="224">
        <v>30.4</v>
      </c>
      <c r="AC253" s="226">
        <v>5.5</v>
      </c>
      <c r="AD253" s="227">
        <v>40.481592275317276</v>
      </c>
    </row>
    <row r="254" spans="1:30">
      <c r="A254" s="236">
        <v>251</v>
      </c>
      <c r="B254" s="220">
        <v>240</v>
      </c>
      <c r="C254" s="221">
        <f t="shared" si="3"/>
        <v>0.84228187919463082</v>
      </c>
      <c r="D254" s="222" t="s">
        <v>133</v>
      </c>
      <c r="E254" s="223" t="s">
        <v>131</v>
      </c>
      <c r="F254" s="220">
        <v>10</v>
      </c>
      <c r="G254" s="220">
        <v>15</v>
      </c>
      <c r="H254" s="224">
        <v>35.362297435897439</v>
      </c>
      <c r="I254" s="225">
        <v>4</v>
      </c>
      <c r="J254" s="225">
        <v>3</v>
      </c>
      <c r="K254" s="224">
        <v>26.932626488095231</v>
      </c>
      <c r="L254" s="225">
        <v>4</v>
      </c>
      <c r="M254" s="225">
        <v>3</v>
      </c>
      <c r="N254" s="224">
        <v>34.944826388888913</v>
      </c>
      <c r="O254" s="225">
        <v>4</v>
      </c>
      <c r="P254" s="225">
        <v>3</v>
      </c>
      <c r="Q254" s="224">
        <v>49</v>
      </c>
      <c r="R254" s="225">
        <v>5</v>
      </c>
      <c r="S254" s="225">
        <v>3</v>
      </c>
      <c r="T254" s="225"/>
      <c r="U254" s="225"/>
      <c r="V254" s="225"/>
      <c r="W254" s="225"/>
      <c r="X254" s="225"/>
      <c r="Y254" s="225"/>
      <c r="Z254" s="224">
        <v>42.379629629629619</v>
      </c>
      <c r="AA254" s="224"/>
      <c r="AB254" s="224">
        <v>58.5</v>
      </c>
      <c r="AC254" s="226">
        <v>5.5</v>
      </c>
      <c r="AD254" s="227">
        <v>40.476250898638405</v>
      </c>
    </row>
    <row r="255" spans="1:30">
      <c r="A255" s="236">
        <v>252</v>
      </c>
      <c r="B255" s="220">
        <v>241</v>
      </c>
      <c r="C255" s="221">
        <f t="shared" si="3"/>
        <v>0.84563758389261745</v>
      </c>
      <c r="D255" s="222" t="s">
        <v>45</v>
      </c>
      <c r="E255" s="223" t="s">
        <v>43</v>
      </c>
      <c r="F255" s="220">
        <v>7</v>
      </c>
      <c r="G255" s="220">
        <v>10</v>
      </c>
      <c r="H255" s="224">
        <v>50.639551282051286</v>
      </c>
      <c r="I255" s="225">
        <v>6</v>
      </c>
      <c r="J255" s="225">
        <v>4</v>
      </c>
      <c r="K255" s="224">
        <v>38.414113636363631</v>
      </c>
      <c r="L255" s="225">
        <v>5</v>
      </c>
      <c r="M255" s="225">
        <v>3</v>
      </c>
      <c r="N255" s="224">
        <v>35.783333333333331</v>
      </c>
      <c r="O255" s="225">
        <v>4</v>
      </c>
      <c r="P255" s="225">
        <v>3</v>
      </c>
      <c r="Q255" s="224">
        <v>25</v>
      </c>
      <c r="R255" s="225">
        <v>3</v>
      </c>
      <c r="S255" s="225">
        <v>2</v>
      </c>
      <c r="T255" s="225"/>
      <c r="U255" s="225"/>
      <c r="V255" s="225"/>
      <c r="W255" s="225"/>
      <c r="X255" s="225"/>
      <c r="Y255" s="225"/>
      <c r="Z255" s="224">
        <v>47.703703703703709</v>
      </c>
      <c r="AA255" s="224"/>
      <c r="AB255" s="224">
        <v>37.5</v>
      </c>
      <c r="AC255" s="226">
        <v>5.5</v>
      </c>
      <c r="AD255" s="227">
        <v>40.46194581008217</v>
      </c>
    </row>
    <row r="256" spans="1:30">
      <c r="A256" s="235">
        <v>253</v>
      </c>
      <c r="B256" s="220">
        <v>242</v>
      </c>
      <c r="C256" s="221">
        <f t="shared" si="3"/>
        <v>0.84899328859060408</v>
      </c>
      <c r="D256" s="222" t="s">
        <v>527</v>
      </c>
      <c r="E256" s="223" t="s">
        <v>525</v>
      </c>
      <c r="F256" s="220">
        <v>9</v>
      </c>
      <c r="G256" s="220">
        <v>15</v>
      </c>
      <c r="H256" s="224">
        <v>32.005128205128202</v>
      </c>
      <c r="I256" s="225">
        <v>3</v>
      </c>
      <c r="J256" s="225">
        <v>2</v>
      </c>
      <c r="K256" s="224">
        <v>22.351076334776337</v>
      </c>
      <c r="L256" s="225">
        <v>3</v>
      </c>
      <c r="M256" s="225">
        <v>2</v>
      </c>
      <c r="N256" s="224">
        <v>22.915777777777755</v>
      </c>
      <c r="O256" s="225">
        <v>3</v>
      </c>
      <c r="P256" s="225">
        <v>2</v>
      </c>
      <c r="Q256" s="224">
        <v>42</v>
      </c>
      <c r="R256" s="225">
        <v>5</v>
      </c>
      <c r="S256" s="225">
        <v>3</v>
      </c>
      <c r="T256" s="225"/>
      <c r="U256" s="225"/>
      <c r="V256" s="225"/>
      <c r="W256" s="225"/>
      <c r="X256" s="225"/>
      <c r="Y256" s="225"/>
      <c r="Z256" s="224">
        <v>60.888888888888886</v>
      </c>
      <c r="AA256" s="224"/>
      <c r="AB256" s="224">
        <v>62</v>
      </c>
      <c r="AC256" s="226">
        <v>5.5</v>
      </c>
      <c r="AD256" s="227">
        <v>40.211067492103851</v>
      </c>
    </row>
    <row r="257" spans="1:30">
      <c r="A257" s="236">
        <v>254</v>
      </c>
      <c r="B257" s="220">
        <v>243</v>
      </c>
      <c r="C257" s="221">
        <f t="shared" si="3"/>
        <v>0.8523489932885906</v>
      </c>
      <c r="D257" s="222" t="s">
        <v>500</v>
      </c>
      <c r="E257" s="223" t="s">
        <v>498</v>
      </c>
      <c r="F257" s="220">
        <v>5</v>
      </c>
      <c r="G257" s="220">
        <v>7</v>
      </c>
      <c r="H257" s="224">
        <v>32.604230769230767</v>
      </c>
      <c r="I257" s="225">
        <v>3</v>
      </c>
      <c r="J257" s="225">
        <v>2</v>
      </c>
      <c r="K257" s="224">
        <v>32.030010192051201</v>
      </c>
      <c r="L257" s="225">
        <v>4</v>
      </c>
      <c r="M257" s="225">
        <v>3</v>
      </c>
      <c r="N257" s="224">
        <v>21.373111111111122</v>
      </c>
      <c r="O257" s="225">
        <v>3</v>
      </c>
      <c r="P257" s="225">
        <v>2</v>
      </c>
      <c r="Q257" s="224"/>
      <c r="R257" s="225"/>
      <c r="S257" s="225"/>
      <c r="T257" s="225">
        <v>37</v>
      </c>
      <c r="U257" s="225">
        <v>4</v>
      </c>
      <c r="V257" s="225">
        <v>3</v>
      </c>
      <c r="W257" s="225"/>
      <c r="X257" s="225"/>
      <c r="Y257" s="225"/>
      <c r="Z257" s="224">
        <v>60.333333333333329</v>
      </c>
      <c r="AA257" s="224">
        <v>55.666666666666664</v>
      </c>
      <c r="AB257" s="224"/>
      <c r="AC257" s="226">
        <v>5.5</v>
      </c>
      <c r="AD257" s="227">
        <v>40.092245831344194</v>
      </c>
    </row>
    <row r="258" spans="1:30">
      <c r="A258" s="236">
        <v>255</v>
      </c>
      <c r="B258" s="220">
        <v>244</v>
      </c>
      <c r="C258" s="221">
        <f t="shared" si="3"/>
        <v>0.85570469798657722</v>
      </c>
      <c r="D258" s="222" t="s">
        <v>760</v>
      </c>
      <c r="E258" s="223" t="s">
        <v>758</v>
      </c>
      <c r="F258" s="220">
        <v>4</v>
      </c>
      <c r="G258" s="220">
        <v>6</v>
      </c>
      <c r="H258" s="224">
        <v>50.901089743589736</v>
      </c>
      <c r="I258" s="225">
        <v>6</v>
      </c>
      <c r="J258" s="225">
        <v>4</v>
      </c>
      <c r="K258" s="224">
        <v>23.518644114894112</v>
      </c>
      <c r="L258" s="225">
        <v>3</v>
      </c>
      <c r="M258" s="225">
        <v>2</v>
      </c>
      <c r="N258" s="224">
        <v>16.966666666666665</v>
      </c>
      <c r="O258" s="225">
        <v>2</v>
      </c>
      <c r="P258" s="225">
        <v>2</v>
      </c>
      <c r="Q258" s="224"/>
      <c r="R258" s="225"/>
      <c r="S258" s="243"/>
      <c r="T258" s="225">
        <v>54</v>
      </c>
      <c r="U258" s="225">
        <v>6</v>
      </c>
      <c r="V258" s="225">
        <v>4</v>
      </c>
      <c r="W258" s="225"/>
      <c r="X258" s="225"/>
      <c r="Y258" s="225"/>
      <c r="Z258" s="224">
        <v>59.296296296296291</v>
      </c>
      <c r="AA258" s="224"/>
      <c r="AB258" s="224">
        <v>42</v>
      </c>
      <c r="AC258" s="226">
        <v>5.5</v>
      </c>
      <c r="AD258" s="227">
        <v>39.94230851299033</v>
      </c>
    </row>
    <row r="259" spans="1:30">
      <c r="A259" s="235">
        <v>256</v>
      </c>
      <c r="B259" s="220">
        <v>245</v>
      </c>
      <c r="C259" s="221">
        <f t="shared" si="3"/>
        <v>0.85906040268456374</v>
      </c>
      <c r="D259" s="222" t="s">
        <v>497</v>
      </c>
      <c r="E259" s="223" t="s">
        <v>495</v>
      </c>
      <c r="F259" s="220">
        <v>5</v>
      </c>
      <c r="G259" s="220">
        <v>9</v>
      </c>
      <c r="H259" s="224">
        <v>27.446538461538463</v>
      </c>
      <c r="I259" s="225">
        <v>3</v>
      </c>
      <c r="J259" s="225">
        <v>2</v>
      </c>
      <c r="K259" s="224">
        <v>27.042374837833041</v>
      </c>
      <c r="L259" s="225">
        <v>4</v>
      </c>
      <c r="M259" s="225">
        <v>3</v>
      </c>
      <c r="N259" s="224">
        <v>27.573666666666693</v>
      </c>
      <c r="O259" s="225">
        <v>3</v>
      </c>
      <c r="P259" s="225">
        <v>2</v>
      </c>
      <c r="Q259" s="224">
        <v>35</v>
      </c>
      <c r="R259" s="225">
        <v>3</v>
      </c>
      <c r="S259" s="225">
        <v>2</v>
      </c>
      <c r="T259" s="225"/>
      <c r="U259" s="225"/>
      <c r="V259" s="225"/>
      <c r="W259" s="225"/>
      <c r="X259" s="225"/>
      <c r="Y259" s="225"/>
      <c r="Z259" s="224">
        <v>63.481481481481481</v>
      </c>
      <c r="AA259" s="224"/>
      <c r="AB259" s="224">
        <v>56</v>
      </c>
      <c r="AC259" s="226">
        <v>5.5</v>
      </c>
      <c r="AD259" s="227">
        <v>39.826192990458125</v>
      </c>
    </row>
    <row r="260" spans="1:30">
      <c r="A260" s="236">
        <v>257</v>
      </c>
      <c r="B260" s="220">
        <v>246</v>
      </c>
      <c r="C260" s="221">
        <f t="shared" ref="C260:C301" si="4">A260/298</f>
        <v>0.86241610738255037</v>
      </c>
      <c r="D260" s="222" t="s">
        <v>619</v>
      </c>
      <c r="E260" s="223" t="s">
        <v>617</v>
      </c>
      <c r="F260" s="220">
        <v>9</v>
      </c>
      <c r="G260" s="220">
        <v>16</v>
      </c>
      <c r="H260" s="224">
        <v>27.285</v>
      </c>
      <c r="I260" s="225">
        <v>3</v>
      </c>
      <c r="J260" s="225">
        <v>2</v>
      </c>
      <c r="K260" s="224">
        <v>25.773615223665221</v>
      </c>
      <c r="L260" s="225">
        <v>4</v>
      </c>
      <c r="M260" s="225">
        <v>3</v>
      </c>
      <c r="N260" s="224">
        <v>42.060222222222244</v>
      </c>
      <c r="O260" s="225">
        <v>5</v>
      </c>
      <c r="P260" s="225">
        <v>3</v>
      </c>
      <c r="Q260" s="224">
        <v>38</v>
      </c>
      <c r="R260" s="225">
        <v>3</v>
      </c>
      <c r="S260" s="225">
        <v>2</v>
      </c>
      <c r="T260" s="225"/>
      <c r="U260" s="225"/>
      <c r="V260" s="225"/>
      <c r="W260" s="225"/>
      <c r="X260" s="225"/>
      <c r="Y260" s="225"/>
      <c r="Z260" s="224">
        <v>59.481481481481481</v>
      </c>
      <c r="AA260" s="224"/>
      <c r="AB260" s="224">
        <v>45.2</v>
      </c>
      <c r="AC260" s="226">
        <v>5.5</v>
      </c>
      <c r="AD260" s="227">
        <v>39.781876168612534</v>
      </c>
    </row>
    <row r="261" spans="1:30">
      <c r="A261" s="236">
        <v>258</v>
      </c>
      <c r="B261" s="220">
        <v>247</v>
      </c>
      <c r="C261" s="221">
        <f t="shared" si="4"/>
        <v>0.86577181208053688</v>
      </c>
      <c r="D261" s="222" t="s">
        <v>67</v>
      </c>
      <c r="E261" s="223" t="s">
        <v>65</v>
      </c>
      <c r="F261" s="220">
        <v>1</v>
      </c>
      <c r="G261" s="220">
        <v>3</v>
      </c>
      <c r="H261" s="224">
        <v>44.367692307692309</v>
      </c>
      <c r="I261" s="225">
        <v>5</v>
      </c>
      <c r="J261" s="225">
        <v>3</v>
      </c>
      <c r="K261" s="224">
        <v>30.688131313131308</v>
      </c>
      <c r="L261" s="225">
        <v>4</v>
      </c>
      <c r="M261" s="225">
        <v>3</v>
      </c>
      <c r="N261" s="224">
        <v>48.976888888888908</v>
      </c>
      <c r="O261" s="225">
        <v>5</v>
      </c>
      <c r="P261" s="225">
        <v>3</v>
      </c>
      <c r="Q261" s="224"/>
      <c r="R261" s="225"/>
      <c r="S261" s="225"/>
      <c r="T261" s="225">
        <v>14</v>
      </c>
      <c r="U261" s="225">
        <v>1</v>
      </c>
      <c r="V261" s="225">
        <v>2</v>
      </c>
      <c r="W261" s="225"/>
      <c r="X261" s="225"/>
      <c r="Y261" s="225"/>
      <c r="Z261" s="224">
        <v>55.629629629629626</v>
      </c>
      <c r="AA261" s="224"/>
      <c r="AB261" s="224">
        <v>32</v>
      </c>
      <c r="AC261" s="226">
        <v>5.5</v>
      </c>
      <c r="AD261" s="227">
        <v>39.756789479880389</v>
      </c>
    </row>
    <row r="262" spans="1:30">
      <c r="A262" s="235">
        <v>259</v>
      </c>
      <c r="B262" s="220">
        <v>248</v>
      </c>
      <c r="C262" s="221">
        <f t="shared" si="4"/>
        <v>0.86912751677852351</v>
      </c>
      <c r="D262" s="222" t="s">
        <v>485</v>
      </c>
      <c r="E262" s="223" t="s">
        <v>483</v>
      </c>
      <c r="F262" s="220">
        <v>5</v>
      </c>
      <c r="G262" s="220">
        <v>9</v>
      </c>
      <c r="H262" s="224">
        <v>37.419679487179486</v>
      </c>
      <c r="I262" s="225">
        <v>4</v>
      </c>
      <c r="J262" s="225">
        <v>3</v>
      </c>
      <c r="K262" s="224">
        <v>20.310125234999841</v>
      </c>
      <c r="L262" s="225">
        <v>3</v>
      </c>
      <c r="M262" s="225">
        <v>2</v>
      </c>
      <c r="N262" s="224">
        <v>31.999111111111098</v>
      </c>
      <c r="O262" s="225">
        <v>4</v>
      </c>
      <c r="P262" s="225">
        <v>3</v>
      </c>
      <c r="Q262" s="224"/>
      <c r="R262" s="225"/>
      <c r="S262" s="225"/>
      <c r="T262" s="225">
        <v>36</v>
      </c>
      <c r="U262" s="225">
        <v>4</v>
      </c>
      <c r="V262" s="225">
        <v>3</v>
      </c>
      <c r="W262" s="225"/>
      <c r="X262" s="225"/>
      <c r="Y262" s="225"/>
      <c r="Z262" s="224">
        <v>63.629629629629626</v>
      </c>
      <c r="AA262" s="224"/>
      <c r="AB262" s="224">
        <v>45.9</v>
      </c>
      <c r="AC262" s="226">
        <v>5.5</v>
      </c>
      <c r="AD262" s="227">
        <v>39.501553720530914</v>
      </c>
    </row>
    <row r="263" spans="1:30">
      <c r="A263" s="236">
        <v>260</v>
      </c>
      <c r="B263" s="220">
        <v>249</v>
      </c>
      <c r="C263" s="221">
        <f t="shared" si="4"/>
        <v>0.87248322147651003</v>
      </c>
      <c r="D263" s="222" t="s">
        <v>947</v>
      </c>
      <c r="E263" s="223" t="s">
        <v>945</v>
      </c>
      <c r="F263" s="220">
        <v>5</v>
      </c>
      <c r="G263" s="220">
        <v>8</v>
      </c>
      <c r="H263" s="224">
        <v>39.943782051282049</v>
      </c>
      <c r="I263" s="225">
        <v>4</v>
      </c>
      <c r="J263" s="225">
        <v>3</v>
      </c>
      <c r="K263" s="224">
        <v>23.957257142174331</v>
      </c>
      <c r="L263" s="225">
        <v>3</v>
      </c>
      <c r="M263" s="225">
        <v>2</v>
      </c>
      <c r="N263" s="224">
        <v>34.07544444444445</v>
      </c>
      <c r="O263" s="225">
        <v>4</v>
      </c>
      <c r="P263" s="225">
        <v>3</v>
      </c>
      <c r="Q263" s="224">
        <v>46</v>
      </c>
      <c r="R263" s="225">
        <v>5</v>
      </c>
      <c r="S263" s="225">
        <v>3</v>
      </c>
      <c r="T263" s="225"/>
      <c r="U263" s="225"/>
      <c r="V263" s="234"/>
      <c r="W263" s="225"/>
      <c r="X263" s="234"/>
      <c r="Y263" s="234"/>
      <c r="Z263" s="224">
        <v>53.074074074074076</v>
      </c>
      <c r="AA263" s="224"/>
      <c r="AB263" s="224" t="s">
        <v>2079</v>
      </c>
      <c r="AC263" s="226">
        <v>4.5</v>
      </c>
      <c r="AD263" s="227">
        <v>38.677901713772201</v>
      </c>
    </row>
    <row r="264" spans="1:30">
      <c r="A264" s="236">
        <v>261</v>
      </c>
      <c r="B264" s="220">
        <v>250</v>
      </c>
      <c r="C264" s="221">
        <f t="shared" si="4"/>
        <v>0.87583892617449666</v>
      </c>
      <c r="D264" s="222" t="s">
        <v>181</v>
      </c>
      <c r="E264" s="223" t="s">
        <v>179</v>
      </c>
      <c r="F264" s="220">
        <v>8</v>
      </c>
      <c r="G264" s="220">
        <v>11</v>
      </c>
      <c r="H264" s="224">
        <v>28.284102564102565</v>
      </c>
      <c r="I264" s="225">
        <v>3</v>
      </c>
      <c r="J264" s="225">
        <v>2</v>
      </c>
      <c r="K264" s="224">
        <v>24.625382505175981</v>
      </c>
      <c r="L264" s="225">
        <v>3</v>
      </c>
      <c r="M264" s="225">
        <v>2</v>
      </c>
      <c r="N264" s="224">
        <v>18.216666666666665</v>
      </c>
      <c r="O264" s="225">
        <v>2</v>
      </c>
      <c r="P264" s="225">
        <v>2</v>
      </c>
      <c r="Q264" s="224">
        <v>32</v>
      </c>
      <c r="R264" s="225">
        <v>3</v>
      </c>
      <c r="S264" s="225">
        <v>2</v>
      </c>
      <c r="T264" s="225"/>
      <c r="U264" s="225"/>
      <c r="V264" s="225"/>
      <c r="W264" s="225"/>
      <c r="X264" s="225"/>
      <c r="Y264" s="225"/>
      <c r="Z264" s="224">
        <v>67.777777777777786</v>
      </c>
      <c r="AA264" s="224"/>
      <c r="AB264" s="224">
        <v>57</v>
      </c>
      <c r="AC264" s="226">
        <v>5.5</v>
      </c>
      <c r="AD264" s="227">
        <v>38.527987184313275</v>
      </c>
    </row>
    <row r="265" spans="1:30">
      <c r="A265" s="235">
        <v>262</v>
      </c>
      <c r="B265" s="220">
        <v>251</v>
      </c>
      <c r="C265" s="221">
        <f t="shared" si="4"/>
        <v>0.87919463087248317</v>
      </c>
      <c r="D265" s="222" t="s">
        <v>262</v>
      </c>
      <c r="E265" s="223" t="s">
        <v>260</v>
      </c>
      <c r="F265" s="220">
        <v>6</v>
      </c>
      <c r="G265" s="220">
        <v>7</v>
      </c>
      <c r="H265" s="224">
        <v>36.606923076923074</v>
      </c>
      <c r="I265" s="225">
        <v>4</v>
      </c>
      <c r="J265" s="225">
        <v>3</v>
      </c>
      <c r="K265" s="224">
        <v>34.282735606402007</v>
      </c>
      <c r="L265" s="225">
        <v>4</v>
      </c>
      <c r="M265" s="225">
        <v>3</v>
      </c>
      <c r="N265" s="224">
        <v>24.427722222222204</v>
      </c>
      <c r="O265" s="225">
        <v>3</v>
      </c>
      <c r="P265" s="225">
        <v>2</v>
      </c>
      <c r="Q265" s="224">
        <v>47</v>
      </c>
      <c r="R265" s="225">
        <v>5</v>
      </c>
      <c r="S265" s="225">
        <v>3</v>
      </c>
      <c r="T265" s="225"/>
      <c r="U265" s="225"/>
      <c r="V265" s="225"/>
      <c r="W265" s="225"/>
      <c r="X265" s="225"/>
      <c r="Y265" s="225"/>
      <c r="Z265" s="224">
        <v>62.629629629629626</v>
      </c>
      <c r="AA265" s="224"/>
      <c r="AB265" s="224">
        <v>29.5</v>
      </c>
      <c r="AC265" s="226">
        <v>5.5</v>
      </c>
      <c r="AD265" s="227">
        <v>38.354001915486712</v>
      </c>
    </row>
    <row r="266" spans="1:30">
      <c r="A266" s="236">
        <v>263</v>
      </c>
      <c r="B266" s="220">
        <v>252</v>
      </c>
      <c r="C266" s="221">
        <f t="shared" si="4"/>
        <v>0.8825503355704698</v>
      </c>
      <c r="D266" s="222" t="s">
        <v>518</v>
      </c>
      <c r="E266" s="223" t="s">
        <v>516</v>
      </c>
      <c r="F266" s="220">
        <v>7</v>
      </c>
      <c r="G266" s="220">
        <v>10</v>
      </c>
      <c r="H266" s="224">
        <v>36.1325</v>
      </c>
      <c r="I266" s="225">
        <v>4</v>
      </c>
      <c r="J266" s="225">
        <v>3</v>
      </c>
      <c r="K266" s="224">
        <v>17.554687499999996</v>
      </c>
      <c r="L266" s="225">
        <v>3</v>
      </c>
      <c r="M266" s="225">
        <v>2</v>
      </c>
      <c r="N266" s="224">
        <v>45.283333333333346</v>
      </c>
      <c r="O266" s="225">
        <v>5</v>
      </c>
      <c r="P266" s="225">
        <v>3</v>
      </c>
      <c r="Q266" s="224">
        <v>22</v>
      </c>
      <c r="R266" s="225">
        <v>2</v>
      </c>
      <c r="S266" s="225">
        <v>2</v>
      </c>
      <c r="T266" s="225"/>
      <c r="U266" s="225"/>
      <c r="V266" s="225"/>
      <c r="W266" s="225"/>
      <c r="X266" s="225"/>
      <c r="Y266" s="225"/>
      <c r="Z266" s="224">
        <v>65.296296296296305</v>
      </c>
      <c r="AA266" s="224">
        <v>35</v>
      </c>
      <c r="AB266" s="224"/>
      <c r="AC266" s="226">
        <v>5.5</v>
      </c>
      <c r="AD266" s="227">
        <v>38.230330387205392</v>
      </c>
    </row>
    <row r="267" spans="1:30">
      <c r="A267" s="236">
        <v>264</v>
      </c>
      <c r="B267" s="220">
        <v>253</v>
      </c>
      <c r="C267" s="221">
        <f t="shared" si="4"/>
        <v>0.88590604026845643</v>
      </c>
      <c r="D267" s="222" t="s">
        <v>721</v>
      </c>
      <c r="E267" s="223" t="s">
        <v>719</v>
      </c>
      <c r="F267" s="220">
        <v>11</v>
      </c>
      <c r="G267" s="220">
        <v>16</v>
      </c>
      <c r="H267" s="224">
        <v>39.369679487179482</v>
      </c>
      <c r="I267" s="225">
        <v>4</v>
      </c>
      <c r="J267" s="225">
        <v>3</v>
      </c>
      <c r="K267" s="224">
        <v>40.462954467030549</v>
      </c>
      <c r="L267" s="225">
        <v>5</v>
      </c>
      <c r="M267" s="225">
        <v>3</v>
      </c>
      <c r="N267" s="224">
        <v>35.535833333333343</v>
      </c>
      <c r="O267" s="225">
        <v>4</v>
      </c>
      <c r="P267" s="225">
        <v>3</v>
      </c>
      <c r="Q267" s="224">
        <v>48</v>
      </c>
      <c r="R267" s="225">
        <v>5</v>
      </c>
      <c r="S267" s="225">
        <v>3</v>
      </c>
      <c r="T267" s="225"/>
      <c r="U267" s="225"/>
      <c r="V267" s="225"/>
      <c r="W267" s="225"/>
      <c r="X267" s="225"/>
      <c r="Y267" s="225"/>
      <c r="Z267" s="224">
        <v>33.148148148148145</v>
      </c>
      <c r="AA267" s="224"/>
      <c r="AB267" s="224">
        <v>37.200000000000003</v>
      </c>
      <c r="AC267" s="226">
        <v>5.5</v>
      </c>
      <c r="AD267" s="227">
        <v>38.130293715580272</v>
      </c>
    </row>
    <row r="268" spans="1:30">
      <c r="A268" s="235">
        <v>265</v>
      </c>
      <c r="B268" s="220">
        <v>254</v>
      </c>
      <c r="C268" s="221">
        <f t="shared" si="4"/>
        <v>0.88926174496644295</v>
      </c>
      <c r="D268" s="222" t="s">
        <v>798</v>
      </c>
      <c r="E268" s="223" t="s">
        <v>796</v>
      </c>
      <c r="F268" s="220">
        <v>2</v>
      </c>
      <c r="G268" s="220">
        <v>3</v>
      </c>
      <c r="H268" s="224">
        <v>29.615064102564101</v>
      </c>
      <c r="I268" s="225">
        <v>3</v>
      </c>
      <c r="J268" s="225">
        <v>2</v>
      </c>
      <c r="K268" s="224">
        <v>30.542304473304469</v>
      </c>
      <c r="L268" s="225">
        <v>4</v>
      </c>
      <c r="M268" s="225">
        <v>3</v>
      </c>
      <c r="N268" s="224">
        <v>39.761111111111106</v>
      </c>
      <c r="O268" s="225">
        <v>4</v>
      </c>
      <c r="P268" s="225">
        <v>3</v>
      </c>
      <c r="Q268" s="224">
        <v>29</v>
      </c>
      <c r="R268" s="225">
        <v>2</v>
      </c>
      <c r="S268" s="225">
        <v>2</v>
      </c>
      <c r="T268" s="225"/>
      <c r="U268" s="225"/>
      <c r="V268" s="225"/>
      <c r="W268" s="225"/>
      <c r="X268" s="225"/>
      <c r="Y268" s="225"/>
      <c r="Z268" s="224">
        <v>51.555555555555557</v>
      </c>
      <c r="AA268" s="224"/>
      <c r="AB268" s="224">
        <v>40</v>
      </c>
      <c r="AC268" s="226">
        <v>5.5</v>
      </c>
      <c r="AD268" s="227">
        <v>37.449824589551866</v>
      </c>
    </row>
    <row r="269" spans="1:30">
      <c r="A269" s="236">
        <v>266</v>
      </c>
      <c r="B269" s="220">
        <v>255</v>
      </c>
      <c r="C269" s="221">
        <f t="shared" si="4"/>
        <v>0.89261744966442957</v>
      </c>
      <c r="D269" s="222" t="s">
        <v>908</v>
      </c>
      <c r="E269" s="223" t="s">
        <v>906</v>
      </c>
      <c r="F269" s="220">
        <v>11</v>
      </c>
      <c r="G269" s="220">
        <v>15</v>
      </c>
      <c r="H269" s="224">
        <v>39.126089743589745</v>
      </c>
      <c r="I269" s="225">
        <v>4</v>
      </c>
      <c r="J269" s="225">
        <v>3</v>
      </c>
      <c r="K269" s="224">
        <v>20.312161710270406</v>
      </c>
      <c r="L269" s="225">
        <v>3</v>
      </c>
      <c r="M269" s="225">
        <v>2</v>
      </c>
      <c r="N269" s="224">
        <v>34.360222222222198</v>
      </c>
      <c r="O269" s="225">
        <v>4</v>
      </c>
      <c r="P269" s="225">
        <v>3</v>
      </c>
      <c r="Q269" s="224">
        <v>30</v>
      </c>
      <c r="R269" s="225">
        <v>3</v>
      </c>
      <c r="S269" s="225">
        <v>2</v>
      </c>
      <c r="T269" s="225"/>
      <c r="U269" s="225"/>
      <c r="V269" s="234"/>
      <c r="W269" s="225"/>
      <c r="X269" s="234"/>
      <c r="Y269" s="234"/>
      <c r="Z269" s="224">
        <v>47.333333333333329</v>
      </c>
      <c r="AA269" s="224"/>
      <c r="AB269" s="224">
        <v>49.6</v>
      </c>
      <c r="AC269" s="226">
        <v>5.5</v>
      </c>
      <c r="AD269" s="227">
        <v>37.405783092621036</v>
      </c>
    </row>
    <row r="270" spans="1:30">
      <c r="A270" s="236">
        <v>267</v>
      </c>
      <c r="B270" s="220">
        <v>256</v>
      </c>
      <c r="C270" s="221">
        <f t="shared" si="4"/>
        <v>0.89597315436241609</v>
      </c>
      <c r="D270" s="222" t="s">
        <v>640</v>
      </c>
      <c r="E270" s="223" t="s">
        <v>638</v>
      </c>
      <c r="F270" s="220">
        <v>10</v>
      </c>
      <c r="G270" s="220">
        <v>16</v>
      </c>
      <c r="H270" s="224">
        <v>30.717564102564097</v>
      </c>
      <c r="I270" s="225">
        <v>3</v>
      </c>
      <c r="J270" s="225">
        <v>2</v>
      </c>
      <c r="K270" s="224">
        <v>30.375681818181818</v>
      </c>
      <c r="L270" s="225">
        <v>4</v>
      </c>
      <c r="M270" s="225">
        <v>3</v>
      </c>
      <c r="N270" s="224">
        <v>38.673388888888901</v>
      </c>
      <c r="O270" s="225">
        <v>4</v>
      </c>
      <c r="P270" s="225">
        <v>3</v>
      </c>
      <c r="Q270" s="224">
        <v>43</v>
      </c>
      <c r="R270" s="225">
        <v>5</v>
      </c>
      <c r="S270" s="225">
        <v>3</v>
      </c>
      <c r="T270" s="225"/>
      <c r="U270" s="225"/>
      <c r="V270" s="225"/>
      <c r="W270" s="225"/>
      <c r="X270" s="225"/>
      <c r="Y270" s="225"/>
      <c r="Z270" s="224">
        <v>42.222222222222221</v>
      </c>
      <c r="AA270" s="224"/>
      <c r="AB270" s="224">
        <v>40</v>
      </c>
      <c r="AC270" s="226">
        <v>5.5</v>
      </c>
      <c r="AD270" s="227">
        <v>36.997974005792187</v>
      </c>
    </row>
    <row r="271" spans="1:30">
      <c r="A271" s="235">
        <v>268</v>
      </c>
      <c r="B271" s="220">
        <v>257</v>
      </c>
      <c r="C271" s="221">
        <f t="shared" si="4"/>
        <v>0.89932885906040272</v>
      </c>
      <c r="D271" s="222" t="s">
        <v>337</v>
      </c>
      <c r="E271" s="223" t="s">
        <v>335</v>
      </c>
      <c r="F271" s="220">
        <v>11</v>
      </c>
      <c r="G271" s="220">
        <v>13</v>
      </c>
      <c r="H271" s="224">
        <v>33.331666666666663</v>
      </c>
      <c r="I271" s="225">
        <v>4</v>
      </c>
      <c r="J271" s="225">
        <v>3</v>
      </c>
      <c r="K271" s="224">
        <v>21.89658620365142</v>
      </c>
      <c r="L271" s="225">
        <v>3</v>
      </c>
      <c r="M271" s="225">
        <v>2</v>
      </c>
      <c r="N271" s="224">
        <v>25.707888888888895</v>
      </c>
      <c r="O271" s="225">
        <v>3</v>
      </c>
      <c r="P271" s="225">
        <v>2</v>
      </c>
      <c r="Q271" s="224">
        <v>37</v>
      </c>
      <c r="R271" s="225">
        <v>4</v>
      </c>
      <c r="S271" s="225">
        <v>3</v>
      </c>
      <c r="T271" s="225"/>
      <c r="U271" s="225"/>
      <c r="V271" s="225"/>
      <c r="W271" s="225"/>
      <c r="X271" s="225"/>
      <c r="Y271" s="225"/>
      <c r="Z271" s="224">
        <v>56.703703703703709</v>
      </c>
      <c r="AA271" s="224"/>
      <c r="AB271" s="224">
        <v>46.7</v>
      </c>
      <c r="AC271" s="226">
        <v>5.5</v>
      </c>
      <c r="AD271" s="227">
        <v>36.879971902347393</v>
      </c>
    </row>
    <row r="272" spans="1:30">
      <c r="A272" s="236">
        <v>269</v>
      </c>
      <c r="B272" s="220">
        <v>258</v>
      </c>
      <c r="C272" s="221">
        <f t="shared" si="4"/>
        <v>0.90268456375838924</v>
      </c>
      <c r="D272" s="222" t="s">
        <v>646</v>
      </c>
      <c r="E272" s="239" t="s">
        <v>644</v>
      </c>
      <c r="F272" s="220">
        <v>8</v>
      </c>
      <c r="G272" s="220">
        <v>10</v>
      </c>
      <c r="H272" s="224">
        <v>49.319230769230771</v>
      </c>
      <c r="I272" s="225">
        <v>6</v>
      </c>
      <c r="J272" s="225">
        <v>4</v>
      </c>
      <c r="K272" s="224">
        <v>31.376341034569293</v>
      </c>
      <c r="L272" s="225">
        <v>4</v>
      </c>
      <c r="M272" s="225">
        <v>3</v>
      </c>
      <c r="N272" s="224">
        <v>68.483333333333348</v>
      </c>
      <c r="O272" s="225">
        <v>7</v>
      </c>
      <c r="P272" s="225">
        <v>4</v>
      </c>
      <c r="Q272" s="224">
        <v>40</v>
      </c>
      <c r="R272" s="225">
        <v>3</v>
      </c>
      <c r="S272" s="225">
        <v>2</v>
      </c>
      <c r="T272" s="225"/>
      <c r="U272" s="225"/>
      <c r="V272" s="225"/>
      <c r="W272" s="225"/>
      <c r="X272" s="225"/>
      <c r="Y272" s="225"/>
      <c r="Z272" s="244">
        <v>0</v>
      </c>
      <c r="AA272" s="224"/>
      <c r="AB272" s="224">
        <v>33.5</v>
      </c>
      <c r="AC272" s="226">
        <v>5.5</v>
      </c>
      <c r="AD272" s="227">
        <v>36.850710024933349</v>
      </c>
    </row>
    <row r="273" spans="1:30">
      <c r="A273" s="236">
        <v>270</v>
      </c>
      <c r="B273" s="220">
        <v>259</v>
      </c>
      <c r="C273" s="221">
        <f t="shared" si="4"/>
        <v>0.90604026845637586</v>
      </c>
      <c r="D273" s="222" t="s">
        <v>932</v>
      </c>
      <c r="E273" s="223" t="s">
        <v>930</v>
      </c>
      <c r="F273" s="220">
        <v>9</v>
      </c>
      <c r="G273" s="220">
        <v>16</v>
      </c>
      <c r="H273" s="224">
        <v>29.77192307692308</v>
      </c>
      <c r="I273" s="225">
        <v>3</v>
      </c>
      <c r="J273" s="225">
        <v>2</v>
      </c>
      <c r="K273" s="224">
        <v>17.841950216450215</v>
      </c>
      <c r="L273" s="225">
        <v>3</v>
      </c>
      <c r="M273" s="225">
        <v>2</v>
      </c>
      <c r="N273" s="224">
        <v>27.688888888888883</v>
      </c>
      <c r="O273" s="225">
        <v>3</v>
      </c>
      <c r="P273" s="225">
        <v>2</v>
      </c>
      <c r="Q273" s="224">
        <v>42</v>
      </c>
      <c r="R273" s="225">
        <v>5</v>
      </c>
      <c r="S273" s="225">
        <v>3</v>
      </c>
      <c r="T273" s="225"/>
      <c r="U273" s="225"/>
      <c r="V273" s="234"/>
      <c r="W273" s="225"/>
      <c r="X273" s="234"/>
      <c r="Y273" s="234"/>
      <c r="Z273" s="224">
        <v>45.18518518518519</v>
      </c>
      <c r="AA273" s="224"/>
      <c r="AB273" s="224">
        <v>54</v>
      </c>
      <c r="AC273" s="226">
        <v>5.5</v>
      </c>
      <c r="AD273" s="227">
        <v>35.543263157717703</v>
      </c>
    </row>
    <row r="274" spans="1:30">
      <c r="A274" s="235">
        <v>271</v>
      </c>
      <c r="B274" s="220">
        <v>260</v>
      </c>
      <c r="C274" s="221">
        <f t="shared" si="4"/>
        <v>0.90939597315436238</v>
      </c>
      <c r="D274" s="222" t="s">
        <v>76</v>
      </c>
      <c r="E274" s="223" t="s">
        <v>74</v>
      </c>
      <c r="F274" s="220">
        <v>4</v>
      </c>
      <c r="G274" s="220">
        <v>6</v>
      </c>
      <c r="H274" s="224">
        <v>57.83</v>
      </c>
      <c r="I274" s="225">
        <v>7</v>
      </c>
      <c r="J274" s="225">
        <v>4</v>
      </c>
      <c r="K274" s="224">
        <v>35.9</v>
      </c>
      <c r="L274" s="225">
        <v>5</v>
      </c>
      <c r="M274" s="225">
        <v>3</v>
      </c>
      <c r="N274" s="224">
        <v>35.069888888888897</v>
      </c>
      <c r="O274" s="225">
        <v>4</v>
      </c>
      <c r="P274" s="225">
        <v>3</v>
      </c>
      <c r="Q274" s="224">
        <v>2</v>
      </c>
      <c r="R274" s="225">
        <v>1</v>
      </c>
      <c r="S274" s="225">
        <v>2</v>
      </c>
      <c r="T274" s="225"/>
      <c r="U274" s="225"/>
      <c r="V274" s="225"/>
      <c r="W274" s="225"/>
      <c r="X274" s="225"/>
      <c r="Y274" s="225"/>
      <c r="Z274" s="224">
        <v>42.962962962962962</v>
      </c>
      <c r="AA274" s="224"/>
      <c r="AB274" s="224">
        <v>22</v>
      </c>
      <c r="AC274" s="226">
        <v>5.5</v>
      </c>
      <c r="AD274" s="227">
        <v>35.411427609427612</v>
      </c>
    </row>
    <row r="275" spans="1:30">
      <c r="A275" s="236">
        <v>272</v>
      </c>
      <c r="B275" s="220">
        <v>261</v>
      </c>
      <c r="C275" s="221">
        <f t="shared" si="4"/>
        <v>0.91275167785234901</v>
      </c>
      <c r="D275" s="222" t="s">
        <v>259</v>
      </c>
      <c r="E275" s="223" t="s">
        <v>257</v>
      </c>
      <c r="F275" s="220">
        <v>5</v>
      </c>
      <c r="G275" s="220">
        <v>9</v>
      </c>
      <c r="H275" s="224">
        <v>24.513910256410256</v>
      </c>
      <c r="I275" s="225">
        <v>3</v>
      </c>
      <c r="J275" s="225">
        <v>2</v>
      </c>
      <c r="K275" s="224">
        <v>23.225273521606333</v>
      </c>
      <c r="L275" s="225">
        <v>3</v>
      </c>
      <c r="M275" s="225">
        <v>2</v>
      </c>
      <c r="N275" s="224">
        <v>20.897666666666648</v>
      </c>
      <c r="O275" s="225">
        <v>3</v>
      </c>
      <c r="P275" s="225">
        <v>2</v>
      </c>
      <c r="Q275" s="224"/>
      <c r="R275" s="225"/>
      <c r="S275" s="225"/>
      <c r="T275" s="225">
        <v>29</v>
      </c>
      <c r="U275" s="225">
        <v>3</v>
      </c>
      <c r="V275" s="225">
        <v>2</v>
      </c>
      <c r="W275" s="225"/>
      <c r="X275" s="225"/>
      <c r="Y275" s="225"/>
      <c r="Z275" s="224">
        <v>53.185185185185183</v>
      </c>
      <c r="AA275" s="224"/>
      <c r="AB275" s="224">
        <v>52.7</v>
      </c>
      <c r="AC275" s="226">
        <v>5.5</v>
      </c>
      <c r="AD275" s="227">
        <v>34.367642841794257</v>
      </c>
    </row>
    <row r="276" spans="1:30">
      <c r="A276" s="236">
        <v>273</v>
      </c>
      <c r="B276" s="220">
        <v>262</v>
      </c>
      <c r="C276" s="221">
        <f t="shared" si="4"/>
        <v>0.91610738255033553</v>
      </c>
      <c r="D276" s="222" t="s">
        <v>899</v>
      </c>
      <c r="E276" s="223" t="s">
        <v>897</v>
      </c>
      <c r="F276" s="220">
        <v>7</v>
      </c>
      <c r="G276" s="220">
        <v>12</v>
      </c>
      <c r="H276" s="224">
        <v>33.024871794871792</v>
      </c>
      <c r="I276" s="225">
        <v>4</v>
      </c>
      <c r="J276" s="225">
        <v>3</v>
      </c>
      <c r="K276" s="224">
        <v>20.506753607503605</v>
      </c>
      <c r="L276" s="225">
        <v>3</v>
      </c>
      <c r="M276" s="225">
        <v>2</v>
      </c>
      <c r="N276" s="224">
        <v>21.05</v>
      </c>
      <c r="O276" s="225">
        <v>3</v>
      </c>
      <c r="P276" s="225">
        <v>2</v>
      </c>
      <c r="Q276" s="224">
        <v>41</v>
      </c>
      <c r="R276" s="225">
        <v>5</v>
      </c>
      <c r="S276" s="225">
        <v>3</v>
      </c>
      <c r="T276" s="225"/>
      <c r="U276" s="225"/>
      <c r="V276" s="234"/>
      <c r="W276" s="225"/>
      <c r="X276" s="234"/>
      <c r="Y276" s="234"/>
      <c r="Z276" s="224">
        <v>45</v>
      </c>
      <c r="AA276" s="224"/>
      <c r="AB276" s="224">
        <v>47.5</v>
      </c>
      <c r="AC276" s="226">
        <v>5.5</v>
      </c>
      <c r="AD276" s="227">
        <v>34.105750073159157</v>
      </c>
    </row>
    <row r="277" spans="1:30">
      <c r="A277" s="235">
        <v>274</v>
      </c>
      <c r="B277" s="220">
        <v>263</v>
      </c>
      <c r="C277" s="221">
        <f t="shared" si="4"/>
        <v>0.91946308724832215</v>
      </c>
      <c r="D277" s="222" t="s">
        <v>801</v>
      </c>
      <c r="E277" s="223" t="s">
        <v>799</v>
      </c>
      <c r="F277" s="220">
        <v>9</v>
      </c>
      <c r="G277" s="220">
        <v>12</v>
      </c>
      <c r="H277" s="224">
        <v>33.764294871794874</v>
      </c>
      <c r="I277" s="225">
        <v>4</v>
      </c>
      <c r="J277" s="225">
        <v>3</v>
      </c>
      <c r="K277" s="224">
        <v>17.453484992784993</v>
      </c>
      <c r="L277" s="225">
        <v>3</v>
      </c>
      <c r="M277" s="225">
        <v>2</v>
      </c>
      <c r="N277" s="224">
        <v>34.020166666666647</v>
      </c>
      <c r="O277" s="225">
        <v>4</v>
      </c>
      <c r="P277" s="225">
        <v>3</v>
      </c>
      <c r="Q277" s="224">
        <v>49</v>
      </c>
      <c r="R277" s="225">
        <v>5</v>
      </c>
      <c r="S277" s="225">
        <v>3</v>
      </c>
      <c r="T277" s="225"/>
      <c r="U277" s="225"/>
      <c r="V277" s="225"/>
      <c r="W277" s="225"/>
      <c r="X277" s="225"/>
      <c r="Y277" s="225"/>
      <c r="Z277" s="224">
        <v>37.74074074074074</v>
      </c>
      <c r="AA277" s="224">
        <v>38.333333333333329</v>
      </c>
      <c r="AB277" s="224"/>
      <c r="AC277" s="226">
        <v>5.5</v>
      </c>
      <c r="AD277" s="227">
        <v>33.784003746421924</v>
      </c>
    </row>
    <row r="278" spans="1:30">
      <c r="A278" s="236">
        <v>275</v>
      </c>
      <c r="B278" s="220">
        <v>264</v>
      </c>
      <c r="C278" s="221">
        <f t="shared" si="4"/>
        <v>0.92281879194630867</v>
      </c>
      <c r="D278" s="222" t="s">
        <v>598</v>
      </c>
      <c r="E278" s="223" t="s">
        <v>596</v>
      </c>
      <c r="F278" s="220">
        <v>6</v>
      </c>
      <c r="G278" s="220">
        <v>7</v>
      </c>
      <c r="H278" s="224">
        <v>51.999074038461536</v>
      </c>
      <c r="I278" s="225">
        <v>6</v>
      </c>
      <c r="J278" s="225">
        <v>4</v>
      </c>
      <c r="K278" s="224">
        <v>33.824495711750778</v>
      </c>
      <c r="L278" s="225">
        <v>4</v>
      </c>
      <c r="M278" s="225">
        <v>3</v>
      </c>
      <c r="N278" s="224">
        <v>50.694444444444457</v>
      </c>
      <c r="O278" s="225">
        <v>6</v>
      </c>
      <c r="P278" s="225">
        <v>4</v>
      </c>
      <c r="Q278" s="224">
        <v>9</v>
      </c>
      <c r="R278" s="225">
        <v>1</v>
      </c>
      <c r="S278" s="225">
        <v>2</v>
      </c>
      <c r="T278" s="225"/>
      <c r="U278" s="225"/>
      <c r="V278" s="225"/>
      <c r="W278" s="225"/>
      <c r="X278" s="225"/>
      <c r="Y278" s="225"/>
      <c r="Z278" s="244">
        <v>0</v>
      </c>
      <c r="AA278" s="224"/>
      <c r="AB278" s="224">
        <v>44</v>
      </c>
      <c r="AC278" s="226">
        <v>5.5</v>
      </c>
      <c r="AD278" s="227">
        <v>33.639638944483046</v>
      </c>
    </row>
    <row r="279" spans="1:30">
      <c r="A279" s="236">
        <v>276</v>
      </c>
      <c r="B279" s="220">
        <v>265</v>
      </c>
      <c r="C279" s="221">
        <f t="shared" si="4"/>
        <v>0.9261744966442953</v>
      </c>
      <c r="D279" s="222" t="s">
        <v>702</v>
      </c>
      <c r="E279" s="223" t="s">
        <v>700</v>
      </c>
      <c r="F279" s="220">
        <v>6</v>
      </c>
      <c r="G279" s="220">
        <v>8</v>
      </c>
      <c r="H279" s="224">
        <v>27.466153846153844</v>
      </c>
      <c r="I279" s="225">
        <v>3</v>
      </c>
      <c r="J279" s="225">
        <v>2</v>
      </c>
      <c r="K279" s="224">
        <v>27.077760622220399</v>
      </c>
      <c r="L279" s="225">
        <v>4</v>
      </c>
      <c r="M279" s="225">
        <v>3</v>
      </c>
      <c r="N279" s="224">
        <v>24.893499999999996</v>
      </c>
      <c r="O279" s="225">
        <v>3</v>
      </c>
      <c r="P279" s="225">
        <v>2</v>
      </c>
      <c r="Q279" s="224">
        <v>23</v>
      </c>
      <c r="R279" s="225">
        <v>3</v>
      </c>
      <c r="S279" s="225">
        <v>2</v>
      </c>
      <c r="T279" s="225"/>
      <c r="U279" s="225"/>
      <c r="V279" s="225"/>
      <c r="W279" s="225"/>
      <c r="X279" s="225"/>
      <c r="Y279" s="225"/>
      <c r="Z279" s="224">
        <v>62.407407407407405</v>
      </c>
      <c r="AA279" s="224">
        <v>31</v>
      </c>
      <c r="AB279" s="224"/>
      <c r="AC279" s="226">
        <v>5.5</v>
      </c>
      <c r="AD279" s="227">
        <v>33.517240341051206</v>
      </c>
    </row>
    <row r="280" spans="1:30">
      <c r="A280" s="235">
        <v>277</v>
      </c>
      <c r="B280" s="220">
        <v>266</v>
      </c>
      <c r="C280" s="221">
        <f t="shared" si="4"/>
        <v>0.92953020134228193</v>
      </c>
      <c r="D280" s="222" t="s">
        <v>968</v>
      </c>
      <c r="E280" s="223" t="s">
        <v>966</v>
      </c>
      <c r="F280" s="220">
        <v>5</v>
      </c>
      <c r="G280" s="220">
        <v>8</v>
      </c>
      <c r="H280" s="224"/>
      <c r="I280" s="225"/>
      <c r="J280" s="225"/>
      <c r="K280" s="224">
        <v>19.906915169040563</v>
      </c>
      <c r="L280" s="225">
        <v>3</v>
      </c>
      <c r="M280" s="225">
        <v>2</v>
      </c>
      <c r="N280" s="224">
        <v>10.95000000000001</v>
      </c>
      <c r="O280" s="225">
        <v>2</v>
      </c>
      <c r="P280" s="225">
        <v>2</v>
      </c>
      <c r="Q280" s="224">
        <v>28</v>
      </c>
      <c r="R280" s="225">
        <v>4</v>
      </c>
      <c r="S280" s="234">
        <v>3</v>
      </c>
      <c r="T280" s="225"/>
      <c r="U280" s="225"/>
      <c r="V280" s="234"/>
      <c r="W280" s="224"/>
      <c r="X280" s="234"/>
      <c r="Y280" s="234"/>
      <c r="Z280" s="224">
        <v>59.222222222222229</v>
      </c>
      <c r="AA280" s="224"/>
      <c r="AB280" s="224">
        <v>45.6</v>
      </c>
      <c r="AC280" s="226">
        <v>4.5</v>
      </c>
      <c r="AD280" s="227">
        <v>33.26203053139173</v>
      </c>
    </row>
    <row r="281" spans="1:30">
      <c r="A281" s="236">
        <v>278</v>
      </c>
      <c r="B281" s="220">
        <v>267</v>
      </c>
      <c r="C281" s="221">
        <f t="shared" si="4"/>
        <v>0.93288590604026844</v>
      </c>
      <c r="D281" s="222" t="s">
        <v>112</v>
      </c>
      <c r="E281" s="223" t="s">
        <v>2080</v>
      </c>
      <c r="F281" s="220" t="s">
        <v>1002</v>
      </c>
      <c r="G281" s="220" t="s">
        <v>2059</v>
      </c>
      <c r="H281" s="224">
        <v>21.183974358974357</v>
      </c>
      <c r="I281" s="225">
        <v>2</v>
      </c>
      <c r="J281" s="225">
        <v>2</v>
      </c>
      <c r="K281" s="224">
        <v>39.826023409773413</v>
      </c>
      <c r="L281" s="225">
        <v>5</v>
      </c>
      <c r="M281" s="225">
        <v>3</v>
      </c>
      <c r="N281" s="224">
        <v>32.010833333333302</v>
      </c>
      <c r="O281" s="225">
        <v>4</v>
      </c>
      <c r="P281" s="225">
        <v>3</v>
      </c>
      <c r="Q281" s="224">
        <v>16</v>
      </c>
      <c r="R281" s="225">
        <v>1</v>
      </c>
      <c r="S281" s="225">
        <v>2</v>
      </c>
      <c r="T281" s="225"/>
      <c r="U281" s="225"/>
      <c r="V281" s="225"/>
      <c r="W281" s="225"/>
      <c r="X281" s="225"/>
      <c r="Y281" s="225"/>
      <c r="Z281" s="224">
        <v>60.370370370370381</v>
      </c>
      <c r="AA281" s="224"/>
      <c r="AB281" s="224">
        <v>21</v>
      </c>
      <c r="AC281" s="226">
        <v>5.5</v>
      </c>
      <c r="AD281" s="227">
        <v>33.162036631354809</v>
      </c>
    </row>
    <row r="282" spans="1:30">
      <c r="A282" s="236">
        <v>279</v>
      </c>
      <c r="B282" s="220">
        <v>268</v>
      </c>
      <c r="C282" s="221">
        <f t="shared" si="4"/>
        <v>0.93624161073825507</v>
      </c>
      <c r="D282" s="222" t="s">
        <v>116</v>
      </c>
      <c r="E282" s="223" t="s">
        <v>114</v>
      </c>
      <c r="F282" s="220">
        <v>5</v>
      </c>
      <c r="G282" s="220">
        <v>9</v>
      </c>
      <c r="H282" s="224">
        <v>35.976474358974357</v>
      </c>
      <c r="I282" s="225">
        <v>4</v>
      </c>
      <c r="J282" s="225">
        <v>3</v>
      </c>
      <c r="K282" s="224">
        <v>28.919023864148471</v>
      </c>
      <c r="L282" s="225">
        <v>4</v>
      </c>
      <c r="M282" s="225">
        <v>3</v>
      </c>
      <c r="N282" s="224">
        <v>34.543555555555542</v>
      </c>
      <c r="O282" s="225">
        <v>4</v>
      </c>
      <c r="P282" s="225">
        <v>3</v>
      </c>
      <c r="Q282" s="224">
        <v>24</v>
      </c>
      <c r="R282" s="225">
        <v>2</v>
      </c>
      <c r="S282" s="225">
        <v>2</v>
      </c>
      <c r="T282" s="225"/>
      <c r="U282" s="225"/>
      <c r="V282" s="225"/>
      <c r="W282" s="225"/>
      <c r="X282" s="225"/>
      <c r="Y282" s="225"/>
      <c r="Z282" s="224">
        <v>48.18518518518519</v>
      </c>
      <c r="AA282" s="224">
        <v>21</v>
      </c>
      <c r="AB282" s="224"/>
      <c r="AC282" s="226">
        <v>5.5</v>
      </c>
      <c r="AD282" s="227">
        <v>32.840770720702466</v>
      </c>
    </row>
    <row r="283" spans="1:30">
      <c r="A283" s="235">
        <v>280</v>
      </c>
      <c r="B283" s="220">
        <v>269</v>
      </c>
      <c r="C283" s="221">
        <f t="shared" si="4"/>
        <v>0.93959731543624159</v>
      </c>
      <c r="D283" s="222" t="s">
        <v>515</v>
      </c>
      <c r="E283" s="223" t="s">
        <v>513</v>
      </c>
      <c r="F283" s="220">
        <v>9</v>
      </c>
      <c r="G283" s="220">
        <v>16</v>
      </c>
      <c r="H283" s="224">
        <v>23.801153846153845</v>
      </c>
      <c r="I283" s="225">
        <v>3</v>
      </c>
      <c r="J283" s="225">
        <v>2</v>
      </c>
      <c r="K283" s="224">
        <v>13.354265624999996</v>
      </c>
      <c r="L283" s="225">
        <v>2</v>
      </c>
      <c r="M283" s="225">
        <v>2</v>
      </c>
      <c r="N283" s="224">
        <v>20.671333333333305</v>
      </c>
      <c r="O283" s="225">
        <v>3</v>
      </c>
      <c r="P283" s="225">
        <v>2</v>
      </c>
      <c r="Q283" s="224">
        <v>37</v>
      </c>
      <c r="R283" s="225">
        <v>3</v>
      </c>
      <c r="S283" s="225">
        <v>2</v>
      </c>
      <c r="T283" s="225"/>
      <c r="U283" s="225"/>
      <c r="V283" s="225"/>
      <c r="W283" s="225"/>
      <c r="X283" s="225"/>
      <c r="Y283" s="225"/>
      <c r="Z283" s="224">
        <v>53.185185185185183</v>
      </c>
      <c r="AA283" s="224"/>
      <c r="AB283" s="224">
        <v>47</v>
      </c>
      <c r="AC283" s="226">
        <v>5.5</v>
      </c>
      <c r="AD283" s="227">
        <v>32.093079634485882</v>
      </c>
    </row>
    <row r="284" spans="1:30">
      <c r="A284" s="236">
        <v>281</v>
      </c>
      <c r="B284" s="220">
        <v>270</v>
      </c>
      <c r="C284" s="221">
        <f t="shared" si="4"/>
        <v>0.94295302013422821</v>
      </c>
      <c r="D284" s="222" t="s">
        <v>283</v>
      </c>
      <c r="E284" s="223" t="s">
        <v>281</v>
      </c>
      <c r="F284" s="220">
        <v>6</v>
      </c>
      <c r="G284" s="220">
        <v>8</v>
      </c>
      <c r="H284" s="224">
        <v>34.670448717948716</v>
      </c>
      <c r="I284" s="225">
        <v>4</v>
      </c>
      <c r="J284" s="225">
        <v>3</v>
      </c>
      <c r="K284" s="224">
        <v>30.243779672570682</v>
      </c>
      <c r="L284" s="225">
        <v>4</v>
      </c>
      <c r="M284" s="225">
        <v>3</v>
      </c>
      <c r="N284" s="224">
        <v>24.879666666666694</v>
      </c>
      <c r="O284" s="225">
        <v>3</v>
      </c>
      <c r="P284" s="225">
        <v>2</v>
      </c>
      <c r="Q284" s="224">
        <v>23</v>
      </c>
      <c r="R284" s="225">
        <v>3</v>
      </c>
      <c r="S284" s="225">
        <v>2</v>
      </c>
      <c r="T284" s="225"/>
      <c r="U284" s="225"/>
      <c r="V284" s="225"/>
      <c r="W284" s="225"/>
      <c r="X284" s="225"/>
      <c r="Y284" s="225"/>
      <c r="Z284" s="224">
        <v>56.851851851851848</v>
      </c>
      <c r="AA284" s="224"/>
      <c r="AB284" s="224">
        <v>18</v>
      </c>
      <c r="AC284" s="226">
        <v>5.5</v>
      </c>
      <c r="AD284" s="227">
        <v>32.026499438006901</v>
      </c>
    </row>
    <row r="285" spans="1:30">
      <c r="A285" s="236">
        <v>282</v>
      </c>
      <c r="B285" s="220">
        <v>271</v>
      </c>
      <c r="C285" s="221">
        <f t="shared" si="4"/>
        <v>0.94630872483221473</v>
      </c>
      <c r="D285" s="222" t="s">
        <v>211</v>
      </c>
      <c r="E285" s="223" t="s">
        <v>209</v>
      </c>
      <c r="F285" s="220">
        <v>2</v>
      </c>
      <c r="G285" s="220">
        <v>12</v>
      </c>
      <c r="H285" s="224">
        <v>20.433076923076925</v>
      </c>
      <c r="I285" s="225">
        <v>2</v>
      </c>
      <c r="J285" s="225">
        <v>2</v>
      </c>
      <c r="K285" s="224">
        <v>30.910398629148624</v>
      </c>
      <c r="L285" s="225">
        <v>4</v>
      </c>
      <c r="M285" s="225">
        <v>3</v>
      </c>
      <c r="N285" s="224">
        <v>27.966666666666693</v>
      </c>
      <c r="O285" s="225">
        <v>3</v>
      </c>
      <c r="P285" s="225">
        <v>2</v>
      </c>
      <c r="Q285" s="224">
        <v>21</v>
      </c>
      <c r="R285" s="225">
        <v>2</v>
      </c>
      <c r="S285" s="225">
        <v>2</v>
      </c>
      <c r="T285" s="225"/>
      <c r="U285" s="225"/>
      <c r="V285" s="225"/>
      <c r="W285" s="224"/>
      <c r="X285" s="225"/>
      <c r="Y285" s="225"/>
      <c r="Z285" s="224">
        <v>49.148148148148152</v>
      </c>
      <c r="AA285" s="224"/>
      <c r="AB285" s="224">
        <v>35.5</v>
      </c>
      <c r="AC285" s="226">
        <v>5.5</v>
      </c>
      <c r="AD285" s="227">
        <v>31.719689157643703</v>
      </c>
    </row>
    <row r="286" spans="1:30">
      <c r="A286" s="235">
        <v>283</v>
      </c>
      <c r="B286" s="220">
        <v>272</v>
      </c>
      <c r="C286" s="221">
        <f t="shared" si="4"/>
        <v>0.94966442953020136</v>
      </c>
      <c r="D286" s="222" t="s">
        <v>30</v>
      </c>
      <c r="E286" s="223" t="s">
        <v>1793</v>
      </c>
      <c r="F286" s="220">
        <v>7</v>
      </c>
      <c r="G286" s="220">
        <v>11</v>
      </c>
      <c r="H286" s="224">
        <v>34.962575000000001</v>
      </c>
      <c r="I286" s="225">
        <v>4</v>
      </c>
      <c r="J286" s="225">
        <v>3</v>
      </c>
      <c r="K286" s="224">
        <v>21.758624999999995</v>
      </c>
      <c r="L286" s="225">
        <v>3</v>
      </c>
      <c r="M286" s="225">
        <v>2</v>
      </c>
      <c r="N286" s="224">
        <v>28.950694444444458</v>
      </c>
      <c r="O286" s="225">
        <v>3</v>
      </c>
      <c r="P286" s="225">
        <v>2</v>
      </c>
      <c r="Q286" s="224">
        <v>27</v>
      </c>
      <c r="R286" s="225">
        <v>1</v>
      </c>
      <c r="S286" s="225">
        <v>2</v>
      </c>
      <c r="T286" s="225"/>
      <c r="U286" s="225"/>
      <c r="V286" s="225"/>
      <c r="W286" s="225"/>
      <c r="X286" s="225"/>
      <c r="Y286" s="225"/>
      <c r="Z286" s="224">
        <v>36.203703703703702</v>
      </c>
      <c r="AA286" s="224"/>
      <c r="AB286" s="224">
        <v>28.8</v>
      </c>
      <c r="AC286" s="226">
        <v>5.5</v>
      </c>
      <c r="AD286" s="227">
        <v>29.850108754208758</v>
      </c>
    </row>
    <row r="287" spans="1:30">
      <c r="A287" s="236">
        <v>284</v>
      </c>
      <c r="B287" s="220">
        <v>273</v>
      </c>
      <c r="C287" s="221">
        <f t="shared" si="4"/>
        <v>0.95302013422818788</v>
      </c>
      <c r="D287" s="222" t="s">
        <v>61</v>
      </c>
      <c r="E287" s="223" t="s">
        <v>59</v>
      </c>
      <c r="F287" s="220">
        <v>10</v>
      </c>
      <c r="G287" s="220">
        <v>15</v>
      </c>
      <c r="H287" s="224">
        <v>28.600384615384613</v>
      </c>
      <c r="I287" s="225">
        <v>3</v>
      </c>
      <c r="J287" s="225">
        <v>2</v>
      </c>
      <c r="K287" s="224">
        <v>16.954386724386723</v>
      </c>
      <c r="L287" s="225">
        <v>3</v>
      </c>
      <c r="M287" s="225">
        <v>2</v>
      </c>
      <c r="N287" s="224">
        <v>18.177500000000006</v>
      </c>
      <c r="O287" s="225">
        <v>2</v>
      </c>
      <c r="P287" s="225">
        <v>2</v>
      </c>
      <c r="Q287" s="224"/>
      <c r="R287" s="225"/>
      <c r="S287" s="225"/>
      <c r="T287" s="225"/>
      <c r="U287" s="225"/>
      <c r="V287" s="225"/>
      <c r="W287" s="224"/>
      <c r="X287" s="225"/>
      <c r="Y287" s="225"/>
      <c r="Z287" s="224">
        <v>21.296296296296298</v>
      </c>
      <c r="AA287" s="224"/>
      <c r="AB287" s="224">
        <v>62.5</v>
      </c>
      <c r="AC287" s="226">
        <v>5</v>
      </c>
      <c r="AD287" s="227">
        <v>29.505713527213526</v>
      </c>
    </row>
    <row r="288" spans="1:30">
      <c r="A288" s="236">
        <v>285</v>
      </c>
      <c r="B288" s="220">
        <v>274</v>
      </c>
      <c r="C288" s="221">
        <f t="shared" si="4"/>
        <v>0.9563758389261745</v>
      </c>
      <c r="D288" s="222" t="s">
        <v>446</v>
      </c>
      <c r="E288" s="223" t="s">
        <v>444</v>
      </c>
      <c r="F288" s="220">
        <v>3</v>
      </c>
      <c r="G288" s="240" t="s">
        <v>2067</v>
      </c>
      <c r="H288" s="224">
        <v>30.998525641025644</v>
      </c>
      <c r="I288" s="225">
        <v>3</v>
      </c>
      <c r="J288" s="225">
        <v>2</v>
      </c>
      <c r="K288" s="224">
        <v>29.70508685040361</v>
      </c>
      <c r="L288" s="225">
        <v>4</v>
      </c>
      <c r="M288" s="225">
        <v>3</v>
      </c>
      <c r="N288" s="224">
        <v>20.955555555555549</v>
      </c>
      <c r="O288" s="225">
        <v>3</v>
      </c>
      <c r="P288" s="225">
        <v>2</v>
      </c>
      <c r="Q288" s="224">
        <v>43</v>
      </c>
      <c r="R288" s="225">
        <v>5</v>
      </c>
      <c r="S288" s="225">
        <v>3</v>
      </c>
      <c r="T288" s="225"/>
      <c r="U288" s="225"/>
      <c r="V288" s="225"/>
      <c r="W288" s="225"/>
      <c r="X288" s="225"/>
      <c r="Y288" s="225"/>
      <c r="Z288" s="225"/>
      <c r="AA288" s="224"/>
      <c r="AB288" s="224"/>
      <c r="AC288" s="226">
        <v>3.5</v>
      </c>
      <c r="AD288" s="227">
        <v>29.47404801342423</v>
      </c>
    </row>
    <row r="289" spans="1:30">
      <c r="A289" s="235">
        <v>286</v>
      </c>
      <c r="B289" s="220">
        <v>275</v>
      </c>
      <c r="C289" s="221">
        <f t="shared" si="4"/>
        <v>0.95973154362416102</v>
      </c>
      <c r="D289" s="222" t="s">
        <v>592</v>
      </c>
      <c r="E289" s="223" t="s">
        <v>590</v>
      </c>
      <c r="F289" s="220">
        <v>4</v>
      </c>
      <c r="G289" s="220">
        <v>5</v>
      </c>
      <c r="H289" s="224">
        <v>17.852756410256411</v>
      </c>
      <c r="I289" s="225">
        <v>2</v>
      </c>
      <c r="J289" s="225">
        <v>2</v>
      </c>
      <c r="K289" s="224">
        <v>22.85780566280566</v>
      </c>
      <c r="L289" s="225">
        <v>3</v>
      </c>
      <c r="M289" s="225">
        <v>2</v>
      </c>
      <c r="N289" s="224">
        <v>15.935666666666666</v>
      </c>
      <c r="O289" s="225">
        <v>2</v>
      </c>
      <c r="P289" s="225">
        <v>2</v>
      </c>
      <c r="Q289" s="224">
        <v>25</v>
      </c>
      <c r="R289" s="225">
        <v>2</v>
      </c>
      <c r="S289" s="225">
        <v>2</v>
      </c>
      <c r="T289" s="225"/>
      <c r="U289" s="225"/>
      <c r="V289" s="225"/>
      <c r="W289" s="225"/>
      <c r="X289" s="225"/>
      <c r="Y289" s="225"/>
      <c r="Z289" s="224">
        <v>44.703703703703695</v>
      </c>
      <c r="AA289" s="224"/>
      <c r="AB289" s="224">
        <v>41</v>
      </c>
      <c r="AC289" s="226">
        <v>5.5</v>
      </c>
      <c r="AD289" s="227">
        <v>28.154533171533171</v>
      </c>
    </row>
    <row r="290" spans="1:30">
      <c r="A290" s="236">
        <v>287</v>
      </c>
      <c r="B290" s="220">
        <v>276</v>
      </c>
      <c r="C290" s="221">
        <f t="shared" si="4"/>
        <v>0.96308724832214765</v>
      </c>
      <c r="D290" s="222" t="s">
        <v>367</v>
      </c>
      <c r="E290" s="223" t="s">
        <v>2081</v>
      </c>
      <c r="F290" s="220">
        <v>4</v>
      </c>
      <c r="G290" s="220">
        <v>6</v>
      </c>
      <c r="H290" s="224">
        <v>13.745064102564104</v>
      </c>
      <c r="I290" s="225">
        <v>2</v>
      </c>
      <c r="J290" s="225">
        <v>2</v>
      </c>
      <c r="K290" s="224">
        <v>19.30388897420147</v>
      </c>
      <c r="L290" s="225">
        <v>3</v>
      </c>
      <c r="M290" s="225">
        <v>2</v>
      </c>
      <c r="N290" s="224">
        <v>15.466944444444454</v>
      </c>
      <c r="O290" s="225">
        <v>2</v>
      </c>
      <c r="P290" s="225">
        <v>2</v>
      </c>
      <c r="Q290" s="224"/>
      <c r="R290" s="225"/>
      <c r="S290" s="225"/>
      <c r="T290" s="225">
        <v>57</v>
      </c>
      <c r="U290" s="225">
        <v>6</v>
      </c>
      <c r="V290" s="225">
        <v>4</v>
      </c>
      <c r="W290" s="225"/>
      <c r="X290" s="225"/>
      <c r="Y290" s="225"/>
      <c r="Z290" s="224">
        <v>31.481481481481485</v>
      </c>
      <c r="AA290" s="224"/>
      <c r="AB290" s="224">
        <v>42.3</v>
      </c>
      <c r="AC290" s="226">
        <v>5.5</v>
      </c>
      <c r="AD290" s="227">
        <v>27.41770527321664</v>
      </c>
    </row>
    <row r="291" spans="1:30">
      <c r="A291" s="236">
        <v>288</v>
      </c>
      <c r="B291" s="220">
        <v>277</v>
      </c>
      <c r="C291" s="221">
        <f t="shared" si="4"/>
        <v>0.96644295302013428</v>
      </c>
      <c r="D291" s="222" t="s">
        <v>860</v>
      </c>
      <c r="E291" s="223" t="s">
        <v>2082</v>
      </c>
      <c r="F291" s="220">
        <v>1</v>
      </c>
      <c r="G291" s="220">
        <v>3</v>
      </c>
      <c r="H291" s="224">
        <v>39.824230769230766</v>
      </c>
      <c r="I291" s="225">
        <v>4</v>
      </c>
      <c r="J291" s="225">
        <v>3</v>
      </c>
      <c r="K291" s="224"/>
      <c r="L291" s="225"/>
      <c r="M291" s="225"/>
      <c r="N291" s="224">
        <v>48.48655555555554</v>
      </c>
      <c r="O291" s="225">
        <v>5</v>
      </c>
      <c r="P291" s="225">
        <v>3</v>
      </c>
      <c r="Q291" s="224"/>
      <c r="R291" s="225"/>
      <c r="S291" s="234"/>
      <c r="T291" s="225"/>
      <c r="U291" s="225"/>
      <c r="V291" s="234"/>
      <c r="W291" s="224"/>
      <c r="X291" s="234"/>
      <c r="Y291" s="234"/>
      <c r="Z291" s="244">
        <v>0</v>
      </c>
      <c r="AA291" s="224">
        <v>17</v>
      </c>
      <c r="AB291" s="224"/>
      <c r="AC291" s="226">
        <v>4</v>
      </c>
      <c r="AD291" s="227">
        <v>26.327696581196577</v>
      </c>
    </row>
    <row r="292" spans="1:30">
      <c r="A292" s="235">
        <v>289</v>
      </c>
      <c r="B292" s="220">
        <v>278</v>
      </c>
      <c r="C292" s="221">
        <f t="shared" si="4"/>
        <v>0.96979865771812079</v>
      </c>
      <c r="D292" s="222" t="s">
        <v>187</v>
      </c>
      <c r="E292" s="223" t="s">
        <v>185</v>
      </c>
      <c r="F292" s="220">
        <v>6</v>
      </c>
      <c r="G292" s="220">
        <v>9</v>
      </c>
      <c r="H292" s="224">
        <v>10.894871794871795</v>
      </c>
      <c r="I292" s="225">
        <v>1</v>
      </c>
      <c r="J292" s="225">
        <v>2</v>
      </c>
      <c r="K292" s="224">
        <v>22.351156223114423</v>
      </c>
      <c r="L292" s="225">
        <v>3</v>
      </c>
      <c r="M292" s="225">
        <v>2</v>
      </c>
      <c r="N292" s="224">
        <v>15.177499999999995</v>
      </c>
      <c r="O292" s="225">
        <v>2</v>
      </c>
      <c r="P292" s="225">
        <v>2</v>
      </c>
      <c r="Q292" s="224">
        <v>5</v>
      </c>
      <c r="R292" s="225">
        <v>1</v>
      </c>
      <c r="S292" s="225">
        <v>2</v>
      </c>
      <c r="T292" s="225"/>
      <c r="U292" s="225"/>
      <c r="V292" s="225"/>
      <c r="W292" s="225"/>
      <c r="X292" s="225"/>
      <c r="Y292" s="225"/>
      <c r="Z292" s="224">
        <v>40.888888888888886</v>
      </c>
      <c r="AA292" s="224"/>
      <c r="AB292" s="224">
        <v>50</v>
      </c>
      <c r="AC292" s="226">
        <v>5.5</v>
      </c>
      <c r="AD292" s="227">
        <v>25.784075801250022</v>
      </c>
    </row>
    <row r="293" spans="1:30">
      <c r="A293" s="236">
        <v>290</v>
      </c>
      <c r="B293" s="220">
        <v>279</v>
      </c>
      <c r="C293" s="221">
        <f t="shared" si="4"/>
        <v>0.97315436241610742</v>
      </c>
      <c r="D293" s="222" t="s">
        <v>235</v>
      </c>
      <c r="E293" s="223" t="s">
        <v>233</v>
      </c>
      <c r="F293" s="220">
        <v>11</v>
      </c>
      <c r="G293" s="220">
        <v>12</v>
      </c>
      <c r="H293" s="224">
        <v>10.043333333333335</v>
      </c>
      <c r="I293" s="225">
        <v>1</v>
      </c>
      <c r="J293" s="225">
        <v>2</v>
      </c>
      <c r="K293" s="224">
        <v>19.427269590313067</v>
      </c>
      <c r="L293" s="225">
        <v>3</v>
      </c>
      <c r="M293" s="225">
        <v>2</v>
      </c>
      <c r="N293" s="224">
        <v>19.284222222222244</v>
      </c>
      <c r="O293" s="225">
        <v>2</v>
      </c>
      <c r="P293" s="225">
        <v>2</v>
      </c>
      <c r="Q293" s="224">
        <v>12</v>
      </c>
      <c r="R293" s="225">
        <v>1</v>
      </c>
      <c r="S293" s="225">
        <v>2</v>
      </c>
      <c r="T293" s="225"/>
      <c r="U293" s="225"/>
      <c r="V293" s="225"/>
      <c r="W293" s="225"/>
      <c r="X293" s="225"/>
      <c r="Y293" s="225"/>
      <c r="Z293" s="224">
        <v>32.222222222222221</v>
      </c>
      <c r="AA293" s="224"/>
      <c r="AB293" s="224">
        <v>47.8</v>
      </c>
      <c r="AC293" s="226">
        <v>5.5</v>
      </c>
      <c r="AD293" s="227">
        <v>24.504917703289244</v>
      </c>
    </row>
    <row r="294" spans="1:30">
      <c r="A294" s="236">
        <v>291</v>
      </c>
      <c r="B294" s="220">
        <v>280</v>
      </c>
      <c r="C294" s="221">
        <f t="shared" si="4"/>
        <v>0.97651006711409394</v>
      </c>
      <c r="D294" s="222" t="s">
        <v>346</v>
      </c>
      <c r="E294" s="223" t="s">
        <v>2083</v>
      </c>
      <c r="F294" s="220" t="s">
        <v>1002</v>
      </c>
      <c r="G294" s="220" t="s">
        <v>2059</v>
      </c>
      <c r="H294" s="224">
        <v>15.418333333333333</v>
      </c>
      <c r="I294" s="225">
        <v>2</v>
      </c>
      <c r="J294" s="225">
        <v>2</v>
      </c>
      <c r="K294" s="224">
        <v>32.925276169026169</v>
      </c>
      <c r="L294" s="225">
        <v>4</v>
      </c>
      <c r="M294" s="225">
        <v>3</v>
      </c>
      <c r="N294" s="224">
        <v>15.03566666666665</v>
      </c>
      <c r="O294" s="225">
        <v>2</v>
      </c>
      <c r="P294" s="225">
        <v>2</v>
      </c>
      <c r="Q294" s="224">
        <v>3</v>
      </c>
      <c r="R294" s="225">
        <v>1</v>
      </c>
      <c r="S294" s="225">
        <v>2</v>
      </c>
      <c r="T294" s="225"/>
      <c r="U294" s="225"/>
      <c r="V294" s="225"/>
      <c r="W294" s="225"/>
      <c r="X294" s="225"/>
      <c r="Y294" s="225"/>
      <c r="Z294" s="224">
        <v>32.777777777777779</v>
      </c>
      <c r="AA294" s="224">
        <v>28.666666666666668</v>
      </c>
      <c r="AB294" s="224"/>
      <c r="AC294" s="226">
        <v>5.5</v>
      </c>
      <c r="AD294" s="227">
        <v>22.967949202449201</v>
      </c>
    </row>
    <row r="295" spans="1:30">
      <c r="A295" s="235">
        <v>292</v>
      </c>
      <c r="B295" s="220">
        <v>281</v>
      </c>
      <c r="C295" s="221">
        <f t="shared" si="4"/>
        <v>0.97986577181208057</v>
      </c>
      <c r="D295" s="222" t="s">
        <v>349</v>
      </c>
      <c r="E295" s="223" t="s">
        <v>2084</v>
      </c>
      <c r="F295" s="220" t="s">
        <v>1002</v>
      </c>
      <c r="G295" s="220" t="s">
        <v>2059</v>
      </c>
      <c r="H295" s="224">
        <v>16.6525</v>
      </c>
      <c r="I295" s="225">
        <v>2</v>
      </c>
      <c r="J295" s="225">
        <v>2</v>
      </c>
      <c r="K295" s="224">
        <v>28.323561386061385</v>
      </c>
      <c r="L295" s="225">
        <v>4</v>
      </c>
      <c r="M295" s="225">
        <v>3</v>
      </c>
      <c r="N295" s="224">
        <v>17.7777777777778</v>
      </c>
      <c r="O295" s="225">
        <v>2</v>
      </c>
      <c r="P295" s="225">
        <v>2</v>
      </c>
      <c r="Q295" s="224">
        <v>5</v>
      </c>
      <c r="R295" s="225">
        <v>1</v>
      </c>
      <c r="S295" s="225">
        <v>2</v>
      </c>
      <c r="T295" s="225"/>
      <c r="U295" s="225"/>
      <c r="V295" s="225"/>
      <c r="W295" s="225"/>
      <c r="X295" s="225"/>
      <c r="Y295" s="225"/>
      <c r="Z295" s="224">
        <v>32.777777777777779</v>
      </c>
      <c r="AA295" s="224">
        <v>22</v>
      </c>
      <c r="AB295" s="224"/>
      <c r="AC295" s="226">
        <v>5.5</v>
      </c>
      <c r="AD295" s="227">
        <v>21.823930353021264</v>
      </c>
    </row>
    <row r="296" spans="1:30">
      <c r="A296" s="236">
        <v>293</v>
      </c>
      <c r="B296" s="220">
        <v>282</v>
      </c>
      <c r="C296" s="221">
        <f t="shared" si="4"/>
        <v>0.98322147651006708</v>
      </c>
      <c r="D296" s="222" t="s">
        <v>971</v>
      </c>
      <c r="E296" s="223" t="s">
        <v>1976</v>
      </c>
      <c r="F296" s="220" t="s">
        <v>1002</v>
      </c>
      <c r="G296" s="220" t="s">
        <v>2059</v>
      </c>
      <c r="H296" s="224">
        <v>39.783333333333331</v>
      </c>
      <c r="I296" s="225">
        <v>4</v>
      </c>
      <c r="J296" s="225">
        <v>3</v>
      </c>
      <c r="K296" s="244">
        <v>0</v>
      </c>
      <c r="L296" s="225">
        <v>1</v>
      </c>
      <c r="M296" s="225">
        <v>2</v>
      </c>
      <c r="N296" s="224">
        <v>36.267833333333343</v>
      </c>
      <c r="O296" s="225">
        <v>4</v>
      </c>
      <c r="P296" s="225">
        <v>3</v>
      </c>
      <c r="Q296" s="224"/>
      <c r="R296" s="225"/>
      <c r="S296" s="234"/>
      <c r="T296" s="225">
        <v>32</v>
      </c>
      <c r="U296" s="225">
        <v>3</v>
      </c>
      <c r="V296" s="234">
        <v>2</v>
      </c>
      <c r="W296" s="225"/>
      <c r="X296" s="234"/>
      <c r="Y296" s="234"/>
      <c r="Z296" s="244">
        <v>0</v>
      </c>
      <c r="AA296" s="224">
        <v>15</v>
      </c>
      <c r="AB296" s="224"/>
      <c r="AC296" s="226">
        <v>5.5</v>
      </c>
      <c r="AD296" s="227">
        <v>19.463848484848487</v>
      </c>
    </row>
    <row r="297" spans="1:30">
      <c r="A297" s="236">
        <v>294</v>
      </c>
      <c r="B297" s="220">
        <v>283</v>
      </c>
      <c r="C297" s="221">
        <f t="shared" si="4"/>
        <v>0.98657718120805371</v>
      </c>
      <c r="D297" s="222" t="s">
        <v>172</v>
      </c>
      <c r="E297" s="223" t="s">
        <v>2085</v>
      </c>
      <c r="F297" s="220">
        <v>11</v>
      </c>
      <c r="G297" s="220">
        <v>13</v>
      </c>
      <c r="H297" s="224">
        <v>19.101025641025643</v>
      </c>
      <c r="I297" s="225">
        <v>2</v>
      </c>
      <c r="J297" s="225">
        <v>2</v>
      </c>
      <c r="K297" s="224">
        <v>16.292387759583413</v>
      </c>
      <c r="L297" s="225">
        <v>3</v>
      </c>
      <c r="M297" s="225">
        <v>2</v>
      </c>
      <c r="N297" s="224">
        <v>9.9206111111110999</v>
      </c>
      <c r="O297" s="225">
        <v>1</v>
      </c>
      <c r="P297" s="225">
        <v>2</v>
      </c>
      <c r="Q297" s="224"/>
      <c r="R297" s="225"/>
      <c r="S297" s="225"/>
      <c r="T297" s="225">
        <v>11</v>
      </c>
      <c r="U297" s="225">
        <v>1</v>
      </c>
      <c r="V297" s="225">
        <v>2</v>
      </c>
      <c r="W297" s="225"/>
      <c r="X297" s="225"/>
      <c r="Y297" s="225"/>
      <c r="Z297" s="224">
        <v>28.518518518518519</v>
      </c>
      <c r="AA297" s="224">
        <v>25</v>
      </c>
      <c r="AB297" s="224"/>
      <c r="AC297" s="226">
        <v>5.5</v>
      </c>
      <c r="AD297" s="227">
        <v>18.969553278225213</v>
      </c>
    </row>
    <row r="298" spans="1:30">
      <c r="A298" s="235">
        <v>295</v>
      </c>
      <c r="B298" s="220">
        <v>284</v>
      </c>
      <c r="C298" s="221">
        <f t="shared" si="4"/>
        <v>0.98993288590604023</v>
      </c>
      <c r="D298" s="222" t="s">
        <v>271</v>
      </c>
      <c r="E298" s="223" t="s">
        <v>269</v>
      </c>
      <c r="F298" s="220">
        <v>9</v>
      </c>
      <c r="G298" s="220">
        <v>16</v>
      </c>
      <c r="H298" s="224">
        <v>14.340833333333334</v>
      </c>
      <c r="I298" s="225">
        <v>2</v>
      </c>
      <c r="J298" s="225">
        <v>2</v>
      </c>
      <c r="K298" s="224">
        <v>2.88</v>
      </c>
      <c r="L298" s="225">
        <v>1</v>
      </c>
      <c r="M298" s="225">
        <v>2</v>
      </c>
      <c r="N298" s="224">
        <v>1.7201666666666653</v>
      </c>
      <c r="O298" s="225">
        <v>1</v>
      </c>
      <c r="P298" s="225">
        <v>2</v>
      </c>
      <c r="Q298" s="224">
        <v>22</v>
      </c>
      <c r="R298" s="225">
        <v>2</v>
      </c>
      <c r="S298" s="225">
        <v>2</v>
      </c>
      <c r="T298" s="225"/>
      <c r="U298" s="225"/>
      <c r="V298" s="225"/>
      <c r="W298" s="225"/>
      <c r="X298" s="225"/>
      <c r="Y298" s="225"/>
      <c r="Z298" s="224">
        <v>44.074074074074076</v>
      </c>
      <c r="AA298" s="224"/>
      <c r="AB298" s="224">
        <v>24</v>
      </c>
      <c r="AC298" s="226">
        <v>5.5</v>
      </c>
      <c r="AD298" s="227">
        <v>17.820922558922561</v>
      </c>
    </row>
    <row r="299" spans="1:30">
      <c r="A299" s="236">
        <v>296</v>
      </c>
      <c r="B299" s="220">
        <v>285</v>
      </c>
      <c r="C299" s="221">
        <f t="shared" si="4"/>
        <v>0.99328859060402686</v>
      </c>
      <c r="D299" s="222" t="s">
        <v>316</v>
      </c>
      <c r="E299" s="223" t="s">
        <v>2086</v>
      </c>
      <c r="F299" s="220" t="s">
        <v>1002</v>
      </c>
      <c r="G299" s="220" t="s">
        <v>2059</v>
      </c>
      <c r="H299" s="224">
        <v>5.0175000000000001</v>
      </c>
      <c r="I299" s="225">
        <v>1</v>
      </c>
      <c r="J299" s="225">
        <v>2</v>
      </c>
      <c r="K299" s="244">
        <v>0</v>
      </c>
      <c r="L299" s="225">
        <v>0</v>
      </c>
      <c r="M299" s="225">
        <v>2</v>
      </c>
      <c r="N299" s="224">
        <v>2.6666666666666652</v>
      </c>
      <c r="O299" s="225">
        <v>1</v>
      </c>
      <c r="P299" s="225">
        <v>2</v>
      </c>
      <c r="Q299" s="224">
        <v>27</v>
      </c>
      <c r="R299" s="225">
        <v>1</v>
      </c>
      <c r="S299" s="225">
        <v>2</v>
      </c>
      <c r="T299" s="225"/>
      <c r="U299" s="225"/>
      <c r="V299" s="225"/>
      <c r="W299" s="225"/>
      <c r="X299" s="225"/>
      <c r="Y299" s="225"/>
      <c r="Z299" s="224">
        <v>39.25925925925926</v>
      </c>
      <c r="AA299" s="224"/>
      <c r="AB299" s="224">
        <v>21.5</v>
      </c>
      <c r="AC299" s="226">
        <v>5.5</v>
      </c>
      <c r="AD299" s="227">
        <v>14.898804713804713</v>
      </c>
    </row>
    <row r="300" spans="1:30">
      <c r="A300" s="236">
        <v>297</v>
      </c>
      <c r="B300" s="220">
        <v>286</v>
      </c>
      <c r="C300" s="221">
        <f t="shared" si="4"/>
        <v>0.99664429530201337</v>
      </c>
      <c r="D300" s="222" t="s">
        <v>866</v>
      </c>
      <c r="E300" s="223" t="s">
        <v>864</v>
      </c>
      <c r="F300" s="220">
        <v>11</v>
      </c>
      <c r="G300" s="220">
        <v>16</v>
      </c>
      <c r="H300" s="224">
        <v>11.777564102564103</v>
      </c>
      <c r="I300" s="225">
        <v>2</v>
      </c>
      <c r="J300" s="225">
        <v>2</v>
      </c>
      <c r="K300" s="244">
        <v>0</v>
      </c>
      <c r="L300" s="225">
        <v>1</v>
      </c>
      <c r="M300" s="225">
        <v>2</v>
      </c>
      <c r="N300" s="224">
        <v>8.3736666666666562</v>
      </c>
      <c r="O300" s="225">
        <v>1</v>
      </c>
      <c r="P300" s="225">
        <v>2</v>
      </c>
      <c r="Q300" s="224">
        <v>19</v>
      </c>
      <c r="R300" s="225">
        <v>1</v>
      </c>
      <c r="S300" s="225">
        <v>2</v>
      </c>
      <c r="T300" s="225"/>
      <c r="U300" s="225"/>
      <c r="V300" s="234"/>
      <c r="W300" s="225"/>
      <c r="X300" s="234"/>
      <c r="Y300" s="234"/>
      <c r="Z300" s="224">
        <v>39.166666666666664</v>
      </c>
      <c r="AA300" s="224"/>
      <c r="AB300" s="224">
        <v>12</v>
      </c>
      <c r="AC300" s="226">
        <v>5.5</v>
      </c>
      <c r="AD300" s="227">
        <v>14.694163170163167</v>
      </c>
    </row>
    <row r="301" spans="1:30">
      <c r="A301" s="235">
        <v>298</v>
      </c>
      <c r="B301" s="220">
        <v>287</v>
      </c>
      <c r="C301" s="221">
        <f t="shared" si="4"/>
        <v>1</v>
      </c>
      <c r="D301" s="222" t="s">
        <v>890</v>
      </c>
      <c r="E301" s="223" t="s">
        <v>1974</v>
      </c>
      <c r="F301" s="220" t="s">
        <v>1002</v>
      </c>
      <c r="G301" s="220" t="s">
        <v>2059</v>
      </c>
      <c r="H301" s="244">
        <v>0</v>
      </c>
      <c r="I301" s="225">
        <v>1</v>
      </c>
      <c r="J301" s="225">
        <v>2</v>
      </c>
      <c r="K301" s="244">
        <v>0</v>
      </c>
      <c r="L301" s="225">
        <v>1</v>
      </c>
      <c r="M301" s="225">
        <v>2</v>
      </c>
      <c r="N301" s="244">
        <v>0</v>
      </c>
      <c r="O301" s="225">
        <v>1</v>
      </c>
      <c r="P301" s="225">
        <v>2</v>
      </c>
      <c r="Q301" s="224"/>
      <c r="R301" s="225"/>
      <c r="S301" s="234"/>
      <c r="T301" s="225">
        <v>0</v>
      </c>
      <c r="U301" s="225">
        <v>1</v>
      </c>
      <c r="V301" s="234">
        <v>2</v>
      </c>
      <c r="W301" s="224"/>
      <c r="X301" s="234"/>
      <c r="Y301" s="234"/>
      <c r="Z301" s="244">
        <v>0</v>
      </c>
      <c r="AA301" s="244">
        <v>0</v>
      </c>
      <c r="AB301" s="224"/>
      <c r="AC301" s="226">
        <v>5.5</v>
      </c>
      <c r="AD301" s="227">
        <v>0</v>
      </c>
    </row>
    <row r="302" spans="1:30">
      <c r="A302" s="236"/>
      <c r="B302" s="220">
        <v>288</v>
      </c>
      <c r="C302" s="220"/>
      <c r="D302" s="222"/>
      <c r="E302" s="245" t="s">
        <v>1942</v>
      </c>
      <c r="F302" s="240">
        <v>7</v>
      </c>
      <c r="G302" s="240" t="s">
        <v>2067</v>
      </c>
      <c r="H302" s="224"/>
      <c r="I302" s="225"/>
      <c r="J302" s="225"/>
      <c r="K302" s="224"/>
      <c r="L302" s="225"/>
      <c r="M302" s="225"/>
      <c r="N302" s="224">
        <v>41.905555555555551</v>
      </c>
      <c r="O302" s="225">
        <v>5</v>
      </c>
      <c r="P302" s="225">
        <v>3</v>
      </c>
      <c r="Q302" s="224"/>
      <c r="R302" s="225"/>
      <c r="S302" s="225"/>
      <c r="T302" s="225"/>
      <c r="U302" s="225"/>
      <c r="V302" s="225"/>
      <c r="W302" s="224"/>
      <c r="X302" s="225"/>
      <c r="Y302" s="225"/>
      <c r="Z302" s="225"/>
      <c r="AA302" s="224"/>
      <c r="AB302" s="224"/>
      <c r="AC302" s="226">
        <v>1</v>
      </c>
      <c r="AD302" s="246"/>
    </row>
    <row r="303" spans="1:30">
      <c r="A303" s="236"/>
      <c r="B303" s="220">
        <v>289</v>
      </c>
      <c r="C303" s="220"/>
      <c r="D303" s="222"/>
      <c r="E303" s="239" t="s">
        <v>1996</v>
      </c>
      <c r="F303" s="240">
        <v>4</v>
      </c>
      <c r="G303" s="240" t="s">
        <v>2067</v>
      </c>
      <c r="H303" s="224"/>
      <c r="I303" s="225"/>
      <c r="J303" s="225"/>
      <c r="K303" s="224"/>
      <c r="L303" s="225"/>
      <c r="M303" s="225"/>
      <c r="N303" s="224">
        <v>63.445888888888852</v>
      </c>
      <c r="O303" s="225">
        <v>7</v>
      </c>
      <c r="P303" s="225">
        <v>4</v>
      </c>
      <c r="Q303" s="224"/>
      <c r="R303" s="225"/>
      <c r="S303" s="225"/>
      <c r="T303" s="225"/>
      <c r="U303" s="225"/>
      <c r="V303" s="225"/>
      <c r="W303" s="224"/>
      <c r="X303" s="225"/>
      <c r="Y303" s="225"/>
      <c r="Z303" s="225"/>
      <c r="AA303" s="224"/>
      <c r="AB303" s="224"/>
      <c r="AC303" s="226">
        <v>1</v>
      </c>
      <c r="AD303" s="246"/>
    </row>
    <row r="304" spans="1:30">
      <c r="A304" s="236"/>
      <c r="B304" s="247"/>
      <c r="C304" s="220"/>
      <c r="D304" s="222"/>
      <c r="E304" s="223"/>
      <c r="F304" s="220"/>
      <c r="G304" s="240"/>
      <c r="H304" s="224"/>
      <c r="I304" s="225"/>
      <c r="J304" s="225"/>
      <c r="K304" s="224"/>
      <c r="L304" s="225"/>
      <c r="M304" s="225"/>
      <c r="N304" s="224"/>
      <c r="O304" s="225"/>
      <c r="P304" s="225"/>
      <c r="Q304" s="224"/>
      <c r="R304" s="225"/>
      <c r="S304" s="225"/>
      <c r="T304" s="225"/>
      <c r="U304" s="225"/>
      <c r="V304" s="225"/>
      <c r="W304" s="224"/>
      <c r="X304" s="225"/>
      <c r="Y304" s="225"/>
      <c r="Z304" s="225"/>
      <c r="AA304" s="224"/>
      <c r="AB304" s="224"/>
      <c r="AC304" s="226"/>
      <c r="AD304" s="246"/>
    </row>
    <row r="305" spans="1:30">
      <c r="A305" s="248"/>
      <c r="B305" s="249"/>
      <c r="C305" s="220"/>
      <c r="D305" s="250" t="s">
        <v>2087</v>
      </c>
      <c r="E305" s="251"/>
      <c r="F305" s="252"/>
      <c r="G305" s="253"/>
      <c r="H305" s="254"/>
      <c r="I305" s="255"/>
      <c r="J305" s="255"/>
      <c r="K305" s="254"/>
      <c r="L305" s="255"/>
      <c r="M305" s="255"/>
      <c r="N305" s="254"/>
      <c r="O305" s="255"/>
      <c r="P305" s="255"/>
      <c r="Q305" s="254"/>
      <c r="R305" s="255"/>
      <c r="S305" s="255"/>
      <c r="T305" s="255"/>
      <c r="U305" s="255"/>
      <c r="V305" s="255"/>
      <c r="W305" s="254"/>
      <c r="X305" s="255"/>
      <c r="Y305" s="255"/>
      <c r="Z305" s="255"/>
      <c r="AA305" s="254"/>
      <c r="AB305" s="254"/>
      <c r="AC305" s="256"/>
      <c r="AD305" s="246"/>
    </row>
    <row r="306" spans="1:30">
      <c r="A306" s="236"/>
      <c r="B306" s="247"/>
      <c r="C306" s="220"/>
      <c r="D306" s="222" t="s">
        <v>751</v>
      </c>
      <c r="E306" s="223" t="s">
        <v>749</v>
      </c>
      <c r="F306" s="220">
        <v>12</v>
      </c>
      <c r="G306" s="240" t="s">
        <v>2067</v>
      </c>
      <c r="H306" s="224">
        <v>31.07826923076923</v>
      </c>
      <c r="I306" s="225">
        <v>3</v>
      </c>
      <c r="J306" s="225">
        <v>2</v>
      </c>
      <c r="K306" s="224">
        <v>37.195436946686939</v>
      </c>
      <c r="L306" s="225">
        <v>5</v>
      </c>
      <c r="M306" s="225">
        <v>3</v>
      </c>
      <c r="N306" s="224">
        <v>42.288888888888891</v>
      </c>
      <c r="O306" s="225">
        <v>5</v>
      </c>
      <c r="P306" s="225">
        <v>3</v>
      </c>
      <c r="Q306" s="224"/>
      <c r="R306" s="225"/>
      <c r="S306" s="225"/>
      <c r="T306" s="225"/>
      <c r="U306" s="225"/>
      <c r="V306" s="225"/>
      <c r="W306" s="224"/>
      <c r="X306" s="225"/>
      <c r="Y306" s="225"/>
      <c r="Z306" s="225"/>
      <c r="AA306" s="224"/>
      <c r="AB306" s="224"/>
      <c r="AC306" s="226">
        <v>3</v>
      </c>
      <c r="AD306" s="246"/>
    </row>
    <row r="307" spans="1:30">
      <c r="A307" s="236"/>
      <c r="B307" s="247"/>
      <c r="C307" s="220"/>
      <c r="D307" s="222" t="s">
        <v>119</v>
      </c>
      <c r="E307" s="223" t="s">
        <v>117</v>
      </c>
      <c r="F307" s="220">
        <v>6</v>
      </c>
      <c r="G307" s="240" t="s">
        <v>2067</v>
      </c>
      <c r="H307" s="224">
        <v>38.638653846153844</v>
      </c>
      <c r="I307" s="225">
        <v>4</v>
      </c>
      <c r="J307" s="225">
        <v>3</v>
      </c>
      <c r="K307" s="224"/>
      <c r="L307" s="225"/>
      <c r="M307" s="225"/>
      <c r="N307" s="224">
        <v>55.374499999999998</v>
      </c>
      <c r="O307" s="225">
        <v>6</v>
      </c>
      <c r="P307" s="225">
        <v>4</v>
      </c>
      <c r="Q307" s="224"/>
      <c r="R307" s="225"/>
      <c r="S307" s="225"/>
      <c r="T307" s="225"/>
      <c r="U307" s="225"/>
      <c r="V307" s="225"/>
      <c r="W307" s="224"/>
      <c r="X307" s="225"/>
      <c r="Y307" s="225"/>
      <c r="Z307" s="225"/>
      <c r="AA307" s="224"/>
      <c r="AB307" s="224">
        <v>16</v>
      </c>
      <c r="AC307" s="226">
        <v>3</v>
      </c>
      <c r="AD307" s="246"/>
    </row>
    <row r="308" spans="1:30">
      <c r="A308" s="236"/>
      <c r="B308" s="247"/>
      <c r="C308" s="220"/>
      <c r="D308" s="222" t="s">
        <v>583</v>
      </c>
      <c r="E308" s="223" t="s">
        <v>581</v>
      </c>
      <c r="F308" s="220">
        <v>10</v>
      </c>
      <c r="G308" s="220">
        <v>13</v>
      </c>
      <c r="H308" s="224">
        <v>58.842628205128207</v>
      </c>
      <c r="I308" s="225">
        <v>7</v>
      </c>
      <c r="J308" s="225">
        <v>4</v>
      </c>
      <c r="K308" s="224">
        <v>38.512790404040402</v>
      </c>
      <c r="L308" s="225">
        <v>5</v>
      </c>
      <c r="M308" s="225">
        <v>3</v>
      </c>
      <c r="N308" s="244">
        <v>0</v>
      </c>
      <c r="O308" s="225">
        <v>1</v>
      </c>
      <c r="P308" s="225">
        <v>2</v>
      </c>
      <c r="Q308" s="224"/>
      <c r="R308" s="225"/>
      <c r="S308" s="225"/>
      <c r="T308" s="225"/>
      <c r="U308" s="225"/>
      <c r="V308" s="225"/>
      <c r="W308" s="224"/>
      <c r="X308" s="225"/>
      <c r="Y308" s="225"/>
      <c r="Z308" s="224"/>
      <c r="AA308" s="224"/>
      <c r="AB308" s="224"/>
      <c r="AC308" s="226">
        <v>3</v>
      </c>
      <c r="AD308" s="246"/>
    </row>
    <row r="309" spans="1:30">
      <c r="A309" s="236"/>
      <c r="B309" s="247"/>
      <c r="C309" s="220"/>
      <c r="D309" s="222"/>
      <c r="E309" s="223" t="s">
        <v>1920</v>
      </c>
      <c r="F309" s="220">
        <v>10</v>
      </c>
      <c r="G309" s="220">
        <v>15</v>
      </c>
      <c r="H309" s="224">
        <v>15.5</v>
      </c>
      <c r="I309" s="225">
        <v>2</v>
      </c>
      <c r="J309" s="225">
        <v>2</v>
      </c>
      <c r="K309" s="224">
        <v>8.7148437499999982</v>
      </c>
      <c r="L309" s="225">
        <v>2</v>
      </c>
      <c r="M309" s="225">
        <v>2</v>
      </c>
      <c r="N309" s="224">
        <v>63.1111111111111</v>
      </c>
      <c r="O309" s="225">
        <v>7</v>
      </c>
      <c r="P309" s="225">
        <v>4</v>
      </c>
      <c r="Q309" s="224"/>
      <c r="R309" s="225"/>
      <c r="S309" s="225"/>
      <c r="T309" s="225"/>
      <c r="U309" s="225"/>
      <c r="V309" s="225"/>
      <c r="W309" s="224"/>
      <c r="X309" s="225"/>
      <c r="Y309" s="225"/>
      <c r="Z309" s="224"/>
      <c r="AA309" s="224"/>
      <c r="AB309" s="224"/>
      <c r="AC309" s="226">
        <v>3</v>
      </c>
      <c r="AD309" s="246"/>
    </row>
    <row r="310" spans="1:30">
      <c r="A310" s="236"/>
      <c r="B310" s="247"/>
      <c r="C310" s="220"/>
      <c r="D310" s="222" t="s">
        <v>88</v>
      </c>
      <c r="E310" s="223" t="s">
        <v>86</v>
      </c>
      <c r="F310" s="220">
        <v>5</v>
      </c>
      <c r="G310" s="220">
        <v>7</v>
      </c>
      <c r="H310" s="224"/>
      <c r="I310" s="225"/>
      <c r="J310" s="225"/>
      <c r="K310" s="224">
        <v>15.783386309011702</v>
      </c>
      <c r="L310" s="225">
        <v>3</v>
      </c>
      <c r="M310" s="225">
        <v>2</v>
      </c>
      <c r="N310" s="224">
        <v>25.663388888888854</v>
      </c>
      <c r="O310" s="225">
        <v>3</v>
      </c>
      <c r="P310" s="225">
        <v>2</v>
      </c>
      <c r="Q310" s="224"/>
      <c r="R310" s="225"/>
      <c r="S310" s="225"/>
      <c r="T310" s="225"/>
      <c r="U310" s="225"/>
      <c r="V310" s="225"/>
      <c r="W310" s="224"/>
      <c r="X310" s="225"/>
      <c r="Y310" s="225"/>
      <c r="Z310" s="224"/>
      <c r="AA310" s="224"/>
      <c r="AB310" s="224"/>
      <c r="AC310" s="226">
        <v>2</v>
      </c>
      <c r="AD310" s="246"/>
    </row>
    <row r="311" spans="1:30">
      <c r="A311" s="236"/>
      <c r="B311" s="247"/>
      <c r="C311" s="220"/>
      <c r="D311" s="222"/>
      <c r="E311" s="223" t="s">
        <v>2006</v>
      </c>
      <c r="F311" s="220">
        <v>6</v>
      </c>
      <c r="G311" s="240" t="s">
        <v>2067</v>
      </c>
      <c r="H311" s="224">
        <v>42.68</v>
      </c>
      <c r="I311" s="225">
        <v>5</v>
      </c>
      <c r="J311" s="225">
        <v>3</v>
      </c>
      <c r="K311" s="224"/>
      <c r="L311" s="225"/>
      <c r="M311" s="225"/>
      <c r="N311" s="244">
        <v>0</v>
      </c>
      <c r="O311" s="225">
        <v>1</v>
      </c>
      <c r="P311" s="225">
        <v>2</v>
      </c>
      <c r="Q311" s="224"/>
      <c r="R311" s="225"/>
      <c r="S311" s="225"/>
      <c r="T311" s="225"/>
      <c r="U311" s="225"/>
      <c r="V311" s="225"/>
      <c r="W311" s="224"/>
      <c r="X311" s="225"/>
      <c r="Y311" s="225"/>
      <c r="Z311" s="225"/>
      <c r="AA311" s="224"/>
      <c r="AB311" s="224"/>
      <c r="AC311" s="226">
        <v>2</v>
      </c>
      <c r="AD311" s="246"/>
    </row>
    <row r="312" spans="1:30">
      <c r="A312" s="236"/>
      <c r="B312" s="247"/>
      <c r="C312" s="220"/>
      <c r="D312" s="222"/>
      <c r="E312" s="241" t="s">
        <v>2011</v>
      </c>
      <c r="F312" s="220">
        <v>11</v>
      </c>
      <c r="G312" s="240" t="s">
        <v>2067</v>
      </c>
      <c r="H312" s="224">
        <v>38.760961538461544</v>
      </c>
      <c r="I312" s="225">
        <v>4</v>
      </c>
      <c r="J312" s="225">
        <v>3</v>
      </c>
      <c r="K312" s="224"/>
      <c r="L312" s="225"/>
      <c r="M312" s="225"/>
      <c r="N312" s="244">
        <v>0</v>
      </c>
      <c r="O312" s="225">
        <v>1</v>
      </c>
      <c r="P312" s="225">
        <v>2</v>
      </c>
      <c r="Q312" s="224"/>
      <c r="R312" s="225"/>
      <c r="S312" s="225"/>
      <c r="T312" s="225"/>
      <c r="U312" s="225"/>
      <c r="V312" s="225"/>
      <c r="W312" s="224"/>
      <c r="X312" s="225"/>
      <c r="Y312" s="225"/>
      <c r="Z312" s="225"/>
      <c r="AA312" s="224"/>
      <c r="AB312" s="224"/>
      <c r="AC312" s="226">
        <v>2</v>
      </c>
      <c r="AD312" s="246"/>
    </row>
    <row r="313" spans="1:30">
      <c r="A313" s="236"/>
      <c r="B313" s="247"/>
      <c r="C313" s="220"/>
      <c r="D313" s="222" t="s">
        <v>652</v>
      </c>
      <c r="E313" s="223" t="s">
        <v>650</v>
      </c>
      <c r="F313" s="220">
        <v>8</v>
      </c>
      <c r="G313" s="240" t="s">
        <v>2067</v>
      </c>
      <c r="H313" s="224">
        <v>36.012179487179488</v>
      </c>
      <c r="I313" s="225">
        <v>4</v>
      </c>
      <c r="J313" s="225">
        <v>3</v>
      </c>
      <c r="K313" s="224"/>
      <c r="L313" s="225"/>
      <c r="M313" s="225"/>
      <c r="N313" s="224">
        <v>33.427777777777756</v>
      </c>
      <c r="O313" s="225">
        <v>4</v>
      </c>
      <c r="P313" s="225">
        <v>3</v>
      </c>
      <c r="Q313" s="224"/>
      <c r="R313" s="225"/>
      <c r="S313" s="225"/>
      <c r="T313" s="225"/>
      <c r="U313" s="225"/>
      <c r="V313" s="225"/>
      <c r="W313" s="224"/>
      <c r="X313" s="225"/>
      <c r="Y313" s="225"/>
      <c r="Z313" s="225"/>
      <c r="AA313" s="224"/>
      <c r="AB313" s="224"/>
      <c r="AC313" s="226">
        <v>2</v>
      </c>
      <c r="AD313" s="246"/>
    </row>
    <row r="314" spans="1:30">
      <c r="A314" s="236"/>
      <c r="B314" s="247"/>
      <c r="C314" s="220"/>
      <c r="D314" s="222" t="s">
        <v>779</v>
      </c>
      <c r="E314" s="223" t="s">
        <v>777</v>
      </c>
      <c r="F314" s="220">
        <v>8</v>
      </c>
      <c r="G314" s="220">
        <v>12</v>
      </c>
      <c r="H314" s="224"/>
      <c r="I314" s="225"/>
      <c r="J314" s="225"/>
      <c r="K314" s="224">
        <v>34.435741341991339</v>
      </c>
      <c r="L314" s="225">
        <v>4</v>
      </c>
      <c r="M314" s="225">
        <v>3</v>
      </c>
      <c r="N314" s="224">
        <v>18.761111111111099</v>
      </c>
      <c r="O314" s="225">
        <v>2</v>
      </c>
      <c r="P314" s="225">
        <v>2</v>
      </c>
      <c r="Q314" s="224"/>
      <c r="R314" s="225"/>
      <c r="S314" s="225"/>
      <c r="T314" s="225"/>
      <c r="U314" s="225"/>
      <c r="V314" s="225"/>
      <c r="W314" s="224"/>
      <c r="X314" s="225"/>
      <c r="Y314" s="225"/>
      <c r="Z314" s="224"/>
      <c r="AA314" s="224"/>
      <c r="AB314" s="224"/>
      <c r="AC314" s="226">
        <v>2</v>
      </c>
      <c r="AD314" s="246"/>
    </row>
    <row r="315" spans="1:30">
      <c r="A315" s="236"/>
      <c r="B315" s="247"/>
      <c r="C315" s="220"/>
      <c r="D315" s="222"/>
      <c r="E315" s="223" t="s">
        <v>786</v>
      </c>
      <c r="F315" s="220">
        <v>6</v>
      </c>
      <c r="G315" s="240" t="s">
        <v>2067</v>
      </c>
      <c r="H315" s="224">
        <v>24.39</v>
      </c>
      <c r="I315" s="225">
        <v>3</v>
      </c>
      <c r="J315" s="225">
        <v>2</v>
      </c>
      <c r="K315" s="224"/>
      <c r="L315" s="225"/>
      <c r="M315" s="225"/>
      <c r="N315" s="224">
        <v>49.213833333333305</v>
      </c>
      <c r="O315" s="225">
        <v>5</v>
      </c>
      <c r="P315" s="225">
        <v>3</v>
      </c>
      <c r="Q315" s="224"/>
      <c r="R315" s="225"/>
      <c r="S315" s="225"/>
      <c r="T315" s="225"/>
      <c r="U315" s="225"/>
      <c r="V315" s="225"/>
      <c r="W315" s="224"/>
      <c r="X315" s="225"/>
      <c r="Y315" s="225"/>
      <c r="Z315" s="225"/>
      <c r="AA315" s="224"/>
      <c r="AB315" s="224"/>
      <c r="AC315" s="226">
        <v>2</v>
      </c>
      <c r="AD315" s="246"/>
    </row>
    <row r="316" spans="1:30">
      <c r="A316" s="236"/>
      <c r="B316" s="247"/>
      <c r="C316" s="220"/>
      <c r="D316" s="222" t="s">
        <v>1813</v>
      </c>
      <c r="E316" s="223" t="s">
        <v>2088</v>
      </c>
      <c r="F316" s="220">
        <v>1</v>
      </c>
      <c r="G316" s="220">
        <v>2</v>
      </c>
      <c r="H316" s="224">
        <v>43.973525641025645</v>
      </c>
      <c r="I316" s="225">
        <v>5</v>
      </c>
      <c r="J316" s="225">
        <v>3</v>
      </c>
      <c r="K316" s="224"/>
      <c r="L316" s="225"/>
      <c r="M316" s="225"/>
      <c r="N316" s="244">
        <v>0</v>
      </c>
      <c r="O316" s="225">
        <v>1</v>
      </c>
      <c r="P316" s="225">
        <v>2</v>
      </c>
      <c r="Q316" s="224"/>
      <c r="R316" s="225"/>
      <c r="S316" s="234"/>
      <c r="T316" s="225"/>
      <c r="U316" s="225"/>
      <c r="V316" s="234"/>
      <c r="W316" s="224"/>
      <c r="X316" s="234"/>
      <c r="Y316" s="234"/>
      <c r="Z316" s="224"/>
      <c r="AA316" s="224"/>
      <c r="AB316" s="224"/>
      <c r="AC316" s="226">
        <v>2</v>
      </c>
      <c r="AD316" s="246"/>
    </row>
    <row r="317" spans="1:30">
      <c r="A317" s="236"/>
      <c r="B317" s="247"/>
      <c r="C317" s="220"/>
      <c r="D317" s="222"/>
      <c r="E317" s="223" t="s">
        <v>1998</v>
      </c>
      <c r="F317" s="220">
        <v>9</v>
      </c>
      <c r="G317" s="240" t="s">
        <v>2067</v>
      </c>
      <c r="H317" s="224"/>
      <c r="I317" s="225"/>
      <c r="J317" s="225"/>
      <c r="K317" s="224"/>
      <c r="L317" s="225"/>
      <c r="M317" s="225"/>
      <c r="N317" s="224">
        <v>45.644444444444446</v>
      </c>
      <c r="O317" s="225">
        <v>5</v>
      </c>
      <c r="P317" s="225">
        <v>3</v>
      </c>
      <c r="Q317" s="224"/>
      <c r="R317" s="225"/>
      <c r="S317" s="225"/>
      <c r="T317" s="225"/>
      <c r="U317" s="225"/>
      <c r="V317" s="225"/>
      <c r="W317" s="224"/>
      <c r="X317" s="225"/>
      <c r="Y317" s="225"/>
      <c r="Z317" s="225"/>
      <c r="AA317" s="224"/>
      <c r="AB317" s="224"/>
      <c r="AC317" s="226">
        <v>1</v>
      </c>
      <c r="AD317" s="246"/>
    </row>
    <row r="318" spans="1:30">
      <c r="A318" s="236"/>
      <c r="B318" s="247"/>
      <c r="C318" s="220"/>
      <c r="D318" s="222"/>
      <c r="E318" s="223" t="s">
        <v>2004</v>
      </c>
      <c r="F318" s="220">
        <v>4</v>
      </c>
      <c r="G318" s="240" t="s">
        <v>2067</v>
      </c>
      <c r="H318" s="224"/>
      <c r="I318" s="225"/>
      <c r="J318" s="225"/>
      <c r="K318" s="224"/>
      <c r="L318" s="225"/>
      <c r="M318" s="225"/>
      <c r="N318" s="224">
        <v>38.185388888888895</v>
      </c>
      <c r="O318" s="225">
        <v>4</v>
      </c>
      <c r="P318" s="225">
        <v>3</v>
      </c>
      <c r="Q318" s="224"/>
      <c r="R318" s="225"/>
      <c r="S318" s="225"/>
      <c r="T318" s="225"/>
      <c r="U318" s="225"/>
      <c r="V318" s="225"/>
      <c r="W318" s="224"/>
      <c r="X318" s="225"/>
      <c r="Y318" s="225"/>
      <c r="Z318" s="225"/>
      <c r="AA318" s="224"/>
      <c r="AB318" s="224"/>
      <c r="AC318" s="226">
        <v>1</v>
      </c>
      <c r="AD318" s="246"/>
    </row>
    <row r="319" spans="1:30">
      <c r="A319" s="236"/>
      <c r="B319" s="247"/>
      <c r="C319" s="220"/>
      <c r="D319" s="222"/>
      <c r="E319" s="223" t="s">
        <v>2008</v>
      </c>
      <c r="F319" s="220">
        <v>6</v>
      </c>
      <c r="G319" s="240" t="s">
        <v>2067</v>
      </c>
      <c r="H319" s="224"/>
      <c r="I319" s="225"/>
      <c r="J319" s="225"/>
      <c r="K319" s="224"/>
      <c r="L319" s="225"/>
      <c r="M319" s="225"/>
      <c r="N319" s="224">
        <v>40.522222222222204</v>
      </c>
      <c r="O319" s="225">
        <v>5</v>
      </c>
      <c r="P319" s="225">
        <v>3</v>
      </c>
      <c r="Q319" s="224"/>
      <c r="R319" s="225"/>
      <c r="S319" s="225"/>
      <c r="T319" s="225"/>
      <c r="U319" s="225"/>
      <c r="V319" s="225"/>
      <c r="W319" s="224"/>
      <c r="X319" s="225"/>
      <c r="Y319" s="225"/>
      <c r="Z319" s="225"/>
      <c r="AA319" s="224"/>
      <c r="AB319" s="224"/>
      <c r="AC319" s="226">
        <v>1</v>
      </c>
      <c r="AD319" s="246"/>
    </row>
    <row r="320" spans="1:30">
      <c r="A320" s="236"/>
      <c r="B320" s="247"/>
      <c r="C320" s="220"/>
      <c r="D320" s="222" t="s">
        <v>1815</v>
      </c>
      <c r="E320" s="223" t="s">
        <v>1818</v>
      </c>
      <c r="F320" s="220">
        <v>12</v>
      </c>
      <c r="G320" s="240" t="s">
        <v>2067</v>
      </c>
      <c r="H320" s="224"/>
      <c r="I320" s="225"/>
      <c r="J320" s="225"/>
      <c r="K320" s="224"/>
      <c r="L320" s="225"/>
      <c r="M320" s="225"/>
      <c r="N320" s="244">
        <v>0</v>
      </c>
      <c r="O320" s="225">
        <v>1</v>
      </c>
      <c r="P320" s="225">
        <v>2</v>
      </c>
      <c r="Q320" s="224"/>
      <c r="R320" s="225"/>
      <c r="S320" s="225"/>
      <c r="T320" s="225"/>
      <c r="U320" s="225"/>
      <c r="V320" s="225"/>
      <c r="W320" s="224"/>
      <c r="X320" s="225"/>
      <c r="Y320" s="225"/>
      <c r="Z320" s="225"/>
      <c r="AA320" s="224"/>
      <c r="AB320" s="224"/>
      <c r="AC320" s="226">
        <v>1</v>
      </c>
      <c r="AD320" s="246"/>
    </row>
    <row r="321" spans="1:30">
      <c r="A321" s="236"/>
      <c r="B321" s="247"/>
      <c r="C321" s="220"/>
      <c r="D321" s="257"/>
      <c r="E321" s="223" t="s">
        <v>1808</v>
      </c>
      <c r="F321" s="220">
        <v>4</v>
      </c>
      <c r="G321" s="240" t="s">
        <v>2067</v>
      </c>
      <c r="H321" s="224"/>
      <c r="I321" s="225"/>
      <c r="J321" s="225"/>
      <c r="K321" s="224"/>
      <c r="L321" s="225"/>
      <c r="M321" s="225"/>
      <c r="N321" s="244">
        <v>0</v>
      </c>
      <c r="O321" s="225">
        <v>1</v>
      </c>
      <c r="P321" s="225">
        <v>2</v>
      </c>
      <c r="Q321" s="224"/>
      <c r="R321" s="225"/>
      <c r="S321" s="225"/>
      <c r="T321" s="225"/>
      <c r="U321" s="225"/>
      <c r="V321" s="225"/>
      <c r="W321" s="224"/>
      <c r="X321" s="225"/>
      <c r="Y321" s="225"/>
      <c r="Z321" s="225"/>
      <c r="AA321" s="224"/>
      <c r="AB321" s="224"/>
      <c r="AC321" s="226">
        <v>1</v>
      </c>
      <c r="AD321" s="246"/>
    </row>
    <row r="322" spans="1:30">
      <c r="A322" s="236"/>
      <c r="B322" s="247"/>
      <c r="C322" s="220"/>
      <c r="D322" s="222" t="s">
        <v>476</v>
      </c>
      <c r="E322" s="223" t="s">
        <v>1829</v>
      </c>
      <c r="F322" s="220">
        <v>10</v>
      </c>
      <c r="G322" s="240" t="s">
        <v>2067</v>
      </c>
      <c r="H322" s="224"/>
      <c r="I322" s="225"/>
      <c r="J322" s="225"/>
      <c r="K322" s="224"/>
      <c r="L322" s="225"/>
      <c r="M322" s="225"/>
      <c r="N322" s="224">
        <v>31.672222222222242</v>
      </c>
      <c r="O322" s="225">
        <v>4</v>
      </c>
      <c r="P322" s="225">
        <v>3</v>
      </c>
      <c r="Q322" s="224"/>
      <c r="R322" s="225"/>
      <c r="S322" s="225"/>
      <c r="T322" s="225"/>
      <c r="U322" s="225"/>
      <c r="V322" s="225"/>
      <c r="W322" s="224"/>
      <c r="X322" s="225"/>
      <c r="Y322" s="225"/>
      <c r="Z322" s="225"/>
      <c r="AA322" s="224"/>
      <c r="AB322" s="224"/>
      <c r="AC322" s="226">
        <v>1</v>
      </c>
      <c r="AD322" s="246"/>
    </row>
    <row r="323" spans="1:30">
      <c r="A323" s="236"/>
      <c r="B323" s="247"/>
      <c r="C323" s="220"/>
      <c r="D323" s="222"/>
      <c r="E323" s="223" t="s">
        <v>2014</v>
      </c>
      <c r="F323" s="220" t="s">
        <v>1002</v>
      </c>
      <c r="G323" s="240" t="s">
        <v>2067</v>
      </c>
      <c r="H323" s="224">
        <v>38.027500000000003</v>
      </c>
      <c r="I323" s="225">
        <v>4</v>
      </c>
      <c r="J323" s="225">
        <v>3</v>
      </c>
      <c r="K323" s="224"/>
      <c r="L323" s="225"/>
      <c r="M323" s="225"/>
      <c r="N323" s="244"/>
      <c r="O323" s="225"/>
      <c r="P323" s="225"/>
      <c r="Q323" s="224"/>
      <c r="R323" s="225"/>
      <c r="S323" s="225"/>
      <c r="T323" s="225"/>
      <c r="U323" s="225"/>
      <c r="V323" s="225"/>
      <c r="W323" s="224"/>
      <c r="X323" s="225"/>
      <c r="Y323" s="225"/>
      <c r="Z323" s="225"/>
      <c r="AA323" s="224"/>
      <c r="AB323" s="224"/>
      <c r="AC323" s="226">
        <v>1</v>
      </c>
      <c r="AD323" s="246"/>
    </row>
    <row r="324" spans="1:30">
      <c r="A324" s="236"/>
      <c r="B324" s="247"/>
      <c r="C324" s="220"/>
      <c r="D324" s="257"/>
      <c r="E324" s="223" t="s">
        <v>2016</v>
      </c>
      <c r="F324" s="220"/>
      <c r="G324" s="220"/>
      <c r="H324" s="224"/>
      <c r="I324" s="225"/>
      <c r="J324" s="225"/>
      <c r="K324" s="224"/>
      <c r="L324" s="225"/>
      <c r="M324" s="225"/>
      <c r="N324" s="224">
        <v>21.33333333333335</v>
      </c>
      <c r="O324" s="225">
        <v>3</v>
      </c>
      <c r="P324" s="225">
        <v>2</v>
      </c>
      <c r="Q324" s="224"/>
      <c r="R324" s="225"/>
      <c r="S324" s="225"/>
      <c r="T324" s="225"/>
      <c r="U324" s="225"/>
      <c r="V324" s="225"/>
      <c r="W324" s="224"/>
      <c r="X324" s="225"/>
      <c r="Y324" s="225"/>
      <c r="Z324" s="224"/>
      <c r="AA324" s="224"/>
      <c r="AB324" s="224"/>
      <c r="AC324" s="226">
        <v>1</v>
      </c>
      <c r="AD324" s="246"/>
    </row>
    <row r="325" spans="1:30">
      <c r="A325" s="236"/>
      <c r="B325" s="247"/>
      <c r="C325" s="220"/>
      <c r="D325" s="222"/>
      <c r="E325" s="223" t="s">
        <v>1914</v>
      </c>
      <c r="F325" s="220">
        <v>9</v>
      </c>
      <c r="G325" s="220"/>
      <c r="H325" s="224"/>
      <c r="I325" s="225"/>
      <c r="J325" s="225"/>
      <c r="K325" s="224"/>
      <c r="L325" s="225"/>
      <c r="M325" s="225"/>
      <c r="N325" s="224">
        <v>38.468999999999994</v>
      </c>
      <c r="O325" s="225">
        <v>4</v>
      </c>
      <c r="P325" s="225">
        <v>3</v>
      </c>
      <c r="Q325" s="224"/>
      <c r="R325" s="225"/>
      <c r="S325" s="225"/>
      <c r="T325" s="225"/>
      <c r="U325" s="225"/>
      <c r="V325" s="225"/>
      <c r="W325" s="224"/>
      <c r="X325" s="225"/>
      <c r="Y325" s="225"/>
      <c r="Z325" s="224"/>
      <c r="AA325" s="224"/>
      <c r="AB325" s="224"/>
      <c r="AC325" s="226">
        <v>1</v>
      </c>
      <c r="AD325" s="246"/>
    </row>
    <row r="326" spans="1:30">
      <c r="A326" s="236"/>
      <c r="B326" s="247"/>
      <c r="C326" s="220"/>
      <c r="D326" s="258"/>
      <c r="E326" s="223" t="s">
        <v>1841</v>
      </c>
      <c r="F326" s="220"/>
      <c r="G326" s="220"/>
      <c r="H326" s="224"/>
      <c r="I326" s="225"/>
      <c r="J326" s="225"/>
      <c r="K326" s="224"/>
      <c r="L326" s="225"/>
      <c r="M326" s="225"/>
      <c r="N326" s="244">
        <v>0</v>
      </c>
      <c r="O326" s="225">
        <v>1</v>
      </c>
      <c r="P326" s="225">
        <v>2</v>
      </c>
      <c r="Q326" s="224"/>
      <c r="R326" s="225"/>
      <c r="S326" s="225"/>
      <c r="T326" s="225"/>
      <c r="U326" s="225"/>
      <c r="V326" s="225"/>
      <c r="W326" s="224"/>
      <c r="X326" s="225"/>
      <c r="Y326" s="225"/>
      <c r="Z326" s="224"/>
      <c r="AA326" s="224"/>
      <c r="AB326" s="224"/>
      <c r="AC326" s="226">
        <v>1</v>
      </c>
      <c r="AD326" s="246"/>
    </row>
    <row r="327" spans="1:30">
      <c r="A327" s="236"/>
      <c r="B327" s="247"/>
      <c r="C327" s="220"/>
      <c r="D327" s="257"/>
      <c r="E327" s="223" t="s">
        <v>1858</v>
      </c>
      <c r="F327" s="220"/>
      <c r="G327" s="220"/>
      <c r="H327" s="224"/>
      <c r="I327" s="225"/>
      <c r="J327" s="225"/>
      <c r="K327" s="224"/>
      <c r="L327" s="225"/>
      <c r="M327" s="225"/>
      <c r="N327" s="244">
        <v>0</v>
      </c>
      <c r="O327" s="225">
        <v>1</v>
      </c>
      <c r="P327" s="225">
        <v>2</v>
      </c>
      <c r="Q327" s="224"/>
      <c r="R327" s="225"/>
      <c r="S327" s="225"/>
      <c r="T327" s="225"/>
      <c r="U327" s="225"/>
      <c r="V327" s="225"/>
      <c r="W327" s="224"/>
      <c r="X327" s="225"/>
      <c r="Y327" s="225"/>
      <c r="Z327" s="224"/>
      <c r="AA327" s="224"/>
      <c r="AB327" s="224"/>
      <c r="AC327" s="226">
        <v>1</v>
      </c>
      <c r="AD327" s="246"/>
    </row>
    <row r="328" spans="1:30" ht="13" thickBot="1">
      <c r="A328" s="259"/>
      <c r="B328" s="260"/>
      <c r="C328" s="220"/>
      <c r="D328" s="261" t="s">
        <v>1876</v>
      </c>
      <c r="E328" s="262" t="s">
        <v>2089</v>
      </c>
      <c r="F328" s="263">
        <v>11</v>
      </c>
      <c r="G328" s="264" t="s">
        <v>2067</v>
      </c>
      <c r="H328" s="265"/>
      <c r="I328" s="266"/>
      <c r="J328" s="266"/>
      <c r="K328" s="265">
        <v>32.085339110165194</v>
      </c>
      <c r="L328" s="266">
        <v>4</v>
      </c>
      <c r="M328" s="266">
        <v>3</v>
      </c>
      <c r="N328" s="265"/>
      <c r="O328" s="266"/>
      <c r="P328" s="266"/>
      <c r="Q328" s="265"/>
      <c r="R328" s="266"/>
      <c r="S328" s="266"/>
      <c r="T328" s="266"/>
      <c r="U328" s="266"/>
      <c r="V328" s="266"/>
      <c r="W328" s="265"/>
      <c r="X328" s="266"/>
      <c r="Y328" s="266"/>
      <c r="Z328" s="266"/>
      <c r="AA328" s="265"/>
      <c r="AB328" s="265"/>
      <c r="AC328" s="267">
        <v>1</v>
      </c>
      <c r="AD328" s="268"/>
    </row>
  </sheetData>
  <autoFilter ref="A3:AG328" xr:uid="{00000000-0009-0000-0000-000000000000}">
    <sortState xmlns:xlrd2="http://schemas.microsoft.com/office/spreadsheetml/2017/richdata2" ref="A5:AG328">
      <sortCondition sortBy="fontColor" ref="E3:E328" dxfId="3"/>
    </sortState>
  </autoFilter>
  <mergeCells count="12">
    <mergeCell ref="W2:Y2"/>
    <mergeCell ref="A2:A3"/>
    <mergeCell ref="B2:B3"/>
    <mergeCell ref="C2:C3"/>
    <mergeCell ref="D2:D3"/>
    <mergeCell ref="E2:E3"/>
    <mergeCell ref="G2:G3"/>
    <mergeCell ref="H2:J2"/>
    <mergeCell ref="K2:M2"/>
    <mergeCell ref="N2:P2"/>
    <mergeCell ref="Q2:S2"/>
    <mergeCell ref="T2:V2"/>
  </mergeCells>
  <conditionalFormatting sqref="S319:S325 S328 S308:S316 H302:S307 Z302:AB328 H308:R328 Q282:Y282 Q281:V281 T275:V280 Z255:Z265 Z267:Z281 M241:M288 K241:L282 N240:P282 Z223:Z253 Z77 Z150:Z159 Z79:Z95 Z97:Z101 Z103:Z113 Z115:Z148 Z162:Z220 W4:Y281 H4:P4 T43:V273 T4:V41 K5:M240 O5:P156 N5:N219 Z21:Z23 Z5:Z19 Z25:Z36 Z38:Z50 Z52:Z75 P172:P239 O157:S171 S299:S301 Q4:S156 AA4:AB301 W283:W328 T42:U42 T274:U274 T283:U328 H5:J282 O172:O219 N220:O239 Z283:Z301 N283:R301 M290:M301 H283:L301 S283:S297 Q172:S280">
    <cfRule type="containsErrors" dxfId="2" priority="3">
      <formula>ISERROR(H4)</formula>
    </cfRule>
  </conditionalFormatting>
  <conditionalFormatting sqref="F2:G2">
    <cfRule type="duplicateValues" dxfId="1" priority="2"/>
  </conditionalFormatting>
  <conditionalFormatting sqref="F1 E1:E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B22D2-9095-4278-8708-F375BCFB440D}">
  <sheetPr codeName="Лист3"/>
  <dimension ref="A1:AH978"/>
  <sheetViews>
    <sheetView topLeftCell="C1" zoomScaleNormal="100" workbookViewId="0">
      <selection activeCell="I11" sqref="I11"/>
    </sheetView>
  </sheetViews>
  <sheetFormatPr baseColWidth="10" defaultColWidth="14.5" defaultRowHeight="13"/>
  <cols>
    <col min="1" max="1" width="15.6640625" style="147" customWidth="1"/>
    <col min="2" max="2" width="43.83203125" style="147" customWidth="1"/>
    <col min="3" max="3" width="30.5" style="147" customWidth="1"/>
    <col min="4" max="4" width="16.5" style="147" customWidth="1"/>
    <col min="5" max="5" width="9.5" style="146" customWidth="1"/>
    <col min="6" max="6" width="14.1640625" style="146" bestFit="1" customWidth="1"/>
    <col min="7" max="7" width="11.83203125" style="146" customWidth="1"/>
    <col min="8" max="8" width="13.6640625" style="146" customWidth="1"/>
    <col min="9" max="9" width="16.1640625" style="146" customWidth="1"/>
    <col min="10" max="10" width="14.5" style="146"/>
    <col min="11" max="16384" width="14.5" style="147"/>
  </cols>
  <sheetData>
    <row r="1" spans="1:24">
      <c r="A1" s="143" t="s">
        <v>1584</v>
      </c>
      <c r="B1" s="144"/>
      <c r="C1" s="145"/>
      <c r="D1" s="144"/>
      <c r="E1" s="306" t="s">
        <v>1585</v>
      </c>
      <c r="F1" s="307"/>
      <c r="G1" s="308"/>
      <c r="H1" s="308"/>
      <c r="I1" s="309"/>
    </row>
    <row r="2" spans="1:24" s="146" customFormat="1">
      <c r="A2" s="148"/>
      <c r="B2" s="144"/>
      <c r="C2" s="144"/>
      <c r="D2" s="144"/>
      <c r="E2" s="310" t="s">
        <v>1586</v>
      </c>
      <c r="F2" s="310"/>
      <c r="G2" s="308" t="s">
        <v>1587</v>
      </c>
      <c r="H2" s="308"/>
      <c r="I2" s="149" t="s">
        <v>1588</v>
      </c>
      <c r="W2" s="147"/>
      <c r="X2" s="147"/>
    </row>
    <row r="3" spans="1:24" ht="14">
      <c r="A3" s="150"/>
      <c r="B3" s="150"/>
      <c r="C3" s="151"/>
      <c r="D3" s="152"/>
      <c r="E3" s="153" t="s">
        <v>1589</v>
      </c>
      <c r="F3" s="153" t="s">
        <v>1590</v>
      </c>
      <c r="G3" s="154" t="s">
        <v>1591</v>
      </c>
      <c r="H3" s="154" t="s">
        <v>1592</v>
      </c>
      <c r="I3" s="155" t="s">
        <v>3</v>
      </c>
    </row>
    <row r="4" spans="1:24" s="146" customFormat="1" ht="44.5" customHeight="1">
      <c r="A4" s="156" t="s">
        <v>1593</v>
      </c>
      <c r="B4" s="157" t="s">
        <v>1594</v>
      </c>
      <c r="C4" s="157" t="s">
        <v>1595</v>
      </c>
      <c r="D4" s="157" t="s">
        <v>1596</v>
      </c>
      <c r="E4" s="158" t="s">
        <v>1597</v>
      </c>
      <c r="F4" s="158" t="s">
        <v>1598</v>
      </c>
      <c r="G4" s="159" t="s">
        <v>1599</v>
      </c>
      <c r="H4" s="159" t="s">
        <v>1600</v>
      </c>
      <c r="I4" s="159" t="s">
        <v>1601</v>
      </c>
      <c r="W4" s="160" t="s">
        <v>987</v>
      </c>
      <c r="X4" s="161" t="s">
        <v>979</v>
      </c>
    </row>
    <row r="5" spans="1:24" ht="15">
      <c r="A5" s="150" t="s">
        <v>896</v>
      </c>
      <c r="B5" s="162" t="s">
        <v>894</v>
      </c>
      <c r="C5" s="163" t="s">
        <v>1602</v>
      </c>
      <c r="D5" s="164">
        <v>2</v>
      </c>
      <c r="E5" s="148">
        <v>33</v>
      </c>
      <c r="F5" s="148">
        <v>16.5</v>
      </c>
      <c r="G5" s="152">
        <v>23.5</v>
      </c>
      <c r="H5" s="148">
        <v>29.5</v>
      </c>
      <c r="I5" s="165">
        <f>(E5+F5)*50/56+(G5+H5)*50/58</f>
        <v>89.886083743842363</v>
      </c>
      <c r="W5" s="166">
        <v>1</v>
      </c>
      <c r="X5" s="167">
        <f>DAVERAGE(Data,9,W19:W20)</f>
        <v>47.660626319493289</v>
      </c>
    </row>
    <row r="6" spans="1:24" ht="15">
      <c r="A6" s="150" t="s">
        <v>163</v>
      </c>
      <c r="B6" s="162" t="s">
        <v>161</v>
      </c>
      <c r="C6" s="163" t="s">
        <v>1603</v>
      </c>
      <c r="D6" s="164">
        <v>3</v>
      </c>
      <c r="E6" s="148">
        <v>31</v>
      </c>
      <c r="F6" s="148">
        <v>17.5</v>
      </c>
      <c r="G6" s="152">
        <v>27.25</v>
      </c>
      <c r="H6" s="148">
        <v>26.25</v>
      </c>
      <c r="I6" s="165">
        <f t="shared" ref="I6:I69" si="0">(E6+F6)*50/56+(G6+H6)*50/58</f>
        <v>89.424261083743843</v>
      </c>
      <c r="K6" s="168">
        <f>AVERAGE(I5:I314)</f>
        <v>36.78090040521213</v>
      </c>
      <c r="W6" s="166">
        <v>2</v>
      </c>
      <c r="X6" s="167">
        <f>DAVERAGE(Data,9,X19:X20)</f>
        <v>42.882229520160564</v>
      </c>
    </row>
    <row r="7" spans="1:24" ht="15">
      <c r="A7" s="150" t="s">
        <v>699</v>
      </c>
      <c r="B7" s="162" t="s">
        <v>697</v>
      </c>
      <c r="C7" s="163" t="s">
        <v>1604</v>
      </c>
      <c r="D7" s="164">
        <v>1</v>
      </c>
      <c r="E7" s="148">
        <v>32</v>
      </c>
      <c r="F7" s="148">
        <v>17.5</v>
      </c>
      <c r="G7" s="152">
        <v>24.25</v>
      </c>
      <c r="H7" s="148">
        <v>27.35</v>
      </c>
      <c r="I7" s="165">
        <f t="shared" si="0"/>
        <v>88.679187192118235</v>
      </c>
      <c r="W7" s="166">
        <v>3</v>
      </c>
      <c r="X7" s="167">
        <f>DAVERAGE(Data,9,Y19:Y20)</f>
        <v>58.756597466572828</v>
      </c>
    </row>
    <row r="8" spans="1:24" ht="15">
      <c r="A8" s="150" t="s">
        <v>85</v>
      </c>
      <c r="B8" s="162" t="s">
        <v>83</v>
      </c>
      <c r="C8" s="163" t="s">
        <v>1605</v>
      </c>
      <c r="D8" s="164">
        <v>3</v>
      </c>
      <c r="E8" s="148">
        <v>33</v>
      </c>
      <c r="F8" s="148">
        <v>11.5</v>
      </c>
      <c r="G8" s="152">
        <v>26.25</v>
      </c>
      <c r="H8" s="148">
        <v>29.5</v>
      </c>
      <c r="I8" s="165">
        <f t="shared" si="0"/>
        <v>87.792487684729053</v>
      </c>
      <c r="W8" s="166">
        <v>4</v>
      </c>
      <c r="X8" s="167">
        <f>DAVERAGE(Data,9,Z19:Z20)</f>
        <v>32.784188263011352</v>
      </c>
    </row>
    <row r="9" spans="1:24" ht="14">
      <c r="A9" s="150" t="s">
        <v>664</v>
      </c>
      <c r="B9" s="150" t="s">
        <v>662</v>
      </c>
      <c r="C9" s="150" t="s">
        <v>1606</v>
      </c>
      <c r="D9" s="150">
        <v>3</v>
      </c>
      <c r="E9" s="150">
        <v>29</v>
      </c>
      <c r="F9" s="150">
        <v>13.5</v>
      </c>
      <c r="G9" s="150">
        <v>27.25</v>
      </c>
      <c r="H9" s="150">
        <v>29.25</v>
      </c>
      <c r="I9" s="150">
        <f t="shared" si="0"/>
        <v>86.653325123152712</v>
      </c>
      <c r="W9" s="166">
        <v>5</v>
      </c>
      <c r="X9" s="167">
        <f>DAVERAGE(Data,9,AA19:AA20)</f>
        <v>35.74501468359226</v>
      </c>
    </row>
    <row r="10" spans="1:24" ht="14">
      <c r="A10" s="150" t="s">
        <v>577</v>
      </c>
      <c r="B10" s="150" t="s">
        <v>2058</v>
      </c>
      <c r="C10" s="150" t="s">
        <v>1607</v>
      </c>
      <c r="D10" s="150">
        <v>1</v>
      </c>
      <c r="E10" s="150">
        <v>28</v>
      </c>
      <c r="F10" s="150">
        <v>16</v>
      </c>
      <c r="G10" s="150">
        <v>23.25</v>
      </c>
      <c r="H10" s="150">
        <v>31.25</v>
      </c>
      <c r="I10" s="150">
        <f t="shared" si="0"/>
        <v>86.268472906403943</v>
      </c>
      <c r="W10" s="166">
        <v>6</v>
      </c>
      <c r="X10" s="167">
        <f>DAVERAGE(Data,9,AB19:AB20)</f>
        <v>38.228332820197046</v>
      </c>
    </row>
    <row r="11" spans="1:24" ht="14">
      <c r="A11" s="150" t="s">
        <v>109</v>
      </c>
      <c r="B11" s="150" t="s">
        <v>107</v>
      </c>
      <c r="C11" s="150" t="s">
        <v>1608</v>
      </c>
      <c r="D11" s="150">
        <v>1</v>
      </c>
      <c r="E11" s="150">
        <v>34</v>
      </c>
      <c r="F11" s="150">
        <v>16.5</v>
      </c>
      <c r="G11" s="150">
        <v>18.75</v>
      </c>
      <c r="H11" s="150">
        <v>28.75</v>
      </c>
      <c r="I11" s="150">
        <f t="shared" si="0"/>
        <v>86.037561576354676</v>
      </c>
      <c r="W11" s="166">
        <v>7</v>
      </c>
      <c r="X11" s="167">
        <f>DAVERAGE(Data,9,AC19:AC20)</f>
        <v>38.156735505873435</v>
      </c>
    </row>
    <row r="12" spans="1:24" ht="14">
      <c r="A12" s="150" t="s">
        <v>313</v>
      </c>
      <c r="B12" s="150" t="s">
        <v>311</v>
      </c>
      <c r="C12" s="150" t="s">
        <v>1609</v>
      </c>
      <c r="D12" s="150">
        <v>3</v>
      </c>
      <c r="E12" s="150">
        <v>32</v>
      </c>
      <c r="F12" s="150">
        <v>12</v>
      </c>
      <c r="G12" s="150">
        <v>28.5</v>
      </c>
      <c r="H12" s="150">
        <v>24.25</v>
      </c>
      <c r="I12" s="150">
        <f t="shared" si="0"/>
        <v>84.759852216748769</v>
      </c>
      <c r="W12" s="166">
        <v>8</v>
      </c>
      <c r="X12" s="167">
        <f>DAVERAGE(Data,9,AD19:AD20)</f>
        <v>31.031096059113302</v>
      </c>
    </row>
    <row r="13" spans="1:24" ht="14">
      <c r="A13" s="150" t="s">
        <v>628</v>
      </c>
      <c r="B13" s="150" t="s">
        <v>1610</v>
      </c>
      <c r="C13" s="150" t="s">
        <v>1611</v>
      </c>
      <c r="D13" s="150">
        <v>3</v>
      </c>
      <c r="E13" s="150">
        <v>29</v>
      </c>
      <c r="F13" s="150">
        <v>17.5</v>
      </c>
      <c r="G13" s="150">
        <v>26.25</v>
      </c>
      <c r="H13" s="150">
        <v>23.05</v>
      </c>
      <c r="I13" s="150">
        <f t="shared" si="0"/>
        <v>84.017857142857139</v>
      </c>
      <c r="W13" s="166">
        <v>9</v>
      </c>
      <c r="X13" s="167">
        <f>DAVERAGE(Data,9,AE19:AE20)</f>
        <v>27.583242109104184</v>
      </c>
    </row>
    <row r="14" spans="1:24" ht="14">
      <c r="A14" s="150" t="s">
        <v>962</v>
      </c>
      <c r="B14" s="150" t="s">
        <v>960</v>
      </c>
      <c r="C14" s="150" t="s">
        <v>1612</v>
      </c>
      <c r="D14" s="150">
        <v>3</v>
      </c>
      <c r="E14" s="150">
        <v>30</v>
      </c>
      <c r="F14" s="150">
        <v>13</v>
      </c>
      <c r="G14" s="150">
        <v>26.5</v>
      </c>
      <c r="H14" s="150">
        <v>24.15</v>
      </c>
      <c r="I14" s="150">
        <f t="shared" si="0"/>
        <v>82.056650246305423</v>
      </c>
      <c r="W14" s="166">
        <v>10</v>
      </c>
      <c r="X14" s="167">
        <f>DAVERAGE(Data,9,AF19:AF20)</f>
        <v>31.786264074595351</v>
      </c>
    </row>
    <row r="15" spans="1:24" ht="14">
      <c r="A15" s="150" t="s">
        <v>178</v>
      </c>
      <c r="B15" s="150" t="s">
        <v>176</v>
      </c>
      <c r="C15" s="150" t="s">
        <v>1613</v>
      </c>
      <c r="D15" s="150">
        <v>1</v>
      </c>
      <c r="E15" s="150">
        <v>32</v>
      </c>
      <c r="F15" s="150">
        <v>18</v>
      </c>
      <c r="G15" s="150">
        <v>21.5</v>
      </c>
      <c r="H15" s="150">
        <v>21.15</v>
      </c>
      <c r="I15" s="150">
        <f t="shared" si="0"/>
        <v>81.410098522167488</v>
      </c>
      <c r="W15" s="166">
        <v>11</v>
      </c>
      <c r="X15" s="167">
        <f>DAVERAGE(Data,9,AG19:AG20)</f>
        <v>29.263215233042825</v>
      </c>
    </row>
    <row r="16" spans="1:24" ht="14">
      <c r="A16" s="150" t="s">
        <v>376</v>
      </c>
      <c r="B16" s="150" t="s">
        <v>374</v>
      </c>
      <c r="C16" s="150" t="s">
        <v>1614</v>
      </c>
      <c r="D16" s="150">
        <v>9</v>
      </c>
      <c r="E16" s="150">
        <v>27</v>
      </c>
      <c r="F16" s="150">
        <v>11</v>
      </c>
      <c r="G16" s="150">
        <v>28</v>
      </c>
      <c r="H16" s="150">
        <v>25.35</v>
      </c>
      <c r="I16" s="150">
        <f t="shared" si="0"/>
        <v>79.919950738916256</v>
      </c>
      <c r="W16" s="166">
        <v>12</v>
      </c>
      <c r="X16" s="167">
        <f>DAVERAGE(Data,9,AH19:AH20)</f>
        <v>20.137362637362642</v>
      </c>
    </row>
    <row r="17" spans="1:34" ht="14">
      <c r="A17" s="150" t="s">
        <v>673</v>
      </c>
      <c r="B17" s="150" t="s">
        <v>1615</v>
      </c>
      <c r="C17" s="150" t="s">
        <v>1616</v>
      </c>
      <c r="D17" s="150">
        <v>5</v>
      </c>
      <c r="E17" s="150">
        <v>29</v>
      </c>
      <c r="F17" s="150">
        <v>13.5</v>
      </c>
      <c r="G17" s="150">
        <v>27.25</v>
      </c>
      <c r="H17" s="150">
        <v>21.35</v>
      </c>
      <c r="I17" s="150">
        <f t="shared" si="0"/>
        <v>79.842980295566491</v>
      </c>
      <c r="W17" s="169" t="s">
        <v>1015</v>
      </c>
      <c r="X17" s="170">
        <f>DAVERAGE(Data,9,AI19:AI20)</f>
        <v>36.78090040521213</v>
      </c>
    </row>
    <row r="18" spans="1:34">
      <c r="A18" s="150" t="s">
        <v>938</v>
      </c>
      <c r="B18" s="150" t="s">
        <v>936</v>
      </c>
      <c r="C18" s="150" t="s">
        <v>1617</v>
      </c>
      <c r="D18" s="150">
        <v>3</v>
      </c>
      <c r="E18" s="150">
        <v>25</v>
      </c>
      <c r="F18" s="150">
        <v>11.5</v>
      </c>
      <c r="G18" s="150">
        <v>27</v>
      </c>
      <c r="H18" s="150">
        <v>27</v>
      </c>
      <c r="I18" s="150">
        <f t="shared" si="0"/>
        <v>79.14100985221674</v>
      </c>
    </row>
    <row r="19" spans="1:34" ht="14">
      <c r="A19" s="150" t="s">
        <v>184</v>
      </c>
      <c r="B19" s="150" t="s">
        <v>182</v>
      </c>
      <c r="C19" s="150" t="s">
        <v>1618</v>
      </c>
      <c r="D19" s="150">
        <v>10</v>
      </c>
      <c r="E19" s="150">
        <v>28</v>
      </c>
      <c r="F19" s="150">
        <v>7.75</v>
      </c>
      <c r="G19" s="150">
        <v>26</v>
      </c>
      <c r="H19" s="150">
        <v>28.75</v>
      </c>
      <c r="I19" s="150">
        <f t="shared" si="0"/>
        <v>79.117918719211829</v>
      </c>
      <c r="W19" s="171" t="s">
        <v>980</v>
      </c>
      <c r="X19" s="171" t="s">
        <v>980</v>
      </c>
      <c r="Y19" s="171" t="s">
        <v>980</v>
      </c>
      <c r="Z19" s="171" t="s">
        <v>980</v>
      </c>
      <c r="AA19" s="171" t="s">
        <v>980</v>
      </c>
      <c r="AB19" s="171" t="s">
        <v>980</v>
      </c>
      <c r="AC19" s="171" t="s">
        <v>980</v>
      </c>
      <c r="AD19" s="171" t="s">
        <v>980</v>
      </c>
      <c r="AE19" s="171" t="s">
        <v>980</v>
      </c>
      <c r="AF19" s="171" t="s">
        <v>980</v>
      </c>
      <c r="AG19" s="171" t="s">
        <v>980</v>
      </c>
      <c r="AH19" s="171" t="s">
        <v>980</v>
      </c>
    </row>
    <row r="20" spans="1:34" ht="14">
      <c r="A20" s="150" t="s">
        <v>298</v>
      </c>
      <c r="B20" s="150" t="s">
        <v>296</v>
      </c>
      <c r="C20" s="150" t="s">
        <v>1619</v>
      </c>
      <c r="D20" s="150">
        <v>2</v>
      </c>
      <c r="E20" s="150">
        <v>29</v>
      </c>
      <c r="F20" s="150">
        <v>11.5</v>
      </c>
      <c r="G20" s="150">
        <v>26.5</v>
      </c>
      <c r="H20" s="150">
        <v>22.75</v>
      </c>
      <c r="I20" s="150">
        <f t="shared" si="0"/>
        <v>78.61761083743842</v>
      </c>
      <c r="W20" s="171" t="b" cm="1">
        <f t="array" ref="W20">AND(Group=1)</f>
        <v>0</v>
      </c>
      <c r="X20" s="171" t="b" cm="1">
        <f t="array" ref="X20">AND(Group=2)</f>
        <v>0</v>
      </c>
      <c r="Y20" s="171" t="b" cm="1">
        <f t="array" ref="Y20">AND(Group=3)</f>
        <v>0</v>
      </c>
      <c r="Z20" s="171" t="b" cm="1">
        <f t="array" ref="Z20">AND(Group=4)</f>
        <v>0</v>
      </c>
      <c r="AA20" s="171" t="b" cm="1">
        <f t="array" ref="AA20">AND(Group=5)</f>
        <v>0</v>
      </c>
      <c r="AB20" s="171" t="b" cm="1">
        <f t="array" ref="AB20">AND(Group=6)</f>
        <v>0</v>
      </c>
      <c r="AC20" s="171" t="b" cm="1">
        <f t="array" ref="AC20">AND(Group=7)</f>
        <v>0</v>
      </c>
      <c r="AD20" s="171" t="b" cm="1">
        <f t="array" ref="AD20">AND(Group=8)</f>
        <v>0</v>
      </c>
      <c r="AE20" s="171" t="b" cm="1">
        <f t="array" ref="AE20">AND(Group=9)</f>
        <v>0</v>
      </c>
      <c r="AF20" s="171" t="b" cm="1">
        <f t="array" ref="AF20">AND(Group=10)</f>
        <v>0</v>
      </c>
      <c r="AG20" s="171" t="b" cm="1">
        <f t="array" ref="AG20">AND(Group=11)</f>
        <v>0</v>
      </c>
      <c r="AH20" s="171" t="b" cm="1">
        <f t="array" ref="AH20">AND(Group="12 онлайн")</f>
        <v>0</v>
      </c>
    </row>
    <row r="21" spans="1:34">
      <c r="A21" s="150" t="s">
        <v>48</v>
      </c>
      <c r="B21" s="150" t="s">
        <v>46</v>
      </c>
      <c r="C21" s="150" t="s">
        <v>1620</v>
      </c>
      <c r="D21" s="150">
        <v>6</v>
      </c>
      <c r="E21" s="150">
        <v>23</v>
      </c>
      <c r="F21" s="150">
        <v>10</v>
      </c>
      <c r="G21" s="150">
        <v>26.5</v>
      </c>
      <c r="H21" s="150">
        <v>29.25</v>
      </c>
      <c r="I21" s="150">
        <f t="shared" si="0"/>
        <v>77.524630541871915</v>
      </c>
    </row>
    <row r="22" spans="1:34">
      <c r="A22" s="150" t="s">
        <v>196</v>
      </c>
      <c r="B22" s="150" t="s">
        <v>194</v>
      </c>
      <c r="C22" s="150" t="s">
        <v>1621</v>
      </c>
      <c r="D22" s="150">
        <v>10</v>
      </c>
      <c r="E22" s="150">
        <v>25</v>
      </c>
      <c r="F22" s="150">
        <v>13.75</v>
      </c>
      <c r="G22" s="150">
        <v>23.5</v>
      </c>
      <c r="H22" s="150">
        <v>25</v>
      </c>
      <c r="I22" s="150">
        <f t="shared" si="0"/>
        <v>76.408559113300498</v>
      </c>
    </row>
    <row r="23" spans="1:34">
      <c r="A23" s="150" t="s">
        <v>160</v>
      </c>
      <c r="B23" s="150" t="s">
        <v>158</v>
      </c>
      <c r="C23" s="150" t="s">
        <v>1622</v>
      </c>
      <c r="D23" s="150">
        <v>1</v>
      </c>
      <c r="E23" s="150">
        <v>21</v>
      </c>
      <c r="F23" s="150">
        <v>14</v>
      </c>
      <c r="G23" s="150">
        <v>25.5</v>
      </c>
      <c r="H23" s="150">
        <v>23.6</v>
      </c>
      <c r="I23" s="150">
        <f t="shared" si="0"/>
        <v>73.577586206896555</v>
      </c>
    </row>
    <row r="24" spans="1:34">
      <c r="A24" s="150" t="s">
        <v>711</v>
      </c>
      <c r="B24" s="150" t="s">
        <v>709</v>
      </c>
      <c r="C24" s="150" t="s">
        <v>1623</v>
      </c>
      <c r="D24" s="150">
        <v>3</v>
      </c>
      <c r="E24" s="150">
        <v>27</v>
      </c>
      <c r="F24" s="150">
        <v>15.5</v>
      </c>
      <c r="G24" s="150">
        <v>22.5</v>
      </c>
      <c r="H24" s="150">
        <v>18.75</v>
      </c>
      <c r="I24" s="150">
        <f t="shared" si="0"/>
        <v>73.506773399014776</v>
      </c>
    </row>
    <row r="25" spans="1:34">
      <c r="A25" s="150" t="s">
        <v>905</v>
      </c>
      <c r="B25" s="150" t="s">
        <v>903</v>
      </c>
      <c r="C25" s="150" t="s">
        <v>1624</v>
      </c>
      <c r="D25" s="150">
        <v>3</v>
      </c>
      <c r="E25" s="150">
        <v>18</v>
      </c>
      <c r="F25" s="150">
        <v>12</v>
      </c>
      <c r="G25" s="150">
        <v>25.25</v>
      </c>
      <c r="H25" s="150">
        <v>27.5</v>
      </c>
      <c r="I25" s="150">
        <f t="shared" si="0"/>
        <v>72.259852216748769</v>
      </c>
    </row>
    <row r="26" spans="1:34">
      <c r="A26" s="150" t="s">
        <v>130</v>
      </c>
      <c r="B26" s="150" t="s">
        <v>128</v>
      </c>
      <c r="C26" s="150" t="s">
        <v>1625</v>
      </c>
      <c r="D26" s="150">
        <v>1</v>
      </c>
      <c r="E26" s="150">
        <v>20</v>
      </c>
      <c r="F26" s="150">
        <v>13</v>
      </c>
      <c r="G26" s="150">
        <v>26.5</v>
      </c>
      <c r="H26" s="150">
        <v>23.06</v>
      </c>
      <c r="I26" s="150">
        <f t="shared" si="0"/>
        <v>72.188423645320199</v>
      </c>
    </row>
    <row r="27" spans="1:34">
      <c r="A27" s="150" t="s">
        <v>878</v>
      </c>
      <c r="B27" s="150" t="s">
        <v>876</v>
      </c>
      <c r="C27" s="150" t="s">
        <v>1626</v>
      </c>
      <c r="D27" s="150">
        <v>5</v>
      </c>
      <c r="E27" s="150">
        <v>22</v>
      </c>
      <c r="F27" s="150">
        <v>11.5</v>
      </c>
      <c r="G27" s="150">
        <v>25.5</v>
      </c>
      <c r="H27" s="150">
        <v>22.95</v>
      </c>
      <c r="I27" s="150">
        <f t="shared" si="0"/>
        <v>71.677955665024626</v>
      </c>
    </row>
    <row r="28" spans="1:34">
      <c r="A28" s="150" t="s">
        <v>754</v>
      </c>
      <c r="B28" s="150" t="s">
        <v>752</v>
      </c>
      <c r="C28" s="150" t="s">
        <v>1627</v>
      </c>
      <c r="D28" s="150">
        <v>2</v>
      </c>
      <c r="E28" s="150">
        <v>18</v>
      </c>
      <c r="F28" s="150">
        <v>15.5</v>
      </c>
      <c r="G28" s="150">
        <v>26.25</v>
      </c>
      <c r="H28" s="150">
        <v>22</v>
      </c>
      <c r="I28" s="150">
        <f t="shared" si="0"/>
        <v>71.505541871921181</v>
      </c>
    </row>
    <row r="29" spans="1:34">
      <c r="A29" s="150" t="s">
        <v>361</v>
      </c>
      <c r="B29" s="150" t="s">
        <v>359</v>
      </c>
      <c r="C29" s="150" t="s">
        <v>1628</v>
      </c>
      <c r="D29" s="150">
        <v>8</v>
      </c>
      <c r="E29" s="150">
        <v>29</v>
      </c>
      <c r="F29" s="150">
        <v>12</v>
      </c>
      <c r="G29" s="150">
        <v>21.5</v>
      </c>
      <c r="H29" s="150">
        <v>18.75</v>
      </c>
      <c r="I29" s="150">
        <f t="shared" si="0"/>
        <v>71.305418719211815</v>
      </c>
    </row>
    <row r="30" spans="1:34">
      <c r="A30" s="150" t="s">
        <v>319</v>
      </c>
      <c r="B30" s="150" t="s">
        <v>317</v>
      </c>
      <c r="C30" s="150" t="s">
        <v>1629</v>
      </c>
      <c r="D30" s="150">
        <v>7</v>
      </c>
      <c r="E30" s="150">
        <v>18</v>
      </c>
      <c r="F30" s="150">
        <v>10.75</v>
      </c>
      <c r="G30" s="150">
        <v>26</v>
      </c>
      <c r="H30" s="150">
        <v>26.25</v>
      </c>
      <c r="I30" s="150">
        <f t="shared" si="0"/>
        <v>70.712746305418719</v>
      </c>
    </row>
    <row r="31" spans="1:34">
      <c r="A31" s="150" t="s">
        <v>820</v>
      </c>
      <c r="B31" s="150" t="s">
        <v>818</v>
      </c>
      <c r="C31" s="150" t="s">
        <v>1630</v>
      </c>
      <c r="D31" s="150">
        <v>10</v>
      </c>
      <c r="E31" s="150">
        <v>17</v>
      </c>
      <c r="F31" s="150">
        <v>12</v>
      </c>
      <c r="G31" s="150">
        <v>23.5</v>
      </c>
      <c r="H31" s="150">
        <v>28.25</v>
      </c>
      <c r="I31" s="150">
        <f t="shared" si="0"/>
        <v>70.504926108374377</v>
      </c>
    </row>
    <row r="32" spans="1:34">
      <c r="A32" s="150" t="s">
        <v>208</v>
      </c>
      <c r="B32" s="150" t="s">
        <v>206</v>
      </c>
      <c r="C32" s="150" t="s">
        <v>1631</v>
      </c>
      <c r="D32" s="150">
        <v>2</v>
      </c>
      <c r="E32" s="150">
        <v>21</v>
      </c>
      <c r="F32" s="150">
        <v>17</v>
      </c>
      <c r="G32" s="150">
        <v>25.5</v>
      </c>
      <c r="H32" s="150">
        <v>16.25</v>
      </c>
      <c r="I32" s="150">
        <f t="shared" si="0"/>
        <v>69.919950738916256</v>
      </c>
    </row>
    <row r="33" spans="1:10">
      <c r="A33" s="150" t="s">
        <v>739</v>
      </c>
      <c r="B33" s="150" t="s">
        <v>737</v>
      </c>
      <c r="C33" s="150" t="s">
        <v>1632</v>
      </c>
      <c r="D33" s="150">
        <v>5</v>
      </c>
      <c r="E33" s="150">
        <v>20</v>
      </c>
      <c r="F33" s="150">
        <v>17.5</v>
      </c>
      <c r="G33" s="150">
        <v>18.75</v>
      </c>
      <c r="H33" s="150">
        <v>23.5</v>
      </c>
      <c r="I33" s="150">
        <f t="shared" si="0"/>
        <v>69.904556650246292</v>
      </c>
    </row>
    <row r="34" spans="1:10">
      <c r="A34" s="150" t="s">
        <v>202</v>
      </c>
      <c r="B34" s="150" t="s">
        <v>200</v>
      </c>
      <c r="C34" s="150" t="s">
        <v>1633</v>
      </c>
      <c r="D34" s="150">
        <v>7</v>
      </c>
      <c r="E34" s="150">
        <v>18</v>
      </c>
      <c r="F34" s="150">
        <v>14</v>
      </c>
      <c r="G34" s="150">
        <v>21</v>
      </c>
      <c r="H34" s="150">
        <v>26.25</v>
      </c>
      <c r="I34" s="150">
        <f t="shared" si="0"/>
        <v>69.304187192118235</v>
      </c>
    </row>
    <row r="35" spans="1:10">
      <c r="A35" s="150" t="s">
        <v>782</v>
      </c>
      <c r="B35" s="150" t="s">
        <v>780</v>
      </c>
      <c r="C35" s="150" t="s">
        <v>1634</v>
      </c>
      <c r="D35" s="150">
        <v>6</v>
      </c>
      <c r="E35" s="150">
        <v>21</v>
      </c>
      <c r="F35" s="150">
        <v>11</v>
      </c>
      <c r="G35" s="150">
        <v>23</v>
      </c>
      <c r="H35" s="150">
        <v>23.75</v>
      </c>
      <c r="I35" s="150">
        <f t="shared" si="0"/>
        <v>68.873152709359601</v>
      </c>
    </row>
    <row r="36" spans="1:10">
      <c r="A36" s="150" t="s">
        <v>637</v>
      </c>
      <c r="B36" s="150" t="s">
        <v>635</v>
      </c>
      <c r="C36" s="150" t="s">
        <v>1635</v>
      </c>
      <c r="D36" s="150">
        <v>6</v>
      </c>
      <c r="E36" s="150">
        <v>22</v>
      </c>
      <c r="F36" s="150">
        <v>8.75</v>
      </c>
      <c r="G36" s="150">
        <v>21.25</v>
      </c>
      <c r="H36" s="150">
        <v>26.1</v>
      </c>
      <c r="I36" s="150">
        <f t="shared" si="0"/>
        <v>68.27432266009852</v>
      </c>
    </row>
    <row r="37" spans="1:10">
      <c r="A37" s="150" t="s">
        <v>613</v>
      </c>
      <c r="B37" s="150" t="s">
        <v>611</v>
      </c>
      <c r="C37" s="150" t="s">
        <v>1636</v>
      </c>
      <c r="D37" s="150">
        <v>11</v>
      </c>
      <c r="E37" s="150">
        <v>23</v>
      </c>
      <c r="F37" s="150">
        <v>10</v>
      </c>
      <c r="G37" s="150">
        <v>25.25</v>
      </c>
      <c r="H37" s="150">
        <v>19.5</v>
      </c>
      <c r="I37" s="150">
        <f t="shared" si="0"/>
        <v>68.041871921182263</v>
      </c>
    </row>
    <row r="38" spans="1:10">
      <c r="A38" s="150" t="s">
        <v>443</v>
      </c>
      <c r="B38" s="150" t="s">
        <v>441</v>
      </c>
      <c r="C38" s="150" t="s">
        <v>1637</v>
      </c>
      <c r="D38" s="150">
        <v>1</v>
      </c>
      <c r="E38" s="150">
        <v>23</v>
      </c>
      <c r="F38" s="150">
        <v>10.5</v>
      </c>
      <c r="G38" s="150">
        <v>22.5</v>
      </c>
      <c r="H38" s="150">
        <v>21.5</v>
      </c>
      <c r="I38" s="150">
        <f t="shared" si="0"/>
        <v>67.841748768472911</v>
      </c>
    </row>
    <row r="39" spans="1:10">
      <c r="A39" s="150" t="s">
        <v>103</v>
      </c>
      <c r="B39" s="150" t="s">
        <v>1638</v>
      </c>
      <c r="C39" s="150" t="s">
        <v>1639</v>
      </c>
      <c r="D39" s="150">
        <v>3</v>
      </c>
      <c r="E39" s="150">
        <v>18</v>
      </c>
      <c r="F39" s="150">
        <v>5.75</v>
      </c>
      <c r="G39" s="150">
        <v>24</v>
      </c>
      <c r="H39" s="150">
        <v>29.25</v>
      </c>
      <c r="I39" s="150">
        <f t="shared" si="0"/>
        <v>67.110529556650249</v>
      </c>
    </row>
    <row r="40" spans="1:10">
      <c r="A40" s="150" t="s">
        <v>406</v>
      </c>
      <c r="B40" s="150" t="s">
        <v>404</v>
      </c>
      <c r="C40" s="150" t="s">
        <v>1640</v>
      </c>
      <c r="D40" s="150">
        <v>7</v>
      </c>
      <c r="E40" s="150">
        <v>19</v>
      </c>
      <c r="F40" s="150">
        <v>12</v>
      </c>
      <c r="G40" s="150">
        <v>23</v>
      </c>
      <c r="H40" s="150">
        <v>22.75</v>
      </c>
      <c r="I40" s="150">
        <f t="shared" si="0"/>
        <v>67.118226600985224</v>
      </c>
    </row>
    <row r="41" spans="1:10">
      <c r="A41" s="150" t="s">
        <v>238</v>
      </c>
      <c r="B41" s="150" t="s">
        <v>236</v>
      </c>
      <c r="C41" s="150" t="s">
        <v>1641</v>
      </c>
      <c r="D41" s="150">
        <v>1</v>
      </c>
      <c r="E41" s="150">
        <v>22</v>
      </c>
      <c r="F41" s="150">
        <v>11</v>
      </c>
      <c r="G41" s="150">
        <v>22.5</v>
      </c>
      <c r="H41" s="150">
        <v>21.1</v>
      </c>
      <c r="I41" s="150">
        <f t="shared" si="0"/>
        <v>67.050492610837438</v>
      </c>
    </row>
    <row r="42" spans="1:10">
      <c r="A42" s="150" t="s">
        <v>51</v>
      </c>
      <c r="B42" s="150" t="s">
        <v>1642</v>
      </c>
      <c r="C42" s="150" t="s">
        <v>1643</v>
      </c>
      <c r="D42" s="150">
        <v>5</v>
      </c>
      <c r="E42" s="150">
        <v>29</v>
      </c>
      <c r="F42" s="150">
        <v>6.5</v>
      </c>
      <c r="G42" s="150">
        <v>24.25</v>
      </c>
      <c r="H42" s="150">
        <v>16.5</v>
      </c>
      <c r="I42" s="150">
        <f t="shared" si="0"/>
        <v>66.825738916256157</v>
      </c>
    </row>
    <row r="43" spans="1:10">
      <c r="A43" s="150" t="s">
        <v>473</v>
      </c>
      <c r="B43" s="150" t="s">
        <v>471</v>
      </c>
      <c r="C43" s="150" t="s">
        <v>1644</v>
      </c>
      <c r="D43" s="150">
        <v>3</v>
      </c>
      <c r="E43" s="150">
        <v>23</v>
      </c>
      <c r="F43" s="150">
        <v>11.5</v>
      </c>
      <c r="G43" s="150">
        <v>22</v>
      </c>
      <c r="H43" s="150">
        <v>19.649999999999999</v>
      </c>
      <c r="I43" s="150">
        <f t="shared" si="0"/>
        <v>66.708743842364527</v>
      </c>
    </row>
    <row r="44" spans="1:10">
      <c r="A44" s="150" t="s">
        <v>533</v>
      </c>
      <c r="B44" s="150" t="s">
        <v>531</v>
      </c>
      <c r="C44" s="150" t="s">
        <v>1645</v>
      </c>
      <c r="D44" s="150">
        <v>7</v>
      </c>
      <c r="E44" s="150">
        <v>24</v>
      </c>
      <c r="F44" s="150">
        <v>13</v>
      </c>
      <c r="G44" s="150">
        <v>22</v>
      </c>
      <c r="H44" s="150">
        <v>16.55</v>
      </c>
      <c r="I44" s="150">
        <f t="shared" si="0"/>
        <v>66.268472906403929</v>
      </c>
    </row>
    <row r="45" spans="1:10">
      <c r="A45" s="150" t="s">
        <v>464</v>
      </c>
      <c r="B45" s="150" t="s">
        <v>462</v>
      </c>
      <c r="C45" s="150" t="s">
        <v>1646</v>
      </c>
      <c r="D45" s="150">
        <v>11</v>
      </c>
      <c r="E45" s="150">
        <v>22</v>
      </c>
      <c r="F45" s="150">
        <v>12</v>
      </c>
      <c r="G45" s="150">
        <v>17</v>
      </c>
      <c r="H45" s="150">
        <v>24.25</v>
      </c>
      <c r="I45" s="150">
        <f t="shared" si="0"/>
        <v>65.917487684729068</v>
      </c>
    </row>
    <row r="46" spans="1:10">
      <c r="A46" s="150" t="s">
        <v>748</v>
      </c>
      <c r="B46" s="150" t="s">
        <v>746</v>
      </c>
      <c r="C46" s="150" t="s">
        <v>1647</v>
      </c>
      <c r="D46" s="150">
        <v>3</v>
      </c>
      <c r="E46" s="150">
        <v>21</v>
      </c>
      <c r="F46" s="150">
        <v>11.5</v>
      </c>
      <c r="G46" s="150">
        <v>22</v>
      </c>
      <c r="H46" s="150">
        <v>20</v>
      </c>
      <c r="I46" s="150">
        <f t="shared" si="0"/>
        <v>65.224753694581281</v>
      </c>
      <c r="J46" s="172"/>
    </row>
    <row r="47" spans="1:10">
      <c r="A47" s="150" t="s">
        <v>724</v>
      </c>
      <c r="B47" s="150" t="s">
        <v>722</v>
      </c>
      <c r="C47" s="150" t="s">
        <v>1648</v>
      </c>
      <c r="D47" s="150">
        <v>10</v>
      </c>
      <c r="E47" s="150">
        <v>18</v>
      </c>
      <c r="F47" s="150">
        <v>12.75</v>
      </c>
      <c r="G47" s="150">
        <v>23.75</v>
      </c>
      <c r="H47" s="150">
        <v>20</v>
      </c>
      <c r="I47" s="150">
        <f t="shared" si="0"/>
        <v>65.170874384236456</v>
      </c>
    </row>
    <row r="48" spans="1:10">
      <c r="A48" s="150" t="s">
        <v>157</v>
      </c>
      <c r="B48" s="150" t="s">
        <v>155</v>
      </c>
      <c r="C48" s="150" t="s">
        <v>1649</v>
      </c>
      <c r="D48" s="150">
        <v>3</v>
      </c>
      <c r="E48" s="150">
        <v>13</v>
      </c>
      <c r="F48" s="150">
        <v>16.5</v>
      </c>
      <c r="G48" s="150">
        <v>20.75</v>
      </c>
      <c r="H48" s="150">
        <v>23.75</v>
      </c>
      <c r="I48" s="150">
        <f t="shared" si="0"/>
        <v>64.701354679802961</v>
      </c>
    </row>
    <row r="49" spans="1:9">
      <c r="A49" s="150" t="s">
        <v>536</v>
      </c>
      <c r="B49" s="150" t="s">
        <v>534</v>
      </c>
      <c r="C49" s="150" t="s">
        <v>1650</v>
      </c>
      <c r="D49" s="150">
        <v>7</v>
      </c>
      <c r="E49" s="150">
        <v>17</v>
      </c>
      <c r="F49" s="150">
        <v>11</v>
      </c>
      <c r="G49" s="150">
        <v>20.5</v>
      </c>
      <c r="H49" s="150">
        <v>25.25</v>
      </c>
      <c r="I49" s="150">
        <f t="shared" si="0"/>
        <v>64.439655172413794</v>
      </c>
    </row>
    <row r="50" spans="1:9">
      <c r="A50" s="150" t="s">
        <v>145</v>
      </c>
      <c r="B50" s="150" t="s">
        <v>143</v>
      </c>
      <c r="C50" s="150" t="s">
        <v>1651</v>
      </c>
      <c r="D50" s="150">
        <v>1</v>
      </c>
      <c r="E50" s="150">
        <v>26</v>
      </c>
      <c r="F50" s="150">
        <v>14</v>
      </c>
      <c r="G50" s="150">
        <v>17.75</v>
      </c>
      <c r="H50" s="150">
        <v>15.25</v>
      </c>
      <c r="I50" s="150">
        <f t="shared" si="0"/>
        <v>64.162561576354676</v>
      </c>
    </row>
    <row r="51" spans="1:9">
      <c r="A51" s="150" t="s">
        <v>36</v>
      </c>
      <c r="B51" s="150" t="s">
        <v>34</v>
      </c>
      <c r="C51" s="150" t="s">
        <v>1652</v>
      </c>
      <c r="D51" s="150">
        <v>1</v>
      </c>
      <c r="E51" s="150">
        <v>22</v>
      </c>
      <c r="F51" s="150">
        <v>14</v>
      </c>
      <c r="G51" s="150">
        <v>22</v>
      </c>
      <c r="H51" s="150">
        <v>15</v>
      </c>
      <c r="I51" s="150">
        <f t="shared" si="0"/>
        <v>64.039408866995075</v>
      </c>
    </row>
    <row r="52" spans="1:9">
      <c r="A52" s="150" t="s">
        <v>397</v>
      </c>
      <c r="B52" s="150" t="s">
        <v>395</v>
      </c>
      <c r="C52" s="150" t="s">
        <v>1653</v>
      </c>
      <c r="D52" s="150">
        <v>2</v>
      </c>
      <c r="E52" s="150">
        <v>15</v>
      </c>
      <c r="F52" s="150">
        <v>14</v>
      </c>
      <c r="G52" s="150">
        <v>24.25</v>
      </c>
      <c r="H52" s="150">
        <v>19.5</v>
      </c>
      <c r="I52" s="150">
        <f t="shared" si="0"/>
        <v>63.608374384236456</v>
      </c>
    </row>
    <row r="53" spans="1:9">
      <c r="A53" s="150" t="s">
        <v>199</v>
      </c>
      <c r="B53" s="150" t="s">
        <v>197</v>
      </c>
      <c r="C53" s="150" t="s">
        <v>1654</v>
      </c>
      <c r="D53" s="150">
        <v>3</v>
      </c>
      <c r="E53" s="150">
        <v>15</v>
      </c>
      <c r="F53" s="150">
        <v>7.5</v>
      </c>
      <c r="G53" s="150">
        <v>24.75</v>
      </c>
      <c r="H53" s="150">
        <v>25.25</v>
      </c>
      <c r="I53" s="150">
        <f t="shared" si="0"/>
        <v>63.192733990147786</v>
      </c>
    </row>
    <row r="54" spans="1:9">
      <c r="A54" s="150" t="s">
        <v>175</v>
      </c>
      <c r="B54" s="150" t="s">
        <v>173</v>
      </c>
      <c r="C54" s="150" t="s">
        <v>1655</v>
      </c>
      <c r="D54" s="150">
        <v>1</v>
      </c>
      <c r="E54" s="150">
        <v>21</v>
      </c>
      <c r="F54" s="150">
        <v>7</v>
      </c>
      <c r="G54" s="150">
        <v>24.25</v>
      </c>
      <c r="H54" s="150">
        <v>19.399999999999999</v>
      </c>
      <c r="I54" s="150">
        <f t="shared" si="0"/>
        <v>62.629310344827587</v>
      </c>
    </row>
    <row r="55" spans="1:9">
      <c r="A55" s="150" t="s">
        <v>418</v>
      </c>
      <c r="B55" s="150" t="s">
        <v>416</v>
      </c>
      <c r="C55" s="150" t="s">
        <v>1656</v>
      </c>
      <c r="D55" s="150">
        <v>6</v>
      </c>
      <c r="E55" s="150">
        <v>19</v>
      </c>
      <c r="F55" s="150">
        <v>7.5</v>
      </c>
      <c r="G55" s="150">
        <v>23.5</v>
      </c>
      <c r="H55" s="150">
        <v>21.25</v>
      </c>
      <c r="I55" s="150">
        <f t="shared" si="0"/>
        <v>62.23830049261084</v>
      </c>
    </row>
    <row r="56" spans="1:9">
      <c r="A56" s="150" t="s">
        <v>941</v>
      </c>
      <c r="B56" s="150" t="s">
        <v>939</v>
      </c>
      <c r="C56" s="150" t="s">
        <v>1657</v>
      </c>
      <c r="D56" s="150">
        <v>7</v>
      </c>
      <c r="E56" s="150">
        <v>18</v>
      </c>
      <c r="F56" s="150">
        <v>9.5</v>
      </c>
      <c r="G56" s="150">
        <v>25.75</v>
      </c>
      <c r="H56" s="150">
        <v>17.75</v>
      </c>
      <c r="I56" s="150">
        <f t="shared" si="0"/>
        <v>62.053571428571431</v>
      </c>
    </row>
    <row r="57" spans="1:9">
      <c r="A57" s="150" t="s">
        <v>695</v>
      </c>
      <c r="B57" s="150" t="s">
        <v>693</v>
      </c>
      <c r="C57" s="150" t="s">
        <v>1658</v>
      </c>
      <c r="D57" s="150">
        <v>2</v>
      </c>
      <c r="E57" s="150">
        <v>19</v>
      </c>
      <c r="F57" s="150">
        <v>11</v>
      </c>
      <c r="G57" s="150">
        <v>19.75</v>
      </c>
      <c r="H57" s="150">
        <v>21.15</v>
      </c>
      <c r="I57" s="150">
        <f t="shared" si="0"/>
        <v>62.044334975369459</v>
      </c>
    </row>
    <row r="58" spans="1:9">
      <c r="A58" s="150" t="s">
        <v>733</v>
      </c>
      <c r="B58" s="150" t="s">
        <v>731</v>
      </c>
      <c r="C58" s="150" t="s">
        <v>1659</v>
      </c>
      <c r="D58" s="150">
        <v>6</v>
      </c>
      <c r="E58" s="150">
        <v>16</v>
      </c>
      <c r="F58" s="150">
        <v>13.5</v>
      </c>
      <c r="G58" s="150">
        <v>25.5</v>
      </c>
      <c r="H58" s="150">
        <v>15.7</v>
      </c>
      <c r="I58" s="150">
        <f t="shared" si="0"/>
        <v>61.856527093596057</v>
      </c>
    </row>
    <row r="59" spans="1:9">
      <c r="A59" s="150" t="s">
        <v>82</v>
      </c>
      <c r="B59" s="150" t="s">
        <v>80</v>
      </c>
      <c r="C59" s="150" t="s">
        <v>1660</v>
      </c>
      <c r="D59" s="150">
        <v>6</v>
      </c>
      <c r="E59" s="150">
        <v>19</v>
      </c>
      <c r="F59" s="150">
        <v>7.5</v>
      </c>
      <c r="G59" s="150">
        <v>25.25</v>
      </c>
      <c r="H59" s="150">
        <v>18.75</v>
      </c>
      <c r="I59" s="150">
        <f t="shared" si="0"/>
        <v>61.591748768472904</v>
      </c>
    </row>
    <row r="60" spans="1:9">
      <c r="A60" s="150" t="s">
        <v>214</v>
      </c>
      <c r="B60" s="150" t="s">
        <v>212</v>
      </c>
      <c r="C60" s="150" t="s">
        <v>1661</v>
      </c>
      <c r="D60" s="150">
        <v>4</v>
      </c>
      <c r="E60" s="150">
        <v>16</v>
      </c>
      <c r="F60" s="150">
        <v>8.5</v>
      </c>
      <c r="G60" s="150">
        <v>22.25</v>
      </c>
      <c r="H60" s="150">
        <v>23.75</v>
      </c>
      <c r="I60" s="150">
        <f t="shared" si="0"/>
        <v>61.530172413793103</v>
      </c>
    </row>
    <row r="61" spans="1:9">
      <c r="A61" s="150" t="s">
        <v>142</v>
      </c>
      <c r="B61" s="150" t="s">
        <v>140</v>
      </c>
      <c r="C61" s="150" t="s">
        <v>1662</v>
      </c>
      <c r="D61" s="150">
        <v>3</v>
      </c>
      <c r="E61" s="150">
        <v>16</v>
      </c>
      <c r="F61" s="150">
        <v>13.5</v>
      </c>
      <c r="G61" s="150">
        <v>22.75</v>
      </c>
      <c r="H61" s="150">
        <v>17.25</v>
      </c>
      <c r="I61" s="150">
        <f t="shared" si="0"/>
        <v>60.822044334975374</v>
      </c>
    </row>
    <row r="62" spans="1:9">
      <c r="A62" s="150" t="s">
        <v>139</v>
      </c>
      <c r="B62" s="150" t="s">
        <v>137</v>
      </c>
      <c r="C62" s="150" t="s">
        <v>1663</v>
      </c>
      <c r="D62" s="150">
        <v>5</v>
      </c>
      <c r="E62" s="150">
        <v>19</v>
      </c>
      <c r="F62" s="150">
        <v>14</v>
      </c>
      <c r="G62" s="150">
        <v>17.25</v>
      </c>
      <c r="H62" s="150">
        <v>18.899999999999999</v>
      </c>
      <c r="I62" s="150">
        <f t="shared" si="0"/>
        <v>60.628078817733993</v>
      </c>
    </row>
    <row r="63" spans="1:9">
      <c r="A63" s="150" t="s">
        <v>232</v>
      </c>
      <c r="B63" s="150" t="s">
        <v>230</v>
      </c>
      <c r="C63" s="150" t="s">
        <v>1664</v>
      </c>
      <c r="D63" s="150">
        <v>1</v>
      </c>
      <c r="E63" s="150">
        <v>20</v>
      </c>
      <c r="F63" s="150">
        <v>12.25</v>
      </c>
      <c r="G63" s="150">
        <v>21</v>
      </c>
      <c r="H63" s="150">
        <v>15.5</v>
      </c>
      <c r="I63" s="150">
        <f t="shared" si="0"/>
        <v>60.260160098522164</v>
      </c>
    </row>
    <row r="64" spans="1:9">
      <c r="A64" s="150" t="s">
        <v>688</v>
      </c>
      <c r="B64" s="150" t="s">
        <v>686</v>
      </c>
      <c r="C64" s="150" t="s">
        <v>1665</v>
      </c>
      <c r="D64" s="150">
        <v>2</v>
      </c>
      <c r="E64" s="150">
        <v>22</v>
      </c>
      <c r="F64" s="150">
        <v>6.5</v>
      </c>
      <c r="G64" s="150">
        <v>17.5</v>
      </c>
      <c r="H64" s="150">
        <v>22.5</v>
      </c>
      <c r="I64" s="150">
        <f t="shared" si="0"/>
        <v>59.929187192118235</v>
      </c>
    </row>
    <row r="65" spans="1:9">
      <c r="A65" s="150" t="s">
        <v>853</v>
      </c>
      <c r="B65" s="150" t="s">
        <v>851</v>
      </c>
      <c r="C65" s="150" t="s">
        <v>1666</v>
      </c>
      <c r="D65" s="150" t="s">
        <v>1667</v>
      </c>
      <c r="E65" s="150">
        <v>20</v>
      </c>
      <c r="F65" s="150">
        <v>14</v>
      </c>
      <c r="G65" s="150">
        <v>23.25</v>
      </c>
      <c r="H65" s="150">
        <v>10.5</v>
      </c>
      <c r="I65" s="150">
        <f t="shared" si="0"/>
        <v>59.451970443349751</v>
      </c>
    </row>
    <row r="66" spans="1:9">
      <c r="A66" s="150" t="s">
        <v>586</v>
      </c>
      <c r="B66" s="150" t="s">
        <v>584</v>
      </c>
      <c r="C66" s="150" t="s">
        <v>1668</v>
      </c>
      <c r="D66" s="150">
        <v>1</v>
      </c>
      <c r="E66" s="150">
        <v>18</v>
      </c>
      <c r="F66" s="150">
        <v>10.5</v>
      </c>
      <c r="G66" s="150">
        <v>21.5</v>
      </c>
      <c r="H66" s="150">
        <v>17.45</v>
      </c>
      <c r="I66" s="150">
        <f t="shared" si="0"/>
        <v>59.024014778325125</v>
      </c>
    </row>
    <row r="67" spans="1:9">
      <c r="A67" s="150" t="s">
        <v>461</v>
      </c>
      <c r="B67" s="150" t="s">
        <v>459</v>
      </c>
      <c r="C67" s="150" t="s">
        <v>1669</v>
      </c>
      <c r="D67" s="150">
        <v>2</v>
      </c>
      <c r="E67" s="150">
        <v>16</v>
      </c>
      <c r="F67" s="150">
        <v>9</v>
      </c>
      <c r="G67" s="150">
        <v>22.75</v>
      </c>
      <c r="H67" s="150">
        <v>19.5</v>
      </c>
      <c r="I67" s="150">
        <f t="shared" si="0"/>
        <v>58.743842364532014</v>
      </c>
    </row>
    <row r="68" spans="1:9">
      <c r="A68" s="150" t="s">
        <v>518</v>
      </c>
      <c r="B68" s="150" t="s">
        <v>516</v>
      </c>
      <c r="C68" s="150" t="s">
        <v>1670</v>
      </c>
      <c r="D68" s="150">
        <v>7</v>
      </c>
      <c r="E68" s="150">
        <v>15</v>
      </c>
      <c r="F68" s="150">
        <v>10</v>
      </c>
      <c r="G68" s="150">
        <v>25.25</v>
      </c>
      <c r="H68" s="150">
        <v>17</v>
      </c>
      <c r="I68" s="150">
        <f t="shared" si="0"/>
        <v>58.743842364532014</v>
      </c>
    </row>
    <row r="69" spans="1:9">
      <c r="A69" s="150" t="s">
        <v>94</v>
      </c>
      <c r="B69" s="150" t="s">
        <v>92</v>
      </c>
      <c r="C69" s="150" t="s">
        <v>1671</v>
      </c>
      <c r="D69" s="150">
        <v>11</v>
      </c>
      <c r="E69" s="150">
        <v>14</v>
      </c>
      <c r="F69" s="150">
        <v>11</v>
      </c>
      <c r="G69" s="150">
        <v>23.5</v>
      </c>
      <c r="H69" s="150">
        <v>17.25</v>
      </c>
      <c r="I69" s="150">
        <f t="shared" si="0"/>
        <v>57.450738916256157</v>
      </c>
    </row>
    <row r="70" spans="1:9">
      <c r="A70" s="150" t="s">
        <v>154</v>
      </c>
      <c r="B70" s="150" t="s">
        <v>152</v>
      </c>
      <c r="C70" s="150" t="s">
        <v>1672</v>
      </c>
      <c r="D70" s="150">
        <v>6</v>
      </c>
      <c r="E70" s="150">
        <v>21</v>
      </c>
      <c r="F70" s="150">
        <v>8</v>
      </c>
      <c r="G70" s="150">
        <v>23.25</v>
      </c>
      <c r="H70" s="150">
        <v>13.25</v>
      </c>
      <c r="I70" s="150">
        <f t="shared" ref="I70:I133" si="1">(E70+F70)*50/56+(G70+H70)*50/58</f>
        <v>57.358374384236456</v>
      </c>
    </row>
    <row r="71" spans="1:9">
      <c r="A71" s="150" t="s">
        <v>394</v>
      </c>
      <c r="B71" s="150" t="s">
        <v>392</v>
      </c>
      <c r="C71" s="150" t="s">
        <v>1673</v>
      </c>
      <c r="D71" s="150">
        <v>9</v>
      </c>
      <c r="E71" s="150">
        <v>11</v>
      </c>
      <c r="F71" s="150">
        <v>12</v>
      </c>
      <c r="G71" s="150">
        <v>20.25</v>
      </c>
      <c r="H71" s="150">
        <v>21.5</v>
      </c>
      <c r="I71" s="150">
        <f t="shared" si="1"/>
        <v>56.52709359605911</v>
      </c>
    </row>
    <row r="72" spans="1:9">
      <c r="A72" s="150" t="s">
        <v>268</v>
      </c>
      <c r="B72" s="150" t="s">
        <v>266</v>
      </c>
      <c r="C72" s="150" t="s">
        <v>1674</v>
      </c>
      <c r="D72" s="150">
        <v>11</v>
      </c>
      <c r="E72" s="150">
        <v>18</v>
      </c>
      <c r="F72" s="150">
        <v>14</v>
      </c>
      <c r="G72" s="150">
        <v>12.4</v>
      </c>
      <c r="H72" s="150">
        <v>20</v>
      </c>
      <c r="I72" s="150">
        <f t="shared" si="1"/>
        <v>56.502463054187189</v>
      </c>
    </row>
    <row r="73" spans="1:9">
      <c r="A73" s="150" t="s">
        <v>424</v>
      </c>
      <c r="B73" s="150" t="s">
        <v>422</v>
      </c>
      <c r="C73" s="150" t="s">
        <v>1675</v>
      </c>
      <c r="D73" s="150">
        <v>2</v>
      </c>
      <c r="E73" s="150">
        <v>17</v>
      </c>
      <c r="F73" s="150">
        <v>8.75</v>
      </c>
      <c r="G73" s="150">
        <v>21.5</v>
      </c>
      <c r="H73" s="150">
        <v>17</v>
      </c>
      <c r="I73" s="150">
        <f t="shared" si="1"/>
        <v>56.180726600985224</v>
      </c>
    </row>
    <row r="74" spans="1:9">
      <c r="A74" s="150" t="s">
        <v>601</v>
      </c>
      <c r="B74" s="150" t="s">
        <v>599</v>
      </c>
      <c r="C74" s="150" t="s">
        <v>1676</v>
      </c>
      <c r="D74" s="150">
        <v>1</v>
      </c>
      <c r="E74" s="150">
        <v>14</v>
      </c>
      <c r="F74" s="150">
        <v>17.25</v>
      </c>
      <c r="G74" s="150">
        <v>16.25</v>
      </c>
      <c r="H74" s="150">
        <v>16</v>
      </c>
      <c r="I74" s="150">
        <f t="shared" si="1"/>
        <v>55.703509852216754</v>
      </c>
    </row>
    <row r="75" spans="1:9">
      <c r="A75" s="150" t="s">
        <v>829</v>
      </c>
      <c r="B75" s="150" t="s">
        <v>632</v>
      </c>
      <c r="C75" s="150" t="s">
        <v>1677</v>
      </c>
      <c r="D75" s="150">
        <v>3</v>
      </c>
      <c r="E75" s="150">
        <v>18</v>
      </c>
      <c r="F75" s="150">
        <v>12.5</v>
      </c>
      <c r="G75" s="150">
        <v>14.5</v>
      </c>
      <c r="H75" s="150">
        <v>18.5</v>
      </c>
      <c r="I75" s="150">
        <f t="shared" si="1"/>
        <v>55.680418719211822</v>
      </c>
    </row>
    <row r="76" spans="1:9">
      <c r="A76" s="150" t="s">
        <v>923</v>
      </c>
      <c r="B76" s="150" t="s">
        <v>827</v>
      </c>
      <c r="C76" s="150" t="s">
        <v>1678</v>
      </c>
      <c r="D76" s="150">
        <v>1</v>
      </c>
      <c r="E76" s="150">
        <v>12</v>
      </c>
      <c r="F76" s="150">
        <v>13</v>
      </c>
      <c r="G76" s="150">
        <v>16.5</v>
      </c>
      <c r="H76" s="150">
        <v>22</v>
      </c>
      <c r="I76" s="150">
        <f t="shared" si="1"/>
        <v>55.511083743842363</v>
      </c>
    </row>
    <row r="77" spans="1:9">
      <c r="A77" s="150" t="s">
        <v>229</v>
      </c>
      <c r="B77" s="150" t="s">
        <v>353</v>
      </c>
      <c r="C77" s="150" t="s">
        <v>1679</v>
      </c>
      <c r="D77" s="150">
        <v>3</v>
      </c>
      <c r="E77" s="150">
        <v>12</v>
      </c>
      <c r="F77" s="150">
        <v>10.5</v>
      </c>
      <c r="G77" s="150">
        <v>21.75</v>
      </c>
      <c r="H77" s="150">
        <v>18.850000000000001</v>
      </c>
      <c r="I77" s="150">
        <f t="shared" si="1"/>
        <v>55.089285714285715</v>
      </c>
    </row>
    <row r="78" spans="1:9">
      <c r="A78" s="150" t="s">
        <v>872</v>
      </c>
      <c r="B78" s="150" t="s">
        <v>921</v>
      </c>
      <c r="C78" s="150" t="s">
        <v>1680</v>
      </c>
      <c r="D78" s="150">
        <v>3</v>
      </c>
      <c r="E78" s="150">
        <v>11</v>
      </c>
      <c r="F78" s="150">
        <v>9</v>
      </c>
      <c r="G78" s="150">
        <v>23.25</v>
      </c>
      <c r="H78" s="150">
        <v>19.75</v>
      </c>
      <c r="I78" s="150">
        <f t="shared" si="1"/>
        <v>54.926108374384242</v>
      </c>
    </row>
    <row r="79" spans="1:9">
      <c r="A79" s="150" t="s">
        <v>355</v>
      </c>
      <c r="B79" s="150" t="s">
        <v>1681</v>
      </c>
      <c r="C79" s="150" t="s">
        <v>1682</v>
      </c>
      <c r="D79" s="150">
        <v>9</v>
      </c>
      <c r="E79" s="150">
        <v>18</v>
      </c>
      <c r="F79" s="150">
        <v>10</v>
      </c>
      <c r="G79" s="150">
        <v>19.75</v>
      </c>
      <c r="H79" s="150">
        <v>14.85</v>
      </c>
      <c r="I79" s="150">
        <f t="shared" si="1"/>
        <v>54.827586206896555</v>
      </c>
    </row>
    <row r="80" spans="1:9">
      <c r="A80" s="150" t="s">
        <v>385</v>
      </c>
      <c r="B80" s="150" t="s">
        <v>870</v>
      </c>
      <c r="C80" s="150" t="s">
        <v>1683</v>
      </c>
      <c r="D80" s="150">
        <v>11</v>
      </c>
      <c r="E80" s="150">
        <v>15</v>
      </c>
      <c r="F80" s="150">
        <v>5.5</v>
      </c>
      <c r="G80" s="150">
        <v>22.7</v>
      </c>
      <c r="H80" s="150">
        <v>18.75</v>
      </c>
      <c r="I80" s="150">
        <f t="shared" si="1"/>
        <v>54.036330049261082</v>
      </c>
    </row>
    <row r="81" spans="1:9">
      <c r="A81" s="150" t="s">
        <v>574</v>
      </c>
      <c r="B81" s="150" t="s">
        <v>383</v>
      </c>
      <c r="C81" s="150" t="s">
        <v>1684</v>
      </c>
      <c r="D81" s="150">
        <v>3</v>
      </c>
      <c r="E81" s="150">
        <v>14</v>
      </c>
      <c r="F81" s="150">
        <v>7.25</v>
      </c>
      <c r="G81" s="150">
        <v>17.25</v>
      </c>
      <c r="H81" s="150">
        <v>22.9</v>
      </c>
      <c r="I81" s="150">
        <f t="shared" si="1"/>
        <v>53.585283251231523</v>
      </c>
    </row>
    <row r="82" spans="1:9">
      <c r="A82" s="150"/>
      <c r="B82" s="150" t="s">
        <v>572</v>
      </c>
      <c r="C82" s="150" t="s">
        <v>1685</v>
      </c>
      <c r="D82" s="150">
        <v>3</v>
      </c>
      <c r="E82" s="150">
        <v>12</v>
      </c>
      <c r="F82" s="150">
        <v>18</v>
      </c>
      <c r="G82" s="150">
        <v>21.75</v>
      </c>
      <c r="H82" s="150">
        <v>8.75</v>
      </c>
      <c r="I82" s="150">
        <f t="shared" si="1"/>
        <v>53.078817733990149</v>
      </c>
    </row>
    <row r="83" spans="1:9">
      <c r="A83" s="150" t="s">
        <v>622</v>
      </c>
      <c r="B83" s="150" t="s">
        <v>1686</v>
      </c>
      <c r="C83" s="150"/>
      <c r="D83" s="150" t="s">
        <v>1687</v>
      </c>
      <c r="E83" s="150">
        <v>18</v>
      </c>
      <c r="F83" s="150">
        <v>10.5</v>
      </c>
      <c r="G83" s="150">
        <v>11.6</v>
      </c>
      <c r="H83" s="150">
        <v>20.25</v>
      </c>
      <c r="I83" s="150">
        <f t="shared" si="1"/>
        <v>52.903325123152712</v>
      </c>
    </row>
    <row r="84" spans="1:9">
      <c r="A84" s="150" t="s">
        <v>57</v>
      </c>
      <c r="B84" s="150" t="s">
        <v>620</v>
      </c>
      <c r="C84" s="150" t="s">
        <v>1688</v>
      </c>
      <c r="D84" s="150">
        <v>9</v>
      </c>
      <c r="E84" s="150">
        <v>21</v>
      </c>
      <c r="F84" s="150">
        <v>6.25</v>
      </c>
      <c r="G84" s="150">
        <v>14.25</v>
      </c>
      <c r="H84" s="150">
        <v>18.75</v>
      </c>
      <c r="I84" s="150">
        <f t="shared" si="1"/>
        <v>52.778633004926107</v>
      </c>
    </row>
    <row r="85" spans="1:9">
      <c r="A85" s="150" t="s">
        <v>286</v>
      </c>
      <c r="B85" s="150" t="s">
        <v>55</v>
      </c>
      <c r="C85" s="150" t="s">
        <v>1689</v>
      </c>
      <c r="D85" s="150">
        <v>11</v>
      </c>
      <c r="E85" s="150">
        <v>8</v>
      </c>
      <c r="F85" s="150">
        <v>4</v>
      </c>
      <c r="G85" s="150">
        <v>26.5</v>
      </c>
      <c r="H85" s="150">
        <v>21</v>
      </c>
      <c r="I85" s="150">
        <f t="shared" si="1"/>
        <v>51.662561576354683</v>
      </c>
    </row>
    <row r="86" spans="1:9">
      <c r="A86" s="150" t="s">
        <v>965</v>
      </c>
      <c r="B86" s="150" t="s">
        <v>284</v>
      </c>
      <c r="C86" s="150" t="s">
        <v>1690</v>
      </c>
      <c r="D86" s="150">
        <v>8</v>
      </c>
      <c r="E86" s="150">
        <v>16</v>
      </c>
      <c r="F86" s="150">
        <v>4.75</v>
      </c>
      <c r="G86" s="150">
        <v>21.5</v>
      </c>
      <c r="H86" s="150">
        <v>15.75</v>
      </c>
      <c r="I86" s="150">
        <f t="shared" si="1"/>
        <v>50.638854679802954</v>
      </c>
    </row>
    <row r="87" spans="1:9">
      <c r="A87" s="150" t="s">
        <v>956</v>
      </c>
      <c r="B87" s="150" t="s">
        <v>963</v>
      </c>
      <c r="C87" s="150" t="s">
        <v>1691</v>
      </c>
      <c r="D87" s="150">
        <v>2</v>
      </c>
      <c r="E87" s="150">
        <v>10</v>
      </c>
      <c r="F87" s="150">
        <v>6</v>
      </c>
      <c r="G87" s="150">
        <v>21.25</v>
      </c>
      <c r="H87" s="150">
        <v>20.5</v>
      </c>
      <c r="I87" s="150">
        <f t="shared" si="1"/>
        <v>50.27709359605911</v>
      </c>
    </row>
    <row r="88" spans="1:9">
      <c r="A88" s="150" t="s">
        <v>100</v>
      </c>
      <c r="B88" s="150" t="s">
        <v>954</v>
      </c>
      <c r="C88" s="150" t="s">
        <v>1692</v>
      </c>
      <c r="D88" s="150">
        <v>5</v>
      </c>
      <c r="E88" s="150">
        <v>11</v>
      </c>
      <c r="F88" s="150">
        <v>8.75</v>
      </c>
      <c r="G88" s="150">
        <v>22</v>
      </c>
      <c r="H88" s="150">
        <v>15.75</v>
      </c>
      <c r="I88" s="150">
        <f t="shared" si="1"/>
        <v>50.177032019704441</v>
      </c>
    </row>
    <row r="89" spans="1:9">
      <c r="A89" s="150" t="s">
        <v>539</v>
      </c>
      <c r="B89" s="150" t="s">
        <v>98</v>
      </c>
      <c r="C89" s="150" t="s">
        <v>1693</v>
      </c>
      <c r="D89" s="150">
        <v>7</v>
      </c>
      <c r="E89" s="150">
        <v>17</v>
      </c>
      <c r="F89" s="150">
        <v>9.5</v>
      </c>
      <c r="G89" s="150">
        <v>15.75</v>
      </c>
      <c r="H89" s="150">
        <v>14.55</v>
      </c>
      <c r="I89" s="150">
        <f t="shared" si="1"/>
        <v>49.781403940886698</v>
      </c>
    </row>
    <row r="90" spans="1:9">
      <c r="A90" s="150" t="s">
        <v>455</v>
      </c>
      <c r="B90" s="150" t="s">
        <v>537</v>
      </c>
      <c r="C90" s="150" t="s">
        <v>1694</v>
      </c>
      <c r="D90" s="150">
        <v>9</v>
      </c>
      <c r="E90" s="150">
        <v>22</v>
      </c>
      <c r="F90" s="150">
        <v>6.5</v>
      </c>
      <c r="G90" s="150">
        <v>17.75</v>
      </c>
      <c r="H90" s="150">
        <v>10.199999999999999</v>
      </c>
      <c r="I90" s="150">
        <f t="shared" si="1"/>
        <v>49.541256157635473</v>
      </c>
    </row>
    <row r="91" spans="1:9">
      <c r="A91" s="150" t="s">
        <v>692</v>
      </c>
      <c r="B91" s="150" t="s">
        <v>453</v>
      </c>
      <c r="C91" s="150" t="s">
        <v>1695</v>
      </c>
      <c r="D91" s="150">
        <v>4</v>
      </c>
      <c r="E91" s="150">
        <v>17</v>
      </c>
      <c r="F91" s="150">
        <v>6</v>
      </c>
      <c r="G91" s="150">
        <v>15.5</v>
      </c>
      <c r="H91" s="150">
        <v>18</v>
      </c>
      <c r="I91" s="150">
        <f t="shared" si="1"/>
        <v>49.415024630541872</v>
      </c>
    </row>
    <row r="92" spans="1:9">
      <c r="A92" s="150" t="s">
        <v>409</v>
      </c>
      <c r="B92" s="150" t="s">
        <v>689</v>
      </c>
      <c r="C92" s="150" t="s">
        <v>1696</v>
      </c>
      <c r="D92" s="150">
        <v>6</v>
      </c>
      <c r="E92" s="150">
        <v>14</v>
      </c>
      <c r="F92" s="150">
        <v>9.5</v>
      </c>
      <c r="G92" s="150">
        <v>17.7</v>
      </c>
      <c r="H92" s="150">
        <v>15.25</v>
      </c>
      <c r="I92" s="150">
        <f t="shared" si="1"/>
        <v>49.387315270935964</v>
      </c>
    </row>
    <row r="93" spans="1:9">
      <c r="A93" s="150" t="s">
        <v>148</v>
      </c>
      <c r="B93" s="150" t="s">
        <v>407</v>
      </c>
      <c r="C93" s="150" t="s">
        <v>1697</v>
      </c>
      <c r="D93" s="150">
        <v>2</v>
      </c>
      <c r="E93" s="150">
        <v>17</v>
      </c>
      <c r="F93" s="150">
        <v>5.5</v>
      </c>
      <c r="G93" s="150">
        <v>14.6</v>
      </c>
      <c r="H93" s="150">
        <v>19.2</v>
      </c>
      <c r="I93" s="150">
        <f t="shared" si="1"/>
        <v>49.22721674876847</v>
      </c>
    </row>
    <row r="94" spans="1:9">
      <c r="A94" s="150" t="s">
        <v>127</v>
      </c>
      <c r="B94" s="150" t="s">
        <v>146</v>
      </c>
      <c r="C94" s="150" t="s">
        <v>1698</v>
      </c>
      <c r="D94" s="150">
        <v>7</v>
      </c>
      <c r="E94" s="150">
        <v>15</v>
      </c>
      <c r="F94" s="150">
        <v>8.5</v>
      </c>
      <c r="G94" s="150">
        <v>16.399999999999999</v>
      </c>
      <c r="H94" s="150">
        <v>16.25</v>
      </c>
      <c r="I94" s="150">
        <f t="shared" si="1"/>
        <v>49.12869458128079</v>
      </c>
    </row>
    <row r="95" spans="1:9">
      <c r="A95" s="150" t="s">
        <v>307</v>
      </c>
      <c r="B95" s="150" t="s">
        <v>125</v>
      </c>
      <c r="C95" s="150" t="s">
        <v>1699</v>
      </c>
      <c r="D95" s="150">
        <v>5</v>
      </c>
      <c r="E95" s="150">
        <v>17</v>
      </c>
      <c r="F95" s="150">
        <v>7.5</v>
      </c>
      <c r="G95" s="150">
        <v>17</v>
      </c>
      <c r="H95" s="150">
        <v>13.75</v>
      </c>
      <c r="I95" s="150">
        <f t="shared" si="1"/>
        <v>48.383620689655174</v>
      </c>
    </row>
    <row r="96" spans="1:9">
      <c r="A96" s="150" t="s">
        <v>388</v>
      </c>
      <c r="B96" s="150" t="s">
        <v>305</v>
      </c>
      <c r="C96" s="150" t="s">
        <v>1700</v>
      </c>
      <c r="D96" s="150">
        <v>1</v>
      </c>
      <c r="E96" s="150">
        <v>17</v>
      </c>
      <c r="F96" s="150">
        <v>4.75</v>
      </c>
      <c r="G96" s="150">
        <v>14.75</v>
      </c>
      <c r="H96" s="150">
        <v>18</v>
      </c>
      <c r="I96" s="150">
        <f t="shared" si="1"/>
        <v>47.652401477832512</v>
      </c>
    </row>
    <row r="97" spans="1:9">
      <c r="A97" s="150" t="s">
        <v>715</v>
      </c>
      <c r="B97" s="150" t="s">
        <v>386</v>
      </c>
      <c r="C97" s="150" t="s">
        <v>1701</v>
      </c>
      <c r="D97" s="150">
        <v>10</v>
      </c>
      <c r="E97" s="150">
        <v>15</v>
      </c>
      <c r="F97" s="150">
        <v>4.75</v>
      </c>
      <c r="G97" s="150">
        <v>18.75</v>
      </c>
      <c r="H97" s="150">
        <v>15.5</v>
      </c>
      <c r="I97" s="150">
        <f t="shared" si="1"/>
        <v>47.159790640394093</v>
      </c>
    </row>
    <row r="98" spans="1:9">
      <c r="A98" s="150" t="s">
        <v>343</v>
      </c>
      <c r="B98" s="150" t="s">
        <v>341</v>
      </c>
      <c r="C98" s="150" t="s">
        <v>1702</v>
      </c>
      <c r="D98" s="150">
        <v>9</v>
      </c>
      <c r="E98" s="150">
        <v>18</v>
      </c>
      <c r="F98" s="150">
        <v>9.5</v>
      </c>
      <c r="G98" s="150">
        <v>17.3</v>
      </c>
      <c r="H98" s="150">
        <v>8.75</v>
      </c>
      <c r="I98" s="150">
        <f t="shared" si="1"/>
        <v>47.010467980295566</v>
      </c>
    </row>
    <row r="99" spans="1:9">
      <c r="A99" s="150" t="s">
        <v>557</v>
      </c>
      <c r="B99" s="150" t="s">
        <v>713</v>
      </c>
      <c r="C99" s="150" t="s">
        <v>1703</v>
      </c>
      <c r="D99" s="150">
        <v>3</v>
      </c>
      <c r="E99" s="150">
        <v>15</v>
      </c>
      <c r="F99" s="150">
        <v>5.5</v>
      </c>
      <c r="G99" s="150">
        <v>23.25</v>
      </c>
      <c r="H99" s="150">
        <v>10</v>
      </c>
      <c r="I99" s="150">
        <f t="shared" si="1"/>
        <v>46.967364532019701</v>
      </c>
    </row>
    <row r="100" spans="1:9">
      <c r="A100" s="150" t="s">
        <v>682</v>
      </c>
      <c r="B100" s="150" t="s">
        <v>680</v>
      </c>
      <c r="C100" s="150" t="s">
        <v>1704</v>
      </c>
      <c r="D100" s="150">
        <v>4</v>
      </c>
      <c r="E100" s="150">
        <v>15</v>
      </c>
      <c r="F100" s="150">
        <v>11</v>
      </c>
      <c r="G100" s="150">
        <v>15</v>
      </c>
      <c r="H100" s="150">
        <v>12</v>
      </c>
      <c r="I100" s="150">
        <f t="shared" si="1"/>
        <v>46.490147783251231</v>
      </c>
    </row>
    <row r="101" spans="1:9">
      <c r="A101" s="150" t="s">
        <v>643</v>
      </c>
      <c r="B101" s="150" t="s">
        <v>555</v>
      </c>
      <c r="C101" s="150" t="s">
        <v>1705</v>
      </c>
      <c r="D101" s="150">
        <v>4</v>
      </c>
      <c r="E101" s="150">
        <v>16</v>
      </c>
      <c r="F101" s="150">
        <v>1.5</v>
      </c>
      <c r="G101" s="150">
        <v>20.5</v>
      </c>
      <c r="H101" s="150">
        <v>15.25</v>
      </c>
      <c r="I101" s="150">
        <f t="shared" si="1"/>
        <v>46.443965517241381</v>
      </c>
    </row>
    <row r="102" spans="1:9">
      <c r="A102" s="150" t="s">
        <v>73</v>
      </c>
      <c r="B102" s="150" t="s">
        <v>641</v>
      </c>
      <c r="C102" s="150" t="s">
        <v>1706</v>
      </c>
      <c r="D102" s="150">
        <v>2</v>
      </c>
      <c r="E102" s="150">
        <v>10</v>
      </c>
      <c r="F102" s="150">
        <v>11.25</v>
      </c>
      <c r="G102" s="150">
        <v>14</v>
      </c>
      <c r="H102" s="150">
        <v>17.75</v>
      </c>
      <c r="I102" s="150">
        <f t="shared" si="1"/>
        <v>46.343903940886698</v>
      </c>
    </row>
    <row r="103" spans="1:9">
      <c r="A103" s="150" t="s">
        <v>884</v>
      </c>
      <c r="B103" s="150" t="s">
        <v>71</v>
      </c>
      <c r="C103" s="150" t="s">
        <v>1707</v>
      </c>
      <c r="D103" s="150">
        <v>7</v>
      </c>
      <c r="E103" s="150">
        <v>12</v>
      </c>
      <c r="F103" s="150">
        <v>10</v>
      </c>
      <c r="G103" s="150">
        <v>24.5</v>
      </c>
      <c r="H103" s="150">
        <v>6.25</v>
      </c>
      <c r="I103" s="150">
        <f t="shared" si="1"/>
        <v>46.151477832512313</v>
      </c>
    </row>
    <row r="104" spans="1:9">
      <c r="A104" s="150" t="s">
        <v>850</v>
      </c>
      <c r="B104" s="150" t="s">
        <v>882</v>
      </c>
      <c r="C104" s="150" t="s">
        <v>1708</v>
      </c>
      <c r="D104" s="150">
        <v>9</v>
      </c>
      <c r="E104" s="150">
        <v>10</v>
      </c>
      <c r="F104" s="150">
        <v>9</v>
      </c>
      <c r="G104" s="150">
        <v>19.5</v>
      </c>
      <c r="H104" s="150">
        <v>13.9</v>
      </c>
      <c r="I104" s="150">
        <f t="shared" si="1"/>
        <v>45.75738916256158</v>
      </c>
    </row>
    <row r="105" spans="1:9">
      <c r="A105" s="150" t="s">
        <v>247</v>
      </c>
      <c r="B105" s="150" t="s">
        <v>848</v>
      </c>
      <c r="C105" s="150" t="s">
        <v>1709</v>
      </c>
      <c r="D105" s="150">
        <v>7</v>
      </c>
      <c r="E105" s="150">
        <v>14</v>
      </c>
      <c r="F105" s="150">
        <v>11</v>
      </c>
      <c r="G105" s="150">
        <v>10.75</v>
      </c>
      <c r="H105" s="150">
        <v>16</v>
      </c>
      <c r="I105" s="150">
        <f t="shared" si="1"/>
        <v>45.381773399014776</v>
      </c>
    </row>
    <row r="106" spans="1:9">
      <c r="A106" s="150" t="s">
        <v>352</v>
      </c>
      <c r="B106" s="150" t="s">
        <v>350</v>
      </c>
      <c r="C106" s="150" t="s">
        <v>1710</v>
      </c>
      <c r="D106" s="150">
        <v>7</v>
      </c>
      <c r="E106" s="150">
        <v>13</v>
      </c>
      <c r="F106" s="150">
        <v>9</v>
      </c>
      <c r="G106" s="150">
        <v>17.75</v>
      </c>
      <c r="H106" s="150">
        <v>12</v>
      </c>
      <c r="I106" s="150">
        <f t="shared" si="1"/>
        <v>45.289408866995075</v>
      </c>
    </row>
    <row r="107" spans="1:9">
      <c r="A107" s="150" t="s">
        <v>887</v>
      </c>
      <c r="B107" s="150" t="s">
        <v>245</v>
      </c>
      <c r="C107" s="150" t="s">
        <v>1711</v>
      </c>
      <c r="D107" s="150">
        <v>2</v>
      </c>
      <c r="E107" s="150">
        <v>12</v>
      </c>
      <c r="F107" s="150">
        <v>8.25</v>
      </c>
      <c r="G107" s="150">
        <v>14.3</v>
      </c>
      <c r="H107" s="150">
        <v>17.25</v>
      </c>
      <c r="I107" s="150">
        <f t="shared" si="1"/>
        <v>45.278633004926107</v>
      </c>
    </row>
    <row r="108" spans="1:9">
      <c r="A108" s="150" t="s">
        <v>503</v>
      </c>
      <c r="B108" s="150" t="s">
        <v>885</v>
      </c>
      <c r="C108" s="150" t="s">
        <v>1712</v>
      </c>
      <c r="D108" s="150">
        <v>4</v>
      </c>
      <c r="E108" s="150">
        <v>16</v>
      </c>
      <c r="F108" s="150">
        <v>6.75</v>
      </c>
      <c r="G108" s="150">
        <v>9.5</v>
      </c>
      <c r="H108" s="150">
        <v>19.25</v>
      </c>
      <c r="I108" s="150">
        <f t="shared" si="1"/>
        <v>45.09698275862069</v>
      </c>
    </row>
    <row r="109" spans="1:9">
      <c r="A109" s="150" t="s">
        <v>807</v>
      </c>
      <c r="B109" s="150" t="s">
        <v>501</v>
      </c>
      <c r="C109" s="150" t="s">
        <v>1713</v>
      </c>
      <c r="D109" s="150">
        <v>8</v>
      </c>
      <c r="E109" s="150">
        <v>15</v>
      </c>
      <c r="F109" s="150">
        <v>4.5</v>
      </c>
      <c r="G109" s="150">
        <v>18.5</v>
      </c>
      <c r="H109" s="150">
        <v>13.5</v>
      </c>
      <c r="I109" s="150">
        <f t="shared" si="1"/>
        <v>44.996921182266007</v>
      </c>
    </row>
    <row r="110" spans="1:9">
      <c r="A110" s="150" t="s">
        <v>902</v>
      </c>
      <c r="B110" s="150" t="s">
        <v>1714</v>
      </c>
      <c r="C110" s="150" t="s">
        <v>1715</v>
      </c>
      <c r="D110" s="150">
        <v>2</v>
      </c>
      <c r="E110" s="150">
        <v>14</v>
      </c>
      <c r="F110" s="150">
        <v>12</v>
      </c>
      <c r="G110" s="150">
        <v>10.5</v>
      </c>
      <c r="H110" s="150">
        <v>14.65</v>
      </c>
      <c r="I110" s="150">
        <f t="shared" si="1"/>
        <v>44.895320197044335</v>
      </c>
    </row>
    <row r="111" spans="1:9">
      <c r="A111" s="150" t="s">
        <v>583</v>
      </c>
      <c r="B111" s="150" t="s">
        <v>900</v>
      </c>
      <c r="C111" s="150" t="s">
        <v>1716</v>
      </c>
      <c r="D111" s="150">
        <v>9</v>
      </c>
      <c r="E111" s="150">
        <v>9</v>
      </c>
      <c r="F111" s="150">
        <v>4.25</v>
      </c>
      <c r="G111" s="150">
        <v>21.25</v>
      </c>
      <c r="H111" s="150">
        <v>16.75</v>
      </c>
      <c r="I111" s="150">
        <f t="shared" si="1"/>
        <v>44.588977832512313</v>
      </c>
    </row>
    <row r="112" spans="1:9">
      <c r="A112" s="150" t="s">
        <v>334</v>
      </c>
      <c r="B112" s="150" t="s">
        <v>581</v>
      </c>
      <c r="C112" s="150" t="s">
        <v>1717</v>
      </c>
      <c r="D112" s="150">
        <v>10</v>
      </c>
      <c r="E112" s="150">
        <v>17</v>
      </c>
      <c r="F112" s="150">
        <v>2.5</v>
      </c>
      <c r="G112" s="150">
        <v>15.5</v>
      </c>
      <c r="H112" s="150">
        <v>15.75</v>
      </c>
      <c r="I112" s="150">
        <f t="shared" si="1"/>
        <v>44.350369458128078</v>
      </c>
    </row>
    <row r="113" spans="1:9">
      <c r="A113" s="150" t="s">
        <v>289</v>
      </c>
      <c r="B113" s="150" t="s">
        <v>1718</v>
      </c>
      <c r="C113" s="150" t="s">
        <v>1719</v>
      </c>
      <c r="D113" s="150">
        <v>4</v>
      </c>
      <c r="E113" s="150">
        <v>18</v>
      </c>
      <c r="F113" s="150">
        <v>8</v>
      </c>
      <c r="G113" s="150">
        <v>16.75</v>
      </c>
      <c r="H113" s="150">
        <v>7.75</v>
      </c>
      <c r="I113" s="150">
        <f t="shared" si="1"/>
        <v>44.334975369458128</v>
      </c>
    </row>
    <row r="114" spans="1:9">
      <c r="A114" s="150">
        <v>5</v>
      </c>
      <c r="B114" s="150" t="s">
        <v>287</v>
      </c>
      <c r="C114" s="150" t="s">
        <v>1720</v>
      </c>
      <c r="D114" s="150">
        <v>10</v>
      </c>
      <c r="E114" s="150">
        <v>15</v>
      </c>
      <c r="F114" s="150">
        <v>8</v>
      </c>
      <c r="G114" s="150">
        <v>19.7</v>
      </c>
      <c r="H114" s="150">
        <v>7.5</v>
      </c>
      <c r="I114" s="150">
        <f t="shared" si="1"/>
        <v>43.983990147783246</v>
      </c>
    </row>
    <row r="115" spans="1:9">
      <c r="A115" s="150">
        <v>8</v>
      </c>
      <c r="B115" s="150" t="s">
        <v>1721</v>
      </c>
      <c r="C115" s="150" t="s">
        <v>1722</v>
      </c>
      <c r="D115" s="150">
        <v>3</v>
      </c>
      <c r="E115" s="150">
        <v>9</v>
      </c>
      <c r="F115" s="150">
        <v>9</v>
      </c>
      <c r="G115" s="150">
        <v>14.5</v>
      </c>
      <c r="H115" s="150">
        <v>17.25</v>
      </c>
      <c r="I115" s="150">
        <f t="shared" si="1"/>
        <v>43.442118226600982</v>
      </c>
    </row>
    <row r="116" spans="1:9">
      <c r="A116" s="150" t="s">
        <v>512</v>
      </c>
      <c r="B116" s="150" t="s">
        <v>510</v>
      </c>
      <c r="C116" s="150" t="s">
        <v>1723</v>
      </c>
      <c r="D116" s="150">
        <v>8</v>
      </c>
      <c r="E116" s="150">
        <v>17</v>
      </c>
      <c r="F116" s="150">
        <v>11</v>
      </c>
      <c r="G116" s="150">
        <v>11.1</v>
      </c>
      <c r="H116" s="150">
        <v>10.25</v>
      </c>
      <c r="I116" s="150">
        <f t="shared" si="1"/>
        <v>43.405172413793103</v>
      </c>
    </row>
    <row r="117" spans="1:9">
      <c r="A117" s="150" t="s">
        <v>773</v>
      </c>
      <c r="B117" s="150" t="s">
        <v>1724</v>
      </c>
      <c r="C117" s="150" t="s">
        <v>1725</v>
      </c>
      <c r="D117" s="150">
        <v>8</v>
      </c>
      <c r="E117" s="150">
        <v>11</v>
      </c>
      <c r="F117" s="150">
        <v>10</v>
      </c>
      <c r="G117" s="150">
        <v>16.25</v>
      </c>
      <c r="H117" s="150">
        <v>12.25</v>
      </c>
      <c r="I117" s="150">
        <f t="shared" si="1"/>
        <v>43.318965517241381</v>
      </c>
    </row>
    <row r="118" spans="1:9">
      <c r="A118" s="150" t="s">
        <v>370</v>
      </c>
      <c r="B118" s="150" t="s">
        <v>771</v>
      </c>
      <c r="C118" s="150" t="s">
        <v>1726</v>
      </c>
      <c r="D118" s="150">
        <v>2</v>
      </c>
      <c r="E118" s="150">
        <v>13</v>
      </c>
      <c r="F118" s="150">
        <v>1.75</v>
      </c>
      <c r="G118" s="150">
        <v>19</v>
      </c>
      <c r="H118" s="150">
        <v>15.75</v>
      </c>
      <c r="I118" s="150">
        <f t="shared" si="1"/>
        <v>43.126539408866996</v>
      </c>
    </row>
    <row r="119" spans="1:9">
      <c r="A119" s="150" t="s">
        <v>301</v>
      </c>
      <c r="B119" s="150" t="s">
        <v>368</v>
      </c>
      <c r="C119" s="150" t="s">
        <v>1727</v>
      </c>
      <c r="D119" s="150">
        <v>8</v>
      </c>
      <c r="E119" s="150">
        <v>11</v>
      </c>
      <c r="F119" s="150">
        <v>8</v>
      </c>
      <c r="G119" s="150">
        <v>21.5</v>
      </c>
      <c r="H119" s="150">
        <v>7.5</v>
      </c>
      <c r="I119" s="150">
        <f t="shared" si="1"/>
        <v>41.964285714285715</v>
      </c>
    </row>
    <row r="120" spans="1:9">
      <c r="A120" s="150" t="s">
        <v>250</v>
      </c>
      <c r="B120" s="150" t="s">
        <v>299</v>
      </c>
      <c r="C120" s="150" t="s">
        <v>1728</v>
      </c>
      <c r="D120" s="150">
        <v>3</v>
      </c>
      <c r="E120" s="150">
        <v>9</v>
      </c>
      <c r="F120" s="150">
        <v>8</v>
      </c>
      <c r="G120" s="150">
        <v>16.5</v>
      </c>
      <c r="H120" s="150">
        <v>14.25</v>
      </c>
      <c r="I120" s="150">
        <f t="shared" si="1"/>
        <v>41.687192118226598</v>
      </c>
    </row>
    <row r="121" spans="1:9">
      <c r="A121" s="150" t="s">
        <v>446</v>
      </c>
      <c r="B121" s="150" t="s">
        <v>248</v>
      </c>
      <c r="C121" s="150" t="s">
        <v>1729</v>
      </c>
      <c r="D121" s="150" t="s">
        <v>1667</v>
      </c>
      <c r="E121" s="150">
        <v>15</v>
      </c>
      <c r="F121" s="150">
        <v>8.5</v>
      </c>
      <c r="G121" s="150">
        <v>13.95</v>
      </c>
      <c r="H121" s="150">
        <v>10</v>
      </c>
      <c r="I121" s="150">
        <f t="shared" si="1"/>
        <v>41.62869458128079</v>
      </c>
    </row>
    <row r="122" spans="1:9">
      <c r="A122" s="150" t="s">
        <v>767</v>
      </c>
      <c r="B122" s="150" t="s">
        <v>444</v>
      </c>
      <c r="C122" s="150" t="s">
        <v>1730</v>
      </c>
      <c r="D122" s="150">
        <v>3</v>
      </c>
      <c r="E122" s="150">
        <v>10</v>
      </c>
      <c r="F122" s="150">
        <v>12.5</v>
      </c>
      <c r="G122" s="150">
        <v>4.75</v>
      </c>
      <c r="H122" s="150">
        <v>19.5</v>
      </c>
      <c r="I122" s="150">
        <f t="shared" si="1"/>
        <v>40.994458128078819</v>
      </c>
    </row>
    <row r="123" spans="1:9">
      <c r="A123" s="150" t="s">
        <v>646</v>
      </c>
      <c r="B123" s="150" t="s">
        <v>764</v>
      </c>
      <c r="C123" s="150" t="s">
        <v>1731</v>
      </c>
      <c r="D123" s="150">
        <v>5</v>
      </c>
      <c r="E123" s="150">
        <v>12</v>
      </c>
      <c r="F123" s="150">
        <v>8.5</v>
      </c>
      <c r="G123" s="150">
        <v>7.25</v>
      </c>
      <c r="H123" s="150">
        <v>19</v>
      </c>
      <c r="I123" s="150">
        <f t="shared" si="1"/>
        <v>40.932881773399018</v>
      </c>
    </row>
    <row r="124" spans="1:9">
      <c r="A124" s="150" t="s">
        <v>97</v>
      </c>
      <c r="B124" s="150" t="s">
        <v>644</v>
      </c>
      <c r="C124" s="150" t="s">
        <v>1732</v>
      </c>
      <c r="D124" s="150">
        <v>8</v>
      </c>
      <c r="E124" s="150">
        <v>11</v>
      </c>
      <c r="F124" s="150">
        <v>7.75</v>
      </c>
      <c r="G124" s="150">
        <v>14.25</v>
      </c>
      <c r="H124" s="150">
        <v>13.75</v>
      </c>
      <c r="I124" s="150">
        <f t="shared" si="1"/>
        <v>40.879002463054185</v>
      </c>
    </row>
    <row r="125" spans="1:9">
      <c r="A125" s="150" t="s">
        <v>810</v>
      </c>
      <c r="B125" s="150" t="s">
        <v>808</v>
      </c>
      <c r="C125" s="150" t="s">
        <v>1733</v>
      </c>
      <c r="D125" s="150">
        <v>10</v>
      </c>
      <c r="E125" s="150">
        <v>22</v>
      </c>
      <c r="F125" s="150">
        <v>0</v>
      </c>
      <c r="G125" s="150">
        <v>16</v>
      </c>
      <c r="H125" s="150">
        <v>8.5500000000000007</v>
      </c>
      <c r="I125" s="150">
        <f t="shared" si="1"/>
        <v>40.806650246305423</v>
      </c>
    </row>
    <row r="126" spans="1:9">
      <c r="A126" s="150" t="s">
        <v>610</v>
      </c>
      <c r="B126" s="150" t="s">
        <v>95</v>
      </c>
      <c r="C126" s="150" t="s">
        <v>1734</v>
      </c>
      <c r="D126" s="150">
        <v>7</v>
      </c>
      <c r="E126" s="150">
        <v>10</v>
      </c>
      <c r="F126" s="150">
        <v>5</v>
      </c>
      <c r="G126" s="150">
        <v>19</v>
      </c>
      <c r="H126" s="150">
        <v>12.75</v>
      </c>
      <c r="I126" s="150">
        <f t="shared" si="1"/>
        <v>40.763546798029552</v>
      </c>
    </row>
    <row r="127" spans="1:9">
      <c r="A127" s="150" t="s">
        <v>875</v>
      </c>
      <c r="B127" s="150" t="s">
        <v>608</v>
      </c>
      <c r="C127" s="150" t="s">
        <v>1735</v>
      </c>
      <c r="D127" s="150">
        <v>7</v>
      </c>
      <c r="E127" s="150">
        <v>13</v>
      </c>
      <c r="F127" s="150">
        <v>11.5</v>
      </c>
      <c r="G127" s="150">
        <v>10.1</v>
      </c>
      <c r="H127" s="150">
        <v>11.5</v>
      </c>
      <c r="I127" s="150">
        <f t="shared" si="1"/>
        <v>40.495689655172413</v>
      </c>
    </row>
    <row r="128" spans="1:9">
      <c r="A128" s="150" t="s">
        <v>205</v>
      </c>
      <c r="B128" s="150" t="s">
        <v>873</v>
      </c>
      <c r="C128" s="150" t="s">
        <v>1736</v>
      </c>
      <c r="D128" s="150">
        <v>5</v>
      </c>
      <c r="E128" s="150">
        <v>18</v>
      </c>
      <c r="F128" s="150">
        <v>8</v>
      </c>
      <c r="G128" s="150">
        <v>3.5</v>
      </c>
      <c r="H128" s="150">
        <v>16.5</v>
      </c>
      <c r="I128" s="150">
        <f t="shared" si="1"/>
        <v>40.455665024630548</v>
      </c>
    </row>
    <row r="129" spans="1:9">
      <c r="A129" s="150" t="s">
        <v>524</v>
      </c>
      <c r="B129" s="150" t="s">
        <v>203</v>
      </c>
      <c r="C129" s="150" t="s">
        <v>1737</v>
      </c>
      <c r="D129" s="150">
        <v>11</v>
      </c>
      <c r="E129" s="150">
        <v>17</v>
      </c>
      <c r="F129" s="150"/>
      <c r="G129" s="150">
        <v>14</v>
      </c>
      <c r="H129" s="150">
        <v>14.75</v>
      </c>
      <c r="I129" s="150">
        <f t="shared" si="1"/>
        <v>39.963054187192121</v>
      </c>
    </row>
    <row r="130" spans="1:9">
      <c r="A130" s="150" t="s">
        <v>634</v>
      </c>
      <c r="B130" s="150" t="s">
        <v>522</v>
      </c>
      <c r="C130" s="150" t="s">
        <v>1738</v>
      </c>
      <c r="D130" s="150">
        <v>8</v>
      </c>
      <c r="E130" s="150">
        <v>16</v>
      </c>
      <c r="F130" s="150">
        <v>4</v>
      </c>
      <c r="G130" s="150">
        <v>12.8</v>
      </c>
      <c r="H130" s="150">
        <v>12.75</v>
      </c>
      <c r="I130" s="150">
        <f t="shared" si="1"/>
        <v>39.88300492610837</v>
      </c>
    </row>
    <row r="131" spans="1:9">
      <c r="A131" s="150" t="s">
        <v>494</v>
      </c>
      <c r="B131" s="150" t="s">
        <v>1739</v>
      </c>
      <c r="C131" s="150" t="s">
        <v>1740</v>
      </c>
      <c r="D131" s="150" t="s">
        <v>1687</v>
      </c>
      <c r="E131" s="150">
        <v>17</v>
      </c>
      <c r="F131" s="150">
        <v>10</v>
      </c>
      <c r="G131" s="150">
        <v>7</v>
      </c>
      <c r="H131" s="150">
        <v>11.25</v>
      </c>
      <c r="I131" s="150">
        <f t="shared" si="1"/>
        <v>39.839901477832512</v>
      </c>
    </row>
    <row r="132" spans="1:9">
      <c r="A132" s="150" t="s">
        <v>893</v>
      </c>
      <c r="B132" s="150" t="s">
        <v>492</v>
      </c>
      <c r="C132" s="150" t="s">
        <v>1741</v>
      </c>
      <c r="D132" s="150">
        <v>5</v>
      </c>
      <c r="E132" s="150">
        <v>12</v>
      </c>
      <c r="F132" s="150">
        <v>11</v>
      </c>
      <c r="G132" s="150">
        <v>14.5</v>
      </c>
      <c r="H132" s="150">
        <v>7.75</v>
      </c>
      <c r="I132" s="150">
        <f t="shared" si="1"/>
        <v>39.716748768472904</v>
      </c>
    </row>
    <row r="133" spans="1:9">
      <c r="A133" s="150" t="s">
        <v>655</v>
      </c>
      <c r="B133" s="150" t="s">
        <v>891</v>
      </c>
      <c r="C133" s="150" t="s">
        <v>1742</v>
      </c>
      <c r="D133" s="150">
        <v>1</v>
      </c>
      <c r="E133" s="150">
        <v>16</v>
      </c>
      <c r="F133" s="150"/>
      <c r="G133" s="150">
        <v>17.75</v>
      </c>
      <c r="H133" s="150">
        <v>11.1</v>
      </c>
      <c r="I133" s="150">
        <f t="shared" si="1"/>
        <v>39.156403940886698</v>
      </c>
    </row>
    <row r="134" spans="1:9">
      <c r="A134" s="150" t="s">
        <v>119</v>
      </c>
      <c r="B134" s="150" t="s">
        <v>653</v>
      </c>
      <c r="C134" s="150" t="s">
        <v>1743</v>
      </c>
      <c r="D134" s="150">
        <v>4</v>
      </c>
      <c r="E134" s="150">
        <v>15</v>
      </c>
      <c r="F134" s="150">
        <v>2</v>
      </c>
      <c r="G134" s="150">
        <v>14.75</v>
      </c>
      <c r="H134" s="150">
        <v>13</v>
      </c>
      <c r="I134" s="150">
        <f t="shared" ref="I134:I197" si="2">(E134+F134)*50/56+(G134+H134)*50/58</f>
        <v>39.100985221674875</v>
      </c>
    </row>
    <row r="135" spans="1:9">
      <c r="A135" s="150" t="s">
        <v>947</v>
      </c>
      <c r="B135" s="150" t="s">
        <v>117</v>
      </c>
      <c r="C135" s="150" t="s">
        <v>1744</v>
      </c>
      <c r="D135" s="150">
        <v>6</v>
      </c>
      <c r="E135" s="150">
        <v>11</v>
      </c>
      <c r="F135" s="150">
        <v>11</v>
      </c>
      <c r="G135" s="150">
        <v>12.25</v>
      </c>
      <c r="H135" s="150">
        <v>10.25</v>
      </c>
      <c r="I135" s="150">
        <f t="shared" si="2"/>
        <v>39.039408866995075</v>
      </c>
    </row>
    <row r="136" spans="1:9">
      <c r="A136" s="150" t="s">
        <v>373</v>
      </c>
      <c r="B136" s="150" t="s">
        <v>945</v>
      </c>
      <c r="C136" s="150" t="s">
        <v>1745</v>
      </c>
      <c r="D136" s="150">
        <v>5</v>
      </c>
      <c r="E136" s="150">
        <v>10</v>
      </c>
      <c r="F136" s="150">
        <v>6.5</v>
      </c>
      <c r="G136" s="150">
        <v>12.6</v>
      </c>
      <c r="H136" s="150">
        <v>15</v>
      </c>
      <c r="I136" s="150">
        <f t="shared" si="2"/>
        <v>38.525246305418719</v>
      </c>
    </row>
    <row r="137" spans="1:9">
      <c r="A137" s="150" t="s">
        <v>452</v>
      </c>
      <c r="B137" s="150" t="s">
        <v>371</v>
      </c>
      <c r="C137" s="150" t="s">
        <v>1746</v>
      </c>
      <c r="D137" s="150">
        <v>5</v>
      </c>
      <c r="E137" s="150">
        <v>10</v>
      </c>
      <c r="F137" s="150">
        <v>7.5</v>
      </c>
      <c r="G137" s="150">
        <v>17.25</v>
      </c>
      <c r="H137" s="150">
        <v>9.25</v>
      </c>
      <c r="I137" s="150">
        <f t="shared" si="2"/>
        <v>38.469827586206897</v>
      </c>
    </row>
    <row r="138" spans="1:9">
      <c r="A138" s="150" t="s">
        <v>708</v>
      </c>
      <c r="B138" s="150" t="s">
        <v>450</v>
      </c>
      <c r="C138" s="150" t="s">
        <v>1747</v>
      </c>
      <c r="D138" s="150">
        <v>4</v>
      </c>
      <c r="E138" s="150">
        <v>10</v>
      </c>
      <c r="F138" s="150">
        <v>7.5</v>
      </c>
      <c r="G138" s="150">
        <v>14.5</v>
      </c>
      <c r="H138" s="150">
        <v>11.75</v>
      </c>
      <c r="I138" s="150">
        <f t="shared" si="2"/>
        <v>38.254310344827587</v>
      </c>
    </row>
    <row r="139" spans="1:9">
      <c r="A139" s="150" t="s">
        <v>929</v>
      </c>
      <c r="B139" s="150" t="s">
        <v>706</v>
      </c>
      <c r="C139" s="150" t="s">
        <v>1748</v>
      </c>
      <c r="D139" s="150">
        <v>6</v>
      </c>
      <c r="E139" s="150">
        <v>11</v>
      </c>
      <c r="F139" s="150">
        <v>3.5</v>
      </c>
      <c r="G139" s="150">
        <v>19.5</v>
      </c>
      <c r="H139" s="150">
        <v>9.25</v>
      </c>
      <c r="I139" s="150">
        <f t="shared" si="2"/>
        <v>37.73091133004926</v>
      </c>
    </row>
    <row r="140" spans="1:9">
      <c r="A140" s="150" t="s">
        <v>458</v>
      </c>
      <c r="B140" s="150" t="s">
        <v>927</v>
      </c>
      <c r="C140" s="150" t="s">
        <v>1749</v>
      </c>
      <c r="D140" s="150">
        <v>5</v>
      </c>
      <c r="E140" s="150">
        <v>15</v>
      </c>
      <c r="F140" s="150">
        <v>4</v>
      </c>
      <c r="G140" s="150">
        <v>12.55</v>
      </c>
      <c r="H140" s="150">
        <v>11.5</v>
      </c>
      <c r="I140" s="150">
        <f t="shared" si="2"/>
        <v>37.697044334975374</v>
      </c>
    </row>
    <row r="141" spans="1:9">
      <c r="A141" s="150" t="s">
        <v>914</v>
      </c>
      <c r="B141" s="150" t="s">
        <v>456</v>
      </c>
      <c r="C141" s="150" t="s">
        <v>1750</v>
      </c>
      <c r="D141" s="150">
        <v>2</v>
      </c>
      <c r="E141" s="150">
        <v>13</v>
      </c>
      <c r="F141" s="150">
        <v>9</v>
      </c>
      <c r="G141" s="150">
        <v>10.35</v>
      </c>
      <c r="H141" s="150">
        <v>10.5</v>
      </c>
      <c r="I141" s="150">
        <f t="shared" si="2"/>
        <v>37.61699507389163</v>
      </c>
    </row>
    <row r="142" spans="1:9">
      <c r="A142" s="150" t="s">
        <v>340</v>
      </c>
      <c r="B142" s="150" t="s">
        <v>912</v>
      </c>
      <c r="C142" s="150" t="s">
        <v>1751</v>
      </c>
      <c r="D142" s="150">
        <v>8</v>
      </c>
      <c r="E142" s="150">
        <v>14</v>
      </c>
      <c r="F142" s="150">
        <v>6</v>
      </c>
      <c r="G142" s="150">
        <v>9.25</v>
      </c>
      <c r="H142" s="150">
        <v>13</v>
      </c>
      <c r="I142" s="150">
        <f t="shared" si="2"/>
        <v>37.03817733990148</v>
      </c>
    </row>
    <row r="143" spans="1:9">
      <c r="A143" s="150" t="s">
        <v>223</v>
      </c>
      <c r="B143" s="150" t="s">
        <v>419</v>
      </c>
      <c r="C143" s="150" t="s">
        <v>1752</v>
      </c>
      <c r="D143" s="150">
        <v>4</v>
      </c>
      <c r="E143" s="150">
        <v>21</v>
      </c>
      <c r="F143" s="150">
        <v>11</v>
      </c>
      <c r="G143" s="150">
        <v>2.5</v>
      </c>
      <c r="H143" s="150">
        <v>7.25</v>
      </c>
      <c r="I143" s="150">
        <f t="shared" si="2"/>
        <v>36.97660098522168</v>
      </c>
    </row>
    <row r="144" spans="1:9">
      <c r="A144" s="150" t="s">
        <v>421</v>
      </c>
      <c r="B144" s="150" t="s">
        <v>221</v>
      </c>
      <c r="C144" s="150" t="s">
        <v>1753</v>
      </c>
      <c r="D144" s="150">
        <v>5</v>
      </c>
      <c r="E144" s="150">
        <v>7</v>
      </c>
      <c r="F144" s="150">
        <v>10.75</v>
      </c>
      <c r="G144" s="150">
        <v>10.5</v>
      </c>
      <c r="H144" s="150">
        <v>14</v>
      </c>
      <c r="I144" s="150">
        <f t="shared" si="2"/>
        <v>36.968903940886698</v>
      </c>
    </row>
    <row r="145" spans="1:9">
      <c r="A145" s="150" t="s">
        <v>856</v>
      </c>
      <c r="B145" s="150" t="s">
        <v>338</v>
      </c>
      <c r="C145" s="150" t="s">
        <v>1754</v>
      </c>
      <c r="D145" s="150">
        <v>8</v>
      </c>
      <c r="E145" s="150">
        <v>12</v>
      </c>
      <c r="F145" s="150">
        <v>3</v>
      </c>
      <c r="G145" s="150">
        <v>13.7</v>
      </c>
      <c r="H145" s="150">
        <v>13.6</v>
      </c>
      <c r="I145" s="150">
        <f t="shared" si="2"/>
        <v>36.927339901477829</v>
      </c>
    </row>
    <row r="146" spans="1:9">
      <c r="A146" s="150" t="s">
        <v>776</v>
      </c>
      <c r="B146" s="150" t="s">
        <v>854</v>
      </c>
      <c r="C146" s="150" t="s">
        <v>1755</v>
      </c>
      <c r="D146" s="150">
        <v>8</v>
      </c>
      <c r="E146" s="150">
        <v>10</v>
      </c>
      <c r="F146" s="150">
        <v>6</v>
      </c>
      <c r="G146" s="150">
        <v>9.75</v>
      </c>
      <c r="H146" s="150">
        <v>16</v>
      </c>
      <c r="I146" s="150">
        <f t="shared" si="2"/>
        <v>36.483990147783253</v>
      </c>
    </row>
    <row r="147" spans="1:9">
      <c r="A147" s="150" t="s">
        <v>479</v>
      </c>
      <c r="B147" s="150" t="s">
        <v>774</v>
      </c>
      <c r="C147" s="150" t="s">
        <v>1756</v>
      </c>
      <c r="D147" s="150">
        <v>7</v>
      </c>
      <c r="E147" s="150">
        <v>10</v>
      </c>
      <c r="F147" s="150">
        <v>7</v>
      </c>
      <c r="G147" s="150">
        <v>12.55</v>
      </c>
      <c r="H147" s="150">
        <v>12</v>
      </c>
      <c r="I147" s="150">
        <f t="shared" si="2"/>
        <v>36.342364532019708</v>
      </c>
    </row>
    <row r="148" spans="1:9">
      <c r="A148" s="150" t="s">
        <v>804</v>
      </c>
      <c r="B148" s="150" t="s">
        <v>477</v>
      </c>
      <c r="C148" s="150" t="s">
        <v>1757</v>
      </c>
      <c r="D148" s="150">
        <v>11</v>
      </c>
      <c r="E148" s="150">
        <v>12</v>
      </c>
      <c r="F148" s="150">
        <v>5.5</v>
      </c>
      <c r="G148" s="150">
        <v>10.65</v>
      </c>
      <c r="H148" s="150">
        <v>13.25</v>
      </c>
      <c r="I148" s="150">
        <f t="shared" si="2"/>
        <v>36.228448275862064</v>
      </c>
    </row>
    <row r="149" spans="1:9">
      <c r="A149" s="150" t="s">
        <v>944</v>
      </c>
      <c r="B149" s="150" t="s">
        <v>942</v>
      </c>
      <c r="C149" s="150" t="s">
        <v>1758</v>
      </c>
      <c r="D149" s="150">
        <v>6</v>
      </c>
      <c r="E149" s="150">
        <v>13</v>
      </c>
      <c r="F149" s="150">
        <v>5.5</v>
      </c>
      <c r="G149" s="150">
        <v>12.25</v>
      </c>
      <c r="H149" s="150">
        <v>10</v>
      </c>
      <c r="I149" s="150">
        <f t="shared" si="2"/>
        <v>35.698891625615758</v>
      </c>
    </row>
    <row r="150" spans="1:9">
      <c r="A150" s="150" t="s">
        <v>292</v>
      </c>
      <c r="B150" s="150" t="s">
        <v>802</v>
      </c>
      <c r="C150" s="150" t="s">
        <v>1759</v>
      </c>
      <c r="D150" s="150">
        <v>10</v>
      </c>
      <c r="E150" s="150">
        <v>9</v>
      </c>
      <c r="F150" s="150">
        <v>2</v>
      </c>
      <c r="G150" s="150">
        <v>15</v>
      </c>
      <c r="H150" s="150">
        <v>15</v>
      </c>
      <c r="I150" s="150">
        <f t="shared" si="2"/>
        <v>35.683497536945815</v>
      </c>
    </row>
    <row r="151" spans="1:9">
      <c r="A151" s="150" t="s">
        <v>379</v>
      </c>
      <c r="B151" s="150" t="s">
        <v>290</v>
      </c>
      <c r="C151" s="150" t="s">
        <v>1760</v>
      </c>
      <c r="D151" s="150">
        <v>4</v>
      </c>
      <c r="E151" s="150">
        <v>14</v>
      </c>
      <c r="F151" s="150">
        <v>3</v>
      </c>
      <c r="G151" s="150">
        <v>5.05</v>
      </c>
      <c r="H151" s="150">
        <v>18.5</v>
      </c>
      <c r="I151" s="150">
        <f t="shared" si="2"/>
        <v>35.480295566502463</v>
      </c>
    </row>
    <row r="152" spans="1:9">
      <c r="A152" s="150" t="s">
        <v>415</v>
      </c>
      <c r="B152" s="150" t="s">
        <v>377</v>
      </c>
      <c r="C152" s="150" t="s">
        <v>1761</v>
      </c>
      <c r="D152" s="150">
        <v>10</v>
      </c>
      <c r="E152" s="150">
        <v>17</v>
      </c>
      <c r="F152" s="150">
        <v>1</v>
      </c>
      <c r="G152" s="150">
        <v>7</v>
      </c>
      <c r="H152" s="150">
        <v>15.5</v>
      </c>
      <c r="I152" s="150">
        <f t="shared" si="2"/>
        <v>35.467980295566505</v>
      </c>
    </row>
    <row r="153" spans="1:9">
      <c r="A153" s="150" t="s">
        <v>742</v>
      </c>
      <c r="B153" s="150" t="s">
        <v>413</v>
      </c>
      <c r="C153" s="150" t="s">
        <v>1762</v>
      </c>
      <c r="D153" s="150">
        <v>6</v>
      </c>
      <c r="E153" s="150">
        <v>12</v>
      </c>
      <c r="F153" s="150">
        <v>1.75</v>
      </c>
      <c r="G153" s="150">
        <v>18.850000000000001</v>
      </c>
      <c r="H153" s="150">
        <v>7.75</v>
      </c>
      <c r="I153" s="150">
        <f t="shared" si="2"/>
        <v>35.207820197044335</v>
      </c>
    </row>
    <row r="154" spans="1:9">
      <c r="A154" s="150" t="s">
        <v>566</v>
      </c>
      <c r="B154" s="150" t="s">
        <v>740</v>
      </c>
      <c r="C154" s="150" t="s">
        <v>1763</v>
      </c>
      <c r="D154" s="150">
        <v>10</v>
      </c>
      <c r="E154" s="150">
        <v>16</v>
      </c>
      <c r="F154" s="150">
        <v>1.5</v>
      </c>
      <c r="G154" s="150">
        <v>15.05</v>
      </c>
      <c r="H154" s="150">
        <v>7.35</v>
      </c>
      <c r="I154" s="150">
        <f t="shared" si="2"/>
        <v>34.935344827586206</v>
      </c>
    </row>
    <row r="155" spans="1:9">
      <c r="A155" s="150" t="s">
        <v>920</v>
      </c>
      <c r="B155" s="150" t="s">
        <v>918</v>
      </c>
      <c r="C155" s="150" t="s">
        <v>1764</v>
      </c>
      <c r="D155" s="150">
        <v>3</v>
      </c>
      <c r="E155" s="150">
        <v>18</v>
      </c>
      <c r="F155" s="150">
        <v>7.5</v>
      </c>
      <c r="G155" s="150">
        <v>2.25</v>
      </c>
      <c r="H155" s="150">
        <v>11.75</v>
      </c>
      <c r="I155" s="150">
        <f t="shared" si="2"/>
        <v>34.83682266009852</v>
      </c>
    </row>
    <row r="156" spans="1:9">
      <c r="A156" s="150" t="s">
        <v>953</v>
      </c>
      <c r="B156" s="150" t="s">
        <v>564</v>
      </c>
      <c r="C156" s="150" t="s">
        <v>1765</v>
      </c>
      <c r="D156" s="150">
        <v>9</v>
      </c>
      <c r="E156" s="150">
        <v>10</v>
      </c>
      <c r="F156" s="150">
        <v>7.75</v>
      </c>
      <c r="G156" s="150">
        <v>12</v>
      </c>
      <c r="H156" s="150">
        <v>10</v>
      </c>
      <c r="I156" s="150">
        <f t="shared" si="2"/>
        <v>34.813731527093594</v>
      </c>
    </row>
    <row r="157" spans="1:9">
      <c r="A157" s="150" t="s">
        <v>530</v>
      </c>
      <c r="B157" s="150" t="s">
        <v>951</v>
      </c>
      <c r="C157" s="150" t="s">
        <v>1766</v>
      </c>
      <c r="D157" s="150">
        <v>6</v>
      </c>
      <c r="E157" s="150">
        <v>11</v>
      </c>
      <c r="F157" s="150">
        <v>8.75</v>
      </c>
      <c r="G157" s="150">
        <v>14.5</v>
      </c>
      <c r="H157" s="150">
        <v>5.25</v>
      </c>
      <c r="I157" s="150">
        <f t="shared" si="2"/>
        <v>34.659790640394093</v>
      </c>
    </row>
    <row r="158" spans="1:9">
      <c r="A158" s="150" t="s">
        <v>751</v>
      </c>
      <c r="B158" s="150" t="s">
        <v>528</v>
      </c>
      <c r="C158" s="150" t="s">
        <v>1767</v>
      </c>
      <c r="D158" s="150">
        <v>8</v>
      </c>
      <c r="E158" s="150">
        <v>13</v>
      </c>
      <c r="F158" s="150">
        <v>2</v>
      </c>
      <c r="G158" s="150">
        <v>13.5</v>
      </c>
      <c r="H158" s="150">
        <v>10.25</v>
      </c>
      <c r="I158" s="150">
        <f t="shared" si="2"/>
        <v>33.86699507389163</v>
      </c>
    </row>
    <row r="159" spans="1:9">
      <c r="A159" s="150" t="s">
        <v>705</v>
      </c>
      <c r="B159" s="150" t="s">
        <v>749</v>
      </c>
      <c r="C159" s="150" t="s">
        <v>1768</v>
      </c>
      <c r="D159" s="150" t="s">
        <v>1667</v>
      </c>
      <c r="E159" s="150">
        <v>6</v>
      </c>
      <c r="F159" s="150">
        <v>6.5</v>
      </c>
      <c r="G159" s="150">
        <v>16.25</v>
      </c>
      <c r="H159" s="150">
        <v>9.75</v>
      </c>
      <c r="I159" s="150">
        <f t="shared" si="2"/>
        <v>33.574507389162562</v>
      </c>
    </row>
    <row r="160" spans="1:9">
      <c r="A160" s="150" t="s">
        <v>911</v>
      </c>
      <c r="B160" s="150" t="s">
        <v>703</v>
      </c>
      <c r="C160" s="150" t="s">
        <v>1769</v>
      </c>
      <c r="D160" s="150">
        <v>7</v>
      </c>
      <c r="E160" s="150">
        <v>9</v>
      </c>
      <c r="F160" s="150">
        <v>6.75</v>
      </c>
      <c r="G160" s="150"/>
      <c r="H160" s="150">
        <v>21.5</v>
      </c>
      <c r="I160" s="150">
        <f t="shared" si="2"/>
        <v>32.59698275862069</v>
      </c>
    </row>
    <row r="161" spans="1:9">
      <c r="A161" s="150" t="s">
        <v>619</v>
      </c>
      <c r="B161" s="150" t="s">
        <v>909</v>
      </c>
      <c r="C161" s="150" t="s">
        <v>1770</v>
      </c>
      <c r="D161" s="150">
        <v>6</v>
      </c>
      <c r="E161" s="150">
        <v>19</v>
      </c>
      <c r="F161" s="150">
        <v>0.5</v>
      </c>
      <c r="G161" s="150">
        <v>7.5</v>
      </c>
      <c r="H161" s="150">
        <v>9.75</v>
      </c>
      <c r="I161" s="150">
        <f t="shared" si="2"/>
        <v>32.281403940886698</v>
      </c>
    </row>
    <row r="162" spans="1:9">
      <c r="A162" s="150" t="s">
        <v>467</v>
      </c>
      <c r="B162" s="150" t="s">
        <v>617</v>
      </c>
      <c r="C162" s="150" t="s">
        <v>1771</v>
      </c>
      <c r="D162" s="150">
        <v>9</v>
      </c>
      <c r="E162" s="150">
        <v>11</v>
      </c>
      <c r="F162" s="150">
        <v>4.5</v>
      </c>
      <c r="G162" s="150">
        <v>11.25</v>
      </c>
      <c r="H162" s="150">
        <v>9.65</v>
      </c>
      <c r="I162" s="150">
        <f t="shared" si="2"/>
        <v>31.856527093596057</v>
      </c>
    </row>
    <row r="163" spans="1:9">
      <c r="A163" s="150" t="s">
        <v>328</v>
      </c>
      <c r="B163" s="150" t="s">
        <v>326</v>
      </c>
      <c r="C163" s="150" t="s">
        <v>1772</v>
      </c>
      <c r="D163" s="150">
        <v>11</v>
      </c>
      <c r="E163" s="150">
        <v>9</v>
      </c>
      <c r="F163" s="150">
        <v>8.25</v>
      </c>
      <c r="G163" s="150">
        <v>10</v>
      </c>
      <c r="H163" s="150">
        <v>8.9499999999999993</v>
      </c>
      <c r="I163" s="150">
        <f t="shared" si="2"/>
        <v>31.737992610837438</v>
      </c>
    </row>
    <row r="164" spans="1:9">
      <c r="A164" s="150">
        <v>2</v>
      </c>
      <c r="B164" s="150" t="s">
        <v>465</v>
      </c>
      <c r="C164" s="150" t="s">
        <v>1773</v>
      </c>
      <c r="D164" s="150">
        <v>4</v>
      </c>
      <c r="E164" s="150">
        <v>12</v>
      </c>
      <c r="F164" s="150">
        <v>3.5</v>
      </c>
      <c r="G164" s="150">
        <v>17.5</v>
      </c>
      <c r="H164" s="150">
        <v>3.25</v>
      </c>
      <c r="I164" s="150">
        <f t="shared" si="2"/>
        <v>31.72721674876847</v>
      </c>
    </row>
    <row r="165" spans="1:9">
      <c r="A165" s="150" t="s">
        <v>841</v>
      </c>
      <c r="B165" s="150" t="s">
        <v>428</v>
      </c>
      <c r="C165" s="150" t="s">
        <v>1774</v>
      </c>
      <c r="D165" s="150">
        <v>2</v>
      </c>
      <c r="E165" s="150">
        <v>4</v>
      </c>
      <c r="F165" s="150">
        <v>3</v>
      </c>
      <c r="G165" s="150">
        <v>19.05</v>
      </c>
      <c r="H165" s="150">
        <v>10</v>
      </c>
      <c r="I165" s="150">
        <f t="shared" si="2"/>
        <v>31.293103448275861</v>
      </c>
    </row>
    <row r="166" spans="1:9">
      <c r="A166" s="150" t="s">
        <v>280</v>
      </c>
      <c r="B166" s="150" t="s">
        <v>278</v>
      </c>
      <c r="C166" s="150" t="s">
        <v>1775</v>
      </c>
      <c r="D166" s="150">
        <v>8</v>
      </c>
      <c r="E166" s="150">
        <v>12</v>
      </c>
      <c r="F166" s="150">
        <v>9.5</v>
      </c>
      <c r="G166" s="150">
        <v>5.2</v>
      </c>
      <c r="H166" s="150">
        <v>8.75</v>
      </c>
      <c r="I166" s="150">
        <f t="shared" si="2"/>
        <v>31.222290640394093</v>
      </c>
    </row>
    <row r="167" spans="1:9">
      <c r="A167" s="150">
        <v>7</v>
      </c>
      <c r="B167" s="150" t="s">
        <v>839</v>
      </c>
      <c r="C167" s="150" t="s">
        <v>1776</v>
      </c>
      <c r="D167" s="150">
        <v>1</v>
      </c>
      <c r="E167" s="150">
        <v>9</v>
      </c>
      <c r="F167" s="150">
        <v>10</v>
      </c>
      <c r="G167" s="150">
        <v>3</v>
      </c>
      <c r="H167" s="150">
        <v>13.5</v>
      </c>
      <c r="I167" s="150">
        <f t="shared" si="2"/>
        <v>31.188423645320199</v>
      </c>
    </row>
    <row r="168" spans="1:9">
      <c r="A168" s="150" t="s">
        <v>1777</v>
      </c>
      <c r="B168" s="150" t="s">
        <v>1778</v>
      </c>
      <c r="C168" s="150" t="s">
        <v>1779</v>
      </c>
      <c r="D168" s="150">
        <v>2</v>
      </c>
      <c r="E168" s="150">
        <v>12</v>
      </c>
      <c r="F168" s="150">
        <v>7.5</v>
      </c>
      <c r="G168" s="150">
        <v>8</v>
      </c>
      <c r="H168" s="150">
        <v>7.75</v>
      </c>
      <c r="I168" s="150">
        <f t="shared" si="2"/>
        <v>30.988300492610836</v>
      </c>
    </row>
    <row r="169" spans="1:9">
      <c r="A169" s="150" t="s">
        <v>39</v>
      </c>
      <c r="B169" s="150" t="s">
        <v>1780</v>
      </c>
      <c r="C169" s="150" t="s">
        <v>1781</v>
      </c>
      <c r="D169" s="150">
        <v>10</v>
      </c>
      <c r="E169" s="150">
        <v>14</v>
      </c>
      <c r="F169" s="150">
        <v>4.5</v>
      </c>
      <c r="G169" s="150">
        <v>7</v>
      </c>
      <c r="H169" s="150">
        <v>9.75</v>
      </c>
      <c r="I169" s="150">
        <f t="shared" si="2"/>
        <v>30.957512315270936</v>
      </c>
    </row>
    <row r="170" spans="1:9">
      <c r="A170" s="150" t="s">
        <v>310</v>
      </c>
      <c r="B170" s="150" t="s">
        <v>1782</v>
      </c>
      <c r="C170" s="150" t="s">
        <v>1783</v>
      </c>
      <c r="D170" s="150">
        <v>8</v>
      </c>
      <c r="E170" s="150">
        <v>8</v>
      </c>
      <c r="F170" s="150">
        <v>8</v>
      </c>
      <c r="G170" s="150">
        <v>9</v>
      </c>
      <c r="H170" s="150">
        <v>10.25</v>
      </c>
      <c r="I170" s="150">
        <f t="shared" si="2"/>
        <v>30.880541871921181</v>
      </c>
    </row>
    <row r="171" spans="1:9">
      <c r="A171" s="150" t="s">
        <v>838</v>
      </c>
      <c r="B171" s="150" t="s">
        <v>308</v>
      </c>
      <c r="C171" s="150" t="s">
        <v>1784</v>
      </c>
      <c r="D171" s="150">
        <v>4</v>
      </c>
      <c r="E171" s="150">
        <v>11</v>
      </c>
      <c r="F171" s="150">
        <v>3</v>
      </c>
      <c r="G171" s="150">
        <v>6.25</v>
      </c>
      <c r="H171" s="150">
        <v>15</v>
      </c>
      <c r="I171" s="150">
        <f t="shared" si="2"/>
        <v>30.818965517241381</v>
      </c>
    </row>
    <row r="172" spans="1:9">
      <c r="A172" s="150" t="s">
        <v>400</v>
      </c>
      <c r="B172" s="150" t="s">
        <v>836</v>
      </c>
      <c r="C172" s="150" t="s">
        <v>1785</v>
      </c>
      <c r="D172" s="150">
        <v>4</v>
      </c>
      <c r="E172" s="150">
        <v>13</v>
      </c>
      <c r="F172" s="150">
        <v>3.75</v>
      </c>
      <c r="G172" s="150">
        <v>11</v>
      </c>
      <c r="H172" s="150">
        <v>7.35</v>
      </c>
      <c r="I172" s="150">
        <f t="shared" si="2"/>
        <v>30.774322660098523</v>
      </c>
    </row>
    <row r="173" spans="1:9">
      <c r="A173" s="150" t="s">
        <v>193</v>
      </c>
      <c r="B173" s="150" t="s">
        <v>191</v>
      </c>
      <c r="C173" s="150" t="s">
        <v>1786</v>
      </c>
      <c r="D173" s="150">
        <v>1</v>
      </c>
      <c r="E173" s="150">
        <v>13</v>
      </c>
      <c r="F173" s="150">
        <v>6.75</v>
      </c>
      <c r="G173" s="150">
        <v>6.4</v>
      </c>
      <c r="H173" s="150">
        <v>8.75</v>
      </c>
      <c r="I173" s="150">
        <f t="shared" si="2"/>
        <v>30.694273399014779</v>
      </c>
    </row>
    <row r="174" spans="1:9">
      <c r="A174" s="150" t="s">
        <v>521</v>
      </c>
      <c r="B174" s="150" t="s">
        <v>398</v>
      </c>
      <c r="C174" s="150" t="s">
        <v>1787</v>
      </c>
      <c r="D174" s="150">
        <v>11</v>
      </c>
      <c r="E174" s="150">
        <v>13</v>
      </c>
      <c r="F174" s="150">
        <v>3.5</v>
      </c>
      <c r="G174" s="150">
        <v>11.75</v>
      </c>
      <c r="H174" s="150">
        <v>6.75</v>
      </c>
      <c r="I174" s="150">
        <f t="shared" si="2"/>
        <v>30.680418719211822</v>
      </c>
    </row>
    <row r="175" spans="1:9">
      <c r="A175" s="150" t="s">
        <v>136</v>
      </c>
      <c r="B175" s="150" t="s">
        <v>519</v>
      </c>
      <c r="C175" s="150" t="s">
        <v>1788</v>
      </c>
      <c r="D175" s="150">
        <v>4</v>
      </c>
      <c r="E175" s="150">
        <v>8</v>
      </c>
      <c r="F175" s="150">
        <v>6.5</v>
      </c>
      <c r="G175" s="150">
        <v>12.6</v>
      </c>
      <c r="H175" s="150">
        <v>7.25</v>
      </c>
      <c r="I175" s="150">
        <f t="shared" si="2"/>
        <v>30.058497536945815</v>
      </c>
    </row>
    <row r="176" spans="1:9">
      <c r="A176" s="150" t="s">
        <v>736</v>
      </c>
      <c r="B176" s="150" t="s">
        <v>134</v>
      </c>
      <c r="C176" s="150" t="s">
        <v>1789</v>
      </c>
      <c r="D176" s="150">
        <v>8</v>
      </c>
      <c r="E176" s="150">
        <v>17</v>
      </c>
      <c r="F176" s="150">
        <v>4.5</v>
      </c>
      <c r="G176" s="150">
        <v>9</v>
      </c>
      <c r="H176" s="150">
        <v>3.5</v>
      </c>
      <c r="I176" s="150">
        <f t="shared" si="2"/>
        <v>29.972290640394093</v>
      </c>
    </row>
    <row r="177" spans="1:9">
      <c r="A177" s="150" t="s">
        <v>358</v>
      </c>
      <c r="B177" s="150" t="s">
        <v>734</v>
      </c>
      <c r="C177" s="150" t="s">
        <v>1790</v>
      </c>
      <c r="D177" s="150">
        <v>4</v>
      </c>
      <c r="E177" s="150">
        <v>13</v>
      </c>
      <c r="F177" s="150">
        <v>3.5</v>
      </c>
      <c r="G177" s="150">
        <v>6.75</v>
      </c>
      <c r="H177" s="150">
        <v>10.75</v>
      </c>
      <c r="I177" s="150">
        <f t="shared" si="2"/>
        <v>29.818349753694584</v>
      </c>
    </row>
    <row r="178" spans="1:9">
      <c r="A178" s="150" t="s">
        <v>545</v>
      </c>
      <c r="B178" s="150" t="s">
        <v>543</v>
      </c>
      <c r="C178" s="150" t="s">
        <v>1791</v>
      </c>
      <c r="D178" s="150">
        <v>2</v>
      </c>
      <c r="E178" s="150">
        <v>8</v>
      </c>
      <c r="F178" s="150">
        <v>9</v>
      </c>
      <c r="G178" s="150">
        <v>6</v>
      </c>
      <c r="H178" s="150">
        <v>10.25</v>
      </c>
      <c r="I178" s="150">
        <f t="shared" si="2"/>
        <v>29.187192118226601</v>
      </c>
    </row>
    <row r="179" spans="1:9">
      <c r="A179" s="150" t="s">
        <v>485</v>
      </c>
      <c r="B179" s="150" t="s">
        <v>483</v>
      </c>
      <c r="C179" s="150" t="s">
        <v>1792</v>
      </c>
      <c r="D179" s="150">
        <v>5</v>
      </c>
      <c r="E179" s="150">
        <v>8</v>
      </c>
      <c r="F179" s="150">
        <v>7</v>
      </c>
      <c r="G179" s="150">
        <v>10.75</v>
      </c>
      <c r="H179" s="150">
        <v>7.5</v>
      </c>
      <c r="I179" s="150">
        <f t="shared" si="2"/>
        <v>29.125615763546797</v>
      </c>
    </row>
    <row r="180" spans="1:9">
      <c r="A180" s="150" t="s">
        <v>30</v>
      </c>
      <c r="B180" s="150" t="s">
        <v>1793</v>
      </c>
      <c r="C180" s="150" t="s">
        <v>1794</v>
      </c>
      <c r="D180" s="150">
        <v>7</v>
      </c>
      <c r="E180" s="150">
        <v>12</v>
      </c>
      <c r="F180" s="150">
        <v>0.5</v>
      </c>
      <c r="G180" s="150">
        <v>12.75</v>
      </c>
      <c r="H180" s="150">
        <v>8</v>
      </c>
      <c r="I180" s="150">
        <f t="shared" si="2"/>
        <v>29.048645320197046</v>
      </c>
    </row>
    <row r="181" spans="1:9">
      <c r="A181" s="150" t="s">
        <v>412</v>
      </c>
      <c r="B181" s="150" t="s">
        <v>410</v>
      </c>
      <c r="C181" s="150" t="s">
        <v>1795</v>
      </c>
      <c r="D181" s="150">
        <v>8</v>
      </c>
      <c r="E181" s="150">
        <v>10</v>
      </c>
      <c r="F181" s="150">
        <v>2.5</v>
      </c>
      <c r="G181" s="150">
        <v>7.5</v>
      </c>
      <c r="H181" s="150">
        <v>13.1</v>
      </c>
      <c r="I181" s="150">
        <f t="shared" si="2"/>
        <v>28.919334975369459</v>
      </c>
    </row>
    <row r="182" spans="1:9">
      <c r="A182" s="150" t="s">
        <v>560</v>
      </c>
      <c r="B182" s="150" t="s">
        <v>811</v>
      </c>
      <c r="C182" s="150" t="s">
        <v>1796</v>
      </c>
      <c r="D182" s="150">
        <v>9</v>
      </c>
      <c r="E182" s="150">
        <v>18</v>
      </c>
      <c r="F182" s="150">
        <v>4</v>
      </c>
      <c r="G182" s="150">
        <v>1.75</v>
      </c>
      <c r="H182" s="150">
        <v>8.75</v>
      </c>
      <c r="I182" s="150">
        <f t="shared" si="2"/>
        <v>28.694581280788178</v>
      </c>
    </row>
    <row r="183" spans="1:9">
      <c r="A183" s="150" t="s">
        <v>325</v>
      </c>
      <c r="B183" s="150" t="s">
        <v>558</v>
      </c>
      <c r="C183" s="150" t="s">
        <v>1797</v>
      </c>
      <c r="D183" s="150">
        <v>4</v>
      </c>
      <c r="E183" s="150">
        <v>15</v>
      </c>
      <c r="F183" s="150">
        <v>7</v>
      </c>
      <c r="G183" s="150">
        <v>5.15</v>
      </c>
      <c r="H183" s="150">
        <v>5</v>
      </c>
      <c r="I183" s="150">
        <f t="shared" si="2"/>
        <v>28.392857142857142</v>
      </c>
    </row>
    <row r="184" spans="1:9">
      <c r="A184" s="150" t="s">
        <v>580</v>
      </c>
      <c r="B184" s="150" t="s">
        <v>323</v>
      </c>
      <c r="C184" s="150" t="s">
        <v>1798</v>
      </c>
      <c r="D184" s="150">
        <v>7</v>
      </c>
      <c r="E184" s="150">
        <v>10</v>
      </c>
      <c r="F184" s="150">
        <v>2</v>
      </c>
      <c r="G184" s="150">
        <v>10.25</v>
      </c>
      <c r="H184" s="150">
        <v>9.75</v>
      </c>
      <c r="I184" s="150">
        <f t="shared" si="2"/>
        <v>27.955665024630541</v>
      </c>
    </row>
    <row r="185" spans="1:9">
      <c r="A185" s="150" t="s">
        <v>649</v>
      </c>
      <c r="B185" s="150" t="s">
        <v>623</v>
      </c>
      <c r="C185" s="150"/>
      <c r="D185" s="150">
        <v>11</v>
      </c>
      <c r="E185" s="150">
        <v>19</v>
      </c>
      <c r="F185" s="150"/>
      <c r="G185" s="150">
        <v>7.3</v>
      </c>
      <c r="H185" s="150">
        <v>5</v>
      </c>
      <c r="I185" s="150">
        <f t="shared" si="2"/>
        <v>27.567733990147786</v>
      </c>
    </row>
    <row r="186" spans="1:9">
      <c r="A186" s="150" t="s">
        <v>625</v>
      </c>
      <c r="B186" s="150" t="s">
        <v>647</v>
      </c>
      <c r="C186" s="150" t="s">
        <v>1799</v>
      </c>
      <c r="D186" s="150">
        <v>2</v>
      </c>
      <c r="E186" s="150">
        <v>13</v>
      </c>
      <c r="F186" s="150">
        <v>0.25</v>
      </c>
      <c r="G186" s="150">
        <v>7</v>
      </c>
      <c r="H186" s="150">
        <v>11.2</v>
      </c>
      <c r="I186" s="150">
        <f t="shared" si="2"/>
        <v>27.520012315270936</v>
      </c>
    </row>
    <row r="187" spans="1:9">
      <c r="A187" s="150" t="s">
        <v>364</v>
      </c>
      <c r="B187" s="150" t="s">
        <v>578</v>
      </c>
      <c r="C187" s="150" t="s">
        <v>1800</v>
      </c>
      <c r="D187" s="150">
        <v>6</v>
      </c>
      <c r="E187" s="150">
        <v>10</v>
      </c>
      <c r="F187" s="150">
        <v>1.5</v>
      </c>
      <c r="G187" s="150">
        <v>13.25</v>
      </c>
      <c r="H187" s="150">
        <v>6.75</v>
      </c>
      <c r="I187" s="150">
        <f t="shared" si="2"/>
        <v>27.509236453201972</v>
      </c>
    </row>
    <row r="188" spans="1:9">
      <c r="A188" s="150" t="s">
        <v>935</v>
      </c>
      <c r="B188" s="150" t="s">
        <v>362</v>
      </c>
      <c r="C188" s="150" t="s">
        <v>1801</v>
      </c>
      <c r="D188" s="150">
        <v>1</v>
      </c>
      <c r="E188" s="150">
        <v>11</v>
      </c>
      <c r="F188" s="150">
        <v>5</v>
      </c>
      <c r="G188" s="150">
        <v>10.5</v>
      </c>
      <c r="H188" s="150">
        <v>4.5</v>
      </c>
      <c r="I188" s="150">
        <f t="shared" si="2"/>
        <v>27.216748768472907</v>
      </c>
    </row>
    <row r="189" spans="1:9">
      <c r="A189" s="150" t="s">
        <v>760</v>
      </c>
      <c r="B189" s="150" t="s">
        <v>758</v>
      </c>
      <c r="C189" s="150" t="s">
        <v>1802</v>
      </c>
      <c r="D189" s="150">
        <v>4</v>
      </c>
      <c r="E189" s="150">
        <v>15</v>
      </c>
      <c r="F189" s="150">
        <v>3</v>
      </c>
      <c r="G189" s="150">
        <v>6.75</v>
      </c>
      <c r="H189" s="150">
        <v>5.75</v>
      </c>
      <c r="I189" s="150">
        <f t="shared" si="2"/>
        <v>26.847290640394093</v>
      </c>
    </row>
    <row r="190" spans="1:9">
      <c r="A190" s="150" t="s">
        <v>926</v>
      </c>
      <c r="B190" s="150" t="s">
        <v>924</v>
      </c>
      <c r="C190" s="150" t="s">
        <v>1803</v>
      </c>
      <c r="D190" s="150">
        <v>1</v>
      </c>
      <c r="E190" s="150">
        <v>9</v>
      </c>
      <c r="F190" s="150">
        <v>9</v>
      </c>
      <c r="G190" s="150">
        <v>8.5</v>
      </c>
      <c r="H190" s="150">
        <v>4</v>
      </c>
      <c r="I190" s="150">
        <f t="shared" si="2"/>
        <v>26.847290640394093</v>
      </c>
    </row>
    <row r="191" spans="1:9">
      <c r="A191" s="150" t="s">
        <v>881</v>
      </c>
      <c r="B191" s="150" t="s">
        <v>933</v>
      </c>
      <c r="C191" s="150" t="s">
        <v>1804</v>
      </c>
      <c r="D191" s="150">
        <v>7</v>
      </c>
      <c r="E191" s="150">
        <v>9</v>
      </c>
      <c r="F191" s="150"/>
      <c r="G191" s="150">
        <v>11.8</v>
      </c>
      <c r="H191" s="150">
        <v>10</v>
      </c>
      <c r="I191" s="150">
        <f t="shared" si="2"/>
        <v>26.828817733990149</v>
      </c>
    </row>
    <row r="192" spans="1:9">
      <c r="A192" s="150" t="s">
        <v>79</v>
      </c>
      <c r="B192" s="150" t="s">
        <v>879</v>
      </c>
      <c r="C192" s="150" t="s">
        <v>1805</v>
      </c>
      <c r="D192" s="150">
        <v>4</v>
      </c>
      <c r="E192" s="150">
        <v>11</v>
      </c>
      <c r="F192" s="150">
        <v>3.5</v>
      </c>
      <c r="G192" s="150">
        <v>8.1</v>
      </c>
      <c r="H192" s="150">
        <v>7.75</v>
      </c>
      <c r="I192" s="150">
        <f t="shared" si="2"/>
        <v>26.610221674876847</v>
      </c>
    </row>
    <row r="193" spans="1:9">
      <c r="A193" s="150" t="s">
        <v>1806</v>
      </c>
      <c r="B193" s="150" t="s">
        <v>77</v>
      </c>
      <c r="C193" s="150" t="s">
        <v>1807</v>
      </c>
      <c r="D193" s="150">
        <v>6</v>
      </c>
      <c r="E193" s="150">
        <v>7</v>
      </c>
      <c r="F193" s="150">
        <v>2.75</v>
      </c>
      <c r="G193" s="150">
        <v>11</v>
      </c>
      <c r="H193" s="150">
        <v>9.6</v>
      </c>
      <c r="I193" s="150">
        <f t="shared" si="2"/>
        <v>26.463977832512313</v>
      </c>
    </row>
    <row r="194" spans="1:9">
      <c r="A194" s="150">
        <v>6</v>
      </c>
      <c r="B194" s="150" t="s">
        <v>1808</v>
      </c>
      <c r="C194" s="150" t="s">
        <v>1809</v>
      </c>
      <c r="D194" s="150" t="s">
        <v>1687</v>
      </c>
      <c r="E194" s="150">
        <v>8</v>
      </c>
      <c r="F194" s="150">
        <v>2.5</v>
      </c>
      <c r="G194" s="150">
        <v>13</v>
      </c>
      <c r="H194" s="150">
        <v>6.75</v>
      </c>
      <c r="I194" s="150">
        <f t="shared" si="2"/>
        <v>26.400862068965516</v>
      </c>
    </row>
    <row r="195" spans="1:9">
      <c r="A195" s="150" t="s">
        <v>548</v>
      </c>
      <c r="B195" s="150" t="s">
        <v>1810</v>
      </c>
      <c r="C195" s="150" t="s">
        <v>1811</v>
      </c>
      <c r="D195" s="150">
        <v>6</v>
      </c>
      <c r="E195" s="150">
        <v>7</v>
      </c>
      <c r="F195" s="150">
        <v>3.25</v>
      </c>
      <c r="G195" s="150">
        <v>13.75</v>
      </c>
      <c r="H195" s="150">
        <v>6.25</v>
      </c>
      <c r="I195" s="150">
        <f t="shared" si="2"/>
        <v>26.393165024630541</v>
      </c>
    </row>
    <row r="196" spans="1:9">
      <c r="A196" s="150" t="s">
        <v>506</v>
      </c>
      <c r="B196" s="150" t="s">
        <v>546</v>
      </c>
      <c r="C196" s="150" t="s">
        <v>1812</v>
      </c>
      <c r="D196" s="150">
        <v>8</v>
      </c>
      <c r="E196" s="150">
        <v>9</v>
      </c>
      <c r="F196" s="150">
        <v>7.5</v>
      </c>
      <c r="G196" s="150">
        <v>11</v>
      </c>
      <c r="H196" s="150">
        <v>2.5</v>
      </c>
      <c r="I196" s="150">
        <f t="shared" si="2"/>
        <v>26.370073891625616</v>
      </c>
    </row>
    <row r="197" spans="1:9">
      <c r="A197" s="150" t="s">
        <v>1813</v>
      </c>
      <c r="B197" s="150" t="s">
        <v>504</v>
      </c>
      <c r="C197" s="150" t="s">
        <v>1814</v>
      </c>
      <c r="D197" s="150">
        <v>6</v>
      </c>
      <c r="E197" s="150">
        <v>11</v>
      </c>
      <c r="F197" s="150">
        <v>3.5</v>
      </c>
      <c r="G197" s="150">
        <v>10.5</v>
      </c>
      <c r="H197" s="150">
        <v>5</v>
      </c>
      <c r="I197" s="150">
        <f t="shared" si="2"/>
        <v>26.308497536945815</v>
      </c>
    </row>
    <row r="198" spans="1:9">
      <c r="A198" s="150" t="s">
        <v>1815</v>
      </c>
      <c r="B198" s="150" t="s">
        <v>1816</v>
      </c>
      <c r="C198" s="150" t="s">
        <v>1817</v>
      </c>
      <c r="D198" s="150">
        <v>1</v>
      </c>
      <c r="E198" s="150">
        <v>11</v>
      </c>
      <c r="F198" s="150">
        <v>1</v>
      </c>
      <c r="G198" s="150">
        <v>13.05</v>
      </c>
      <c r="H198" s="150">
        <v>4.25</v>
      </c>
      <c r="I198" s="150">
        <f t="shared" ref="I198:I261" si="3">(E198+F198)*50/56+(G198+H198)*50/58</f>
        <v>25.628078817733989</v>
      </c>
    </row>
    <row r="199" spans="1:9">
      <c r="A199" s="150" t="s">
        <v>133</v>
      </c>
      <c r="B199" s="150" t="s">
        <v>1818</v>
      </c>
      <c r="C199" s="150" t="s">
        <v>1819</v>
      </c>
      <c r="D199" s="150" t="s">
        <v>1687</v>
      </c>
      <c r="E199" s="150">
        <v>13</v>
      </c>
      <c r="F199" s="150">
        <v>3</v>
      </c>
      <c r="G199" s="150">
        <v>6.75</v>
      </c>
      <c r="H199" s="150">
        <v>6.25</v>
      </c>
      <c r="I199" s="150">
        <f t="shared" si="3"/>
        <v>25.492610837438427</v>
      </c>
    </row>
    <row r="200" spans="1:9">
      <c r="A200" s="150" t="s">
        <v>403</v>
      </c>
      <c r="B200" s="150" t="s">
        <v>131</v>
      </c>
      <c r="C200" s="150" t="s">
        <v>1820</v>
      </c>
      <c r="D200" s="150">
        <v>10</v>
      </c>
      <c r="E200" s="150">
        <v>11</v>
      </c>
      <c r="F200" s="150">
        <v>5</v>
      </c>
      <c r="G200" s="150">
        <v>9.4</v>
      </c>
      <c r="H200" s="150">
        <v>3.5</v>
      </c>
      <c r="I200" s="150">
        <f t="shared" si="3"/>
        <v>25.406403940886701</v>
      </c>
    </row>
    <row r="201" spans="1:9">
      <c r="A201" s="150">
        <v>4</v>
      </c>
      <c r="B201" s="150" t="s">
        <v>716</v>
      </c>
      <c r="C201" s="150" t="s">
        <v>1821</v>
      </c>
      <c r="D201" s="150">
        <v>10</v>
      </c>
      <c r="E201" s="150">
        <v>9</v>
      </c>
      <c r="F201" s="150">
        <v>4.5</v>
      </c>
      <c r="G201" s="150">
        <v>6.35</v>
      </c>
      <c r="H201" s="150">
        <v>8.9</v>
      </c>
      <c r="I201" s="150">
        <f t="shared" si="3"/>
        <v>25.200123152709359</v>
      </c>
    </row>
    <row r="202" spans="1:9">
      <c r="A202" s="150" t="s">
        <v>190</v>
      </c>
      <c r="B202" s="150" t="s">
        <v>401</v>
      </c>
      <c r="C202" s="150" t="s">
        <v>1822</v>
      </c>
      <c r="D202" s="150">
        <v>10</v>
      </c>
      <c r="E202" s="150">
        <v>7</v>
      </c>
      <c r="F202" s="150">
        <v>0.5</v>
      </c>
      <c r="G202" s="150">
        <v>13</v>
      </c>
      <c r="H202" s="150">
        <v>8</v>
      </c>
      <c r="I202" s="150">
        <f t="shared" si="3"/>
        <v>24.799876847290641</v>
      </c>
    </row>
    <row r="203" spans="1:9">
      <c r="A203" s="150" t="s">
        <v>440</v>
      </c>
      <c r="B203" s="150" t="s">
        <v>1823</v>
      </c>
      <c r="C203" s="150"/>
      <c r="D203" s="150">
        <v>11</v>
      </c>
      <c r="E203" s="150">
        <v>11</v>
      </c>
      <c r="F203" s="150"/>
      <c r="G203" s="150">
        <v>10</v>
      </c>
      <c r="H203" s="150">
        <v>7.25</v>
      </c>
      <c r="I203" s="150">
        <f t="shared" si="3"/>
        <v>24.692118226600986</v>
      </c>
    </row>
    <row r="204" spans="1:9">
      <c r="A204" s="150" t="s">
        <v>64</v>
      </c>
      <c r="B204" s="150" t="s">
        <v>188</v>
      </c>
      <c r="C204" s="150" t="s">
        <v>1824</v>
      </c>
      <c r="D204" s="150">
        <v>11</v>
      </c>
      <c r="E204" s="150">
        <v>19</v>
      </c>
      <c r="F204" s="150"/>
      <c r="G204" s="150">
        <v>5.65</v>
      </c>
      <c r="H204" s="150">
        <v>3.25</v>
      </c>
      <c r="I204" s="150">
        <f t="shared" si="3"/>
        <v>24.636699507389164</v>
      </c>
    </row>
    <row r="205" spans="1:9">
      <c r="A205" s="150" t="s">
        <v>607</v>
      </c>
      <c r="B205" s="150" t="s">
        <v>438</v>
      </c>
      <c r="C205" s="150" t="s">
        <v>1825</v>
      </c>
      <c r="D205" s="150">
        <v>10</v>
      </c>
      <c r="E205" s="150">
        <v>11</v>
      </c>
      <c r="F205" s="150">
        <v>0</v>
      </c>
      <c r="G205" s="150">
        <v>7.75</v>
      </c>
      <c r="H205" s="150">
        <v>9.1999999999999993</v>
      </c>
      <c r="I205" s="150">
        <f t="shared" si="3"/>
        <v>24.433497536945815</v>
      </c>
    </row>
    <row r="206" spans="1:9">
      <c r="A206" s="150" t="s">
        <v>1826</v>
      </c>
      <c r="B206" s="150" t="s">
        <v>62</v>
      </c>
      <c r="C206" s="150" t="s">
        <v>1827</v>
      </c>
      <c r="D206" s="150">
        <v>5</v>
      </c>
      <c r="E206" s="150">
        <v>14</v>
      </c>
      <c r="F206" s="150">
        <v>1</v>
      </c>
      <c r="G206" s="150">
        <v>4</v>
      </c>
      <c r="H206" s="150">
        <v>8.6999999999999993</v>
      </c>
      <c r="I206" s="150">
        <f t="shared" si="3"/>
        <v>24.341133004926107</v>
      </c>
    </row>
    <row r="207" spans="1:9">
      <c r="A207" s="150" t="s">
        <v>670</v>
      </c>
      <c r="B207" s="150" t="s">
        <v>605</v>
      </c>
      <c r="C207" s="150" t="s">
        <v>1828</v>
      </c>
      <c r="D207" s="150">
        <v>5</v>
      </c>
      <c r="E207" s="150">
        <v>12</v>
      </c>
      <c r="F207" s="150">
        <v>4</v>
      </c>
      <c r="G207" s="150">
        <v>5.5</v>
      </c>
      <c r="H207" s="150">
        <v>6</v>
      </c>
      <c r="I207" s="150">
        <f t="shared" si="3"/>
        <v>24.199507389162562</v>
      </c>
    </row>
    <row r="208" spans="1:9">
      <c r="A208" s="150" t="s">
        <v>679</v>
      </c>
      <c r="B208" s="150" t="s">
        <v>1829</v>
      </c>
      <c r="C208" s="150" t="s">
        <v>1830</v>
      </c>
      <c r="D208" s="150" t="s">
        <v>1687</v>
      </c>
      <c r="E208" s="150">
        <v>8</v>
      </c>
      <c r="F208" s="150">
        <v>2.25</v>
      </c>
      <c r="G208" s="150">
        <v>9.25</v>
      </c>
      <c r="H208" s="150">
        <v>7.8</v>
      </c>
      <c r="I208" s="150">
        <f t="shared" si="3"/>
        <v>23.85006157635468</v>
      </c>
    </row>
    <row r="209" spans="1:9">
      <c r="A209" s="150" t="s">
        <v>331</v>
      </c>
      <c r="B209" s="150" t="s">
        <v>668</v>
      </c>
      <c r="C209" s="150" t="s">
        <v>1831</v>
      </c>
      <c r="D209" s="150">
        <v>10</v>
      </c>
      <c r="E209" s="150">
        <v>9</v>
      </c>
      <c r="F209" s="150">
        <v>1</v>
      </c>
      <c r="G209" s="150">
        <v>10.25</v>
      </c>
      <c r="H209" s="150">
        <v>7</v>
      </c>
      <c r="I209" s="150">
        <f t="shared" si="3"/>
        <v>23.799261083743843</v>
      </c>
    </row>
    <row r="210" spans="1:9">
      <c r="A210" s="150" t="s">
        <v>427</v>
      </c>
      <c r="B210" s="150" t="s">
        <v>677</v>
      </c>
      <c r="C210" s="150" t="s">
        <v>1832</v>
      </c>
      <c r="D210" s="150">
        <v>2</v>
      </c>
      <c r="E210" s="150">
        <v>9</v>
      </c>
      <c r="F210" s="150">
        <v>4.75</v>
      </c>
      <c r="G210" s="150">
        <v>4.75</v>
      </c>
      <c r="H210" s="150">
        <v>8.5</v>
      </c>
      <c r="I210" s="150">
        <f t="shared" si="3"/>
        <v>23.69919950738916</v>
      </c>
    </row>
    <row r="211" spans="1:9">
      <c r="A211" s="150" t="s">
        <v>950</v>
      </c>
      <c r="B211" s="150" t="s">
        <v>329</v>
      </c>
      <c r="C211" s="150" t="s">
        <v>1833</v>
      </c>
      <c r="D211" s="150">
        <v>4</v>
      </c>
      <c r="E211" s="150">
        <v>10</v>
      </c>
      <c r="F211" s="150">
        <v>10</v>
      </c>
      <c r="G211" s="150">
        <v>1.75</v>
      </c>
      <c r="H211" s="150">
        <v>4.5999999999999996</v>
      </c>
      <c r="I211" s="150">
        <f t="shared" si="3"/>
        <v>23.331280788177342</v>
      </c>
    </row>
    <row r="212" spans="1:9">
      <c r="A212" s="150" t="s">
        <v>274</v>
      </c>
      <c r="B212" s="150" t="s">
        <v>948</v>
      </c>
      <c r="C212" s="150" t="s">
        <v>1834</v>
      </c>
      <c r="D212" s="150">
        <v>5</v>
      </c>
      <c r="E212" s="150">
        <v>11</v>
      </c>
      <c r="F212" s="150">
        <v>4</v>
      </c>
      <c r="G212" s="150">
        <v>6.6</v>
      </c>
      <c r="H212" s="150">
        <v>4.6500000000000004</v>
      </c>
      <c r="I212" s="150">
        <f t="shared" si="3"/>
        <v>23.091133004926107</v>
      </c>
    </row>
    <row r="213" spans="1:9">
      <c r="A213" s="150" t="s">
        <v>449</v>
      </c>
      <c r="B213" s="150" t="s">
        <v>425</v>
      </c>
      <c r="C213" s="150" t="s">
        <v>1835</v>
      </c>
      <c r="D213" s="150">
        <v>10</v>
      </c>
      <c r="E213" s="150">
        <v>12</v>
      </c>
      <c r="F213" s="150">
        <v>1</v>
      </c>
      <c r="G213" s="150">
        <v>9</v>
      </c>
      <c r="H213" s="150">
        <v>4.3</v>
      </c>
      <c r="I213" s="150">
        <f t="shared" si="3"/>
        <v>23.072660098522167</v>
      </c>
    </row>
    <row r="214" spans="1:9">
      <c r="A214" s="150" t="s">
        <v>151</v>
      </c>
      <c r="B214" s="150" t="s">
        <v>272</v>
      </c>
      <c r="C214" s="150" t="s">
        <v>1836</v>
      </c>
      <c r="D214" s="150">
        <v>10</v>
      </c>
      <c r="E214" s="150">
        <v>8</v>
      </c>
      <c r="F214" s="150">
        <v>0</v>
      </c>
      <c r="G214" s="150">
        <v>9.75</v>
      </c>
      <c r="H214" s="150">
        <v>8.25</v>
      </c>
      <c r="I214" s="150">
        <f t="shared" si="3"/>
        <v>22.660098522167488</v>
      </c>
    </row>
    <row r="215" spans="1:9">
      <c r="A215" s="150" t="s">
        <v>685</v>
      </c>
      <c r="B215" s="150" t="s">
        <v>149</v>
      </c>
      <c r="C215" s="150" t="s">
        <v>1837</v>
      </c>
      <c r="D215" s="150">
        <v>9</v>
      </c>
      <c r="E215" s="150">
        <v>11</v>
      </c>
      <c r="F215" s="150">
        <v>3.5</v>
      </c>
      <c r="G215" s="150">
        <v>7.5</v>
      </c>
      <c r="H215" s="150">
        <v>3.25</v>
      </c>
      <c r="I215" s="150">
        <f t="shared" si="3"/>
        <v>22.213669950738918</v>
      </c>
    </row>
    <row r="216" spans="1:9">
      <c r="A216" s="150" t="s">
        <v>124</v>
      </c>
      <c r="B216" s="150" t="s">
        <v>447</v>
      </c>
      <c r="C216" s="150" t="s">
        <v>1838</v>
      </c>
      <c r="D216" s="150">
        <v>11</v>
      </c>
      <c r="E216" s="150">
        <v>6</v>
      </c>
      <c r="F216" s="150"/>
      <c r="G216" s="150">
        <v>13.5</v>
      </c>
      <c r="H216" s="150">
        <v>6</v>
      </c>
      <c r="I216" s="150">
        <f t="shared" si="3"/>
        <v>22.167487684729064</v>
      </c>
    </row>
    <row r="217" spans="1:9">
      <c r="A217" s="150">
        <v>9</v>
      </c>
      <c r="B217" s="150" t="s">
        <v>683</v>
      </c>
      <c r="C217" s="150" t="s">
        <v>1839</v>
      </c>
      <c r="D217" s="150">
        <v>3</v>
      </c>
      <c r="E217" s="150">
        <v>8</v>
      </c>
      <c r="F217" s="150">
        <v>3</v>
      </c>
      <c r="G217" s="150">
        <v>7.35</v>
      </c>
      <c r="H217" s="150">
        <v>6.75</v>
      </c>
      <c r="I217" s="150">
        <f t="shared" si="3"/>
        <v>21.976600985221673</v>
      </c>
    </row>
    <row r="218" spans="1:9">
      <c r="A218" s="150" t="s">
        <v>551</v>
      </c>
      <c r="B218" s="150" t="s">
        <v>122</v>
      </c>
      <c r="C218" s="150" t="s">
        <v>1840</v>
      </c>
      <c r="D218" s="150">
        <v>11</v>
      </c>
      <c r="E218" s="150">
        <v>23</v>
      </c>
      <c r="F218" s="150">
        <v>1.5</v>
      </c>
      <c r="G218" s="150"/>
      <c r="H218" s="150"/>
      <c r="I218" s="150">
        <f t="shared" si="3"/>
        <v>21.875</v>
      </c>
    </row>
    <row r="219" spans="1:9">
      <c r="A219" s="150" t="s">
        <v>801</v>
      </c>
      <c r="B219" s="150" t="s">
        <v>1841</v>
      </c>
      <c r="C219" s="150" t="s">
        <v>1842</v>
      </c>
      <c r="D219" s="150" t="s">
        <v>1843</v>
      </c>
      <c r="E219" s="150">
        <v>9</v>
      </c>
      <c r="F219" s="150">
        <v>2.75</v>
      </c>
      <c r="G219" s="150">
        <v>1.75</v>
      </c>
      <c r="H219" s="150">
        <v>11.25</v>
      </c>
      <c r="I219" s="150">
        <f t="shared" si="3"/>
        <v>21.697967980295566</v>
      </c>
    </row>
    <row r="220" spans="1:9">
      <c r="A220" s="150" t="s">
        <v>974</v>
      </c>
      <c r="B220" s="150" t="s">
        <v>1844</v>
      </c>
      <c r="C220" s="150" t="s">
        <v>1845</v>
      </c>
      <c r="D220" s="150" t="s">
        <v>1687</v>
      </c>
      <c r="E220" s="150">
        <v>13</v>
      </c>
      <c r="F220" s="150">
        <v>3.5</v>
      </c>
      <c r="G220" s="150">
        <v>1.25</v>
      </c>
      <c r="H220" s="150">
        <v>6.75</v>
      </c>
      <c r="I220" s="150">
        <f t="shared" si="3"/>
        <v>21.62869458128079</v>
      </c>
    </row>
    <row r="221" spans="1:9">
      <c r="A221" s="150" t="s">
        <v>730</v>
      </c>
      <c r="B221" s="150" t="s">
        <v>549</v>
      </c>
      <c r="C221" s="150" t="s">
        <v>1846</v>
      </c>
      <c r="D221" s="150">
        <v>7</v>
      </c>
      <c r="E221" s="150">
        <v>15</v>
      </c>
      <c r="F221" s="150">
        <v>1</v>
      </c>
      <c r="G221" s="150">
        <v>1</v>
      </c>
      <c r="H221" s="150">
        <v>7.5</v>
      </c>
      <c r="I221" s="150">
        <f t="shared" si="3"/>
        <v>21.61330049261084</v>
      </c>
    </row>
    <row r="222" spans="1:9">
      <c r="A222" s="150" t="s">
        <v>598</v>
      </c>
      <c r="B222" s="150" t="s">
        <v>799</v>
      </c>
      <c r="C222" s="150" t="s">
        <v>1847</v>
      </c>
      <c r="D222" s="150">
        <v>9</v>
      </c>
      <c r="E222" s="150">
        <v>7</v>
      </c>
      <c r="F222" s="150">
        <v>5.5</v>
      </c>
      <c r="G222" s="150">
        <v>7.35</v>
      </c>
      <c r="H222" s="150">
        <v>4.7</v>
      </c>
      <c r="I222" s="150">
        <f t="shared" si="3"/>
        <v>21.548645320197046</v>
      </c>
    </row>
    <row r="223" spans="1:9">
      <c r="A223" s="150" t="s">
        <v>763</v>
      </c>
      <c r="B223" s="150" t="s">
        <v>972</v>
      </c>
      <c r="C223" s="150" t="s">
        <v>1848</v>
      </c>
      <c r="D223" s="150">
        <v>10</v>
      </c>
      <c r="E223" s="150">
        <v>13</v>
      </c>
      <c r="F223" s="150">
        <v>0</v>
      </c>
      <c r="G223" s="150">
        <v>4.25</v>
      </c>
      <c r="H223" s="150">
        <v>7.25</v>
      </c>
      <c r="I223" s="150">
        <f t="shared" si="3"/>
        <v>21.520935960591132</v>
      </c>
    </row>
    <row r="224" spans="1:9">
      <c r="A224" s="150" t="s">
        <v>322</v>
      </c>
      <c r="B224" s="150" t="s">
        <v>728</v>
      </c>
      <c r="C224" s="150" t="s">
        <v>1849</v>
      </c>
      <c r="D224" s="150" t="s">
        <v>1667</v>
      </c>
      <c r="E224" s="150">
        <v>6</v>
      </c>
      <c r="F224" s="150">
        <v>4.5</v>
      </c>
      <c r="G224" s="150">
        <v>10.5</v>
      </c>
      <c r="H224" s="150">
        <v>3</v>
      </c>
      <c r="I224" s="150">
        <f t="shared" si="3"/>
        <v>21.012931034482758</v>
      </c>
    </row>
    <row r="225" spans="1:9">
      <c r="A225" s="150" t="s">
        <v>241</v>
      </c>
      <c r="B225" s="150" t="s">
        <v>596</v>
      </c>
      <c r="C225" s="150" t="s">
        <v>1850</v>
      </c>
      <c r="D225" s="150">
        <v>6</v>
      </c>
      <c r="E225" s="150">
        <v>11</v>
      </c>
      <c r="F225" s="150"/>
      <c r="G225" s="150">
        <v>1</v>
      </c>
      <c r="H225" s="150">
        <v>11.75</v>
      </c>
      <c r="I225" s="150">
        <f t="shared" si="3"/>
        <v>20.812807881773399</v>
      </c>
    </row>
    <row r="226" spans="1:9">
      <c r="A226" s="150" t="s">
        <v>847</v>
      </c>
      <c r="B226" s="150" t="s">
        <v>1851</v>
      </c>
      <c r="C226" s="150" t="s">
        <v>1852</v>
      </c>
      <c r="D226" s="150">
        <v>11</v>
      </c>
      <c r="E226" s="150">
        <v>10</v>
      </c>
      <c r="F226" s="150">
        <v>3</v>
      </c>
      <c r="G226" s="150">
        <v>6.9</v>
      </c>
      <c r="H226" s="150">
        <v>3.35</v>
      </c>
      <c r="I226" s="150">
        <f t="shared" si="3"/>
        <v>20.443349753694584</v>
      </c>
    </row>
    <row r="227" spans="1:9">
      <c r="A227" s="150" t="s">
        <v>33</v>
      </c>
      <c r="B227" s="150" t="s">
        <v>761</v>
      </c>
      <c r="C227" s="150" t="s">
        <v>1853</v>
      </c>
      <c r="D227" s="150">
        <v>11</v>
      </c>
      <c r="E227" s="150">
        <v>6</v>
      </c>
      <c r="F227" s="150"/>
      <c r="G227" s="150">
        <v>10.75</v>
      </c>
      <c r="H227" s="150">
        <v>6.75</v>
      </c>
      <c r="I227" s="150">
        <f t="shared" si="3"/>
        <v>20.44334975369458</v>
      </c>
    </row>
    <row r="228" spans="1:9">
      <c r="A228" s="150" t="s">
        <v>1854</v>
      </c>
      <c r="B228" s="150" t="s">
        <v>239</v>
      </c>
      <c r="C228" s="150" t="s">
        <v>1855</v>
      </c>
      <c r="D228" s="150">
        <v>8</v>
      </c>
      <c r="E228" s="150">
        <v>12</v>
      </c>
      <c r="F228" s="150">
        <v>0.25</v>
      </c>
      <c r="G228" s="150">
        <v>3.75</v>
      </c>
      <c r="H228" s="150">
        <v>7.25</v>
      </c>
      <c r="I228" s="150">
        <f t="shared" si="3"/>
        <v>20.420258620689655</v>
      </c>
    </row>
    <row r="229" spans="1:9">
      <c r="A229" s="150" t="s">
        <v>295</v>
      </c>
      <c r="B229" s="150" t="s">
        <v>845</v>
      </c>
      <c r="C229" s="150" t="s">
        <v>1856</v>
      </c>
      <c r="D229" s="150">
        <v>6</v>
      </c>
      <c r="E229" s="150">
        <v>13</v>
      </c>
      <c r="F229" s="150">
        <v>0.5</v>
      </c>
      <c r="G229" s="150">
        <v>8.25</v>
      </c>
      <c r="H229" s="150">
        <v>1</v>
      </c>
      <c r="I229" s="150">
        <f t="shared" si="3"/>
        <v>20.027709359605911</v>
      </c>
    </row>
    <row r="230" spans="1:9">
      <c r="A230" s="150" t="s">
        <v>554</v>
      </c>
      <c r="B230" s="150" t="s">
        <v>31</v>
      </c>
      <c r="C230" s="150" t="s">
        <v>1857</v>
      </c>
      <c r="D230" s="150">
        <v>4</v>
      </c>
      <c r="E230" s="150">
        <v>12</v>
      </c>
      <c r="F230" s="150">
        <v>0.5</v>
      </c>
      <c r="G230" s="150">
        <v>3.6</v>
      </c>
      <c r="H230" s="150">
        <v>6.5</v>
      </c>
      <c r="I230" s="150">
        <f t="shared" si="3"/>
        <v>19.867610837438427</v>
      </c>
    </row>
    <row r="231" spans="1:9">
      <c r="A231" s="150" t="s">
        <v>968</v>
      </c>
      <c r="B231" s="150" t="s">
        <v>1858</v>
      </c>
      <c r="C231" s="150" t="s">
        <v>1859</v>
      </c>
      <c r="D231" s="150" t="s">
        <v>1687</v>
      </c>
      <c r="E231" s="150">
        <v>8</v>
      </c>
      <c r="F231" s="150">
        <v>4</v>
      </c>
      <c r="G231" s="150">
        <v>0.75</v>
      </c>
      <c r="H231" s="150">
        <v>9.75</v>
      </c>
      <c r="I231" s="150">
        <f t="shared" si="3"/>
        <v>19.766009852216747</v>
      </c>
    </row>
    <row r="232" spans="1:9">
      <c r="A232" s="150" t="s">
        <v>265</v>
      </c>
      <c r="B232" s="150" t="s">
        <v>293</v>
      </c>
      <c r="C232" s="150" t="s">
        <v>1860</v>
      </c>
      <c r="D232" s="150" t="s">
        <v>1667</v>
      </c>
      <c r="E232" s="150">
        <v>9</v>
      </c>
      <c r="F232" s="150">
        <v>3</v>
      </c>
      <c r="G232" s="150">
        <v>8.5500000000000007</v>
      </c>
      <c r="H232" s="150">
        <v>1.45</v>
      </c>
      <c r="I232" s="150">
        <f t="shared" si="3"/>
        <v>19.334975369458128</v>
      </c>
    </row>
    <row r="233" spans="1:9">
      <c r="A233" s="150" t="s">
        <v>658</v>
      </c>
      <c r="B233" s="150" t="s">
        <v>552</v>
      </c>
      <c r="C233" s="150" t="s">
        <v>1861</v>
      </c>
      <c r="D233" s="150">
        <v>8</v>
      </c>
      <c r="E233" s="150">
        <v>8</v>
      </c>
      <c r="F233" s="150">
        <v>3.5</v>
      </c>
      <c r="G233" s="150">
        <v>3.4</v>
      </c>
      <c r="H233" s="150">
        <v>6.35</v>
      </c>
      <c r="I233" s="150">
        <f t="shared" si="3"/>
        <v>18.673029556650246</v>
      </c>
    </row>
    <row r="234" spans="1:9">
      <c r="A234" s="150" t="s">
        <v>488</v>
      </c>
      <c r="B234" s="150" t="s">
        <v>966</v>
      </c>
      <c r="C234" s="150" t="s">
        <v>1862</v>
      </c>
      <c r="D234" s="150">
        <v>5</v>
      </c>
      <c r="E234" s="150">
        <v>12</v>
      </c>
      <c r="F234" s="150">
        <v>1.5</v>
      </c>
      <c r="G234" s="150">
        <v>0.25</v>
      </c>
      <c r="H234" s="150">
        <v>7.25</v>
      </c>
      <c r="I234" s="150">
        <f t="shared" si="3"/>
        <v>18.51908866995074</v>
      </c>
    </row>
    <row r="235" spans="1:9">
      <c r="A235" s="150" t="s">
        <v>391</v>
      </c>
      <c r="B235" s="150" t="s">
        <v>656</v>
      </c>
      <c r="C235" s="150" t="s">
        <v>1863</v>
      </c>
      <c r="D235" s="150">
        <v>9</v>
      </c>
      <c r="E235" s="150">
        <v>13</v>
      </c>
      <c r="F235" s="150">
        <v>1.5</v>
      </c>
      <c r="G235" s="150">
        <v>4.5</v>
      </c>
      <c r="H235" s="150">
        <v>1.85</v>
      </c>
      <c r="I235" s="150">
        <f t="shared" si="3"/>
        <v>18.420566502463053</v>
      </c>
    </row>
    <row r="236" spans="1:9">
      <c r="A236" s="150" t="s">
        <v>256</v>
      </c>
      <c r="B236" s="150" t="s">
        <v>263</v>
      </c>
      <c r="C236" s="150" t="s">
        <v>1864</v>
      </c>
      <c r="D236" s="150" t="s">
        <v>1667</v>
      </c>
      <c r="E236" s="150">
        <v>8</v>
      </c>
      <c r="F236" s="150">
        <v>2</v>
      </c>
      <c r="G236" s="150">
        <v>7.45</v>
      </c>
      <c r="H236" s="150">
        <v>3.5</v>
      </c>
      <c r="I236" s="150">
        <f t="shared" si="3"/>
        <v>18.368226600985224</v>
      </c>
    </row>
    <row r="237" spans="1:9">
      <c r="A237" s="150" t="s">
        <v>718</v>
      </c>
      <c r="B237" s="150" t="s">
        <v>486</v>
      </c>
      <c r="C237" s="150" t="s">
        <v>1865</v>
      </c>
      <c r="D237" s="150">
        <v>2</v>
      </c>
      <c r="E237" s="150">
        <v>10</v>
      </c>
      <c r="F237" s="150">
        <v>8</v>
      </c>
      <c r="G237" s="150">
        <v>2</v>
      </c>
      <c r="H237" s="150">
        <v>0.5</v>
      </c>
      <c r="I237" s="150">
        <f t="shared" si="3"/>
        <v>18.226600985221676</v>
      </c>
    </row>
    <row r="238" spans="1:9">
      <c r="A238" s="150" t="s">
        <v>304</v>
      </c>
      <c r="B238" s="150" t="s">
        <v>389</v>
      </c>
      <c r="C238" s="150" t="s">
        <v>1866</v>
      </c>
      <c r="D238" s="150">
        <v>9</v>
      </c>
      <c r="E238" s="150">
        <v>5</v>
      </c>
      <c r="F238" s="150">
        <v>7.5</v>
      </c>
      <c r="G238" s="150">
        <v>3</v>
      </c>
      <c r="H238" s="150">
        <v>4.5</v>
      </c>
      <c r="I238" s="150">
        <f t="shared" si="3"/>
        <v>17.626231527093598</v>
      </c>
    </row>
    <row r="239" spans="1:9">
      <c r="A239" s="150" t="s">
        <v>640</v>
      </c>
      <c r="B239" s="150" t="s">
        <v>254</v>
      </c>
      <c r="C239" s="150" t="s">
        <v>1867</v>
      </c>
      <c r="D239" s="150">
        <v>2</v>
      </c>
      <c r="E239" s="150">
        <v>10</v>
      </c>
      <c r="F239" s="150">
        <v>0.5</v>
      </c>
      <c r="G239" s="150">
        <v>5.75</v>
      </c>
      <c r="H239" s="150">
        <v>3.75</v>
      </c>
      <c r="I239" s="150">
        <f t="shared" si="3"/>
        <v>17.564655172413794</v>
      </c>
    </row>
    <row r="240" spans="1:9">
      <c r="A240" s="150" t="s">
        <v>262</v>
      </c>
      <c r="B240" s="150" t="s">
        <v>302</v>
      </c>
      <c r="C240" s="150" t="s">
        <v>1868</v>
      </c>
      <c r="D240" s="150" t="s">
        <v>1667</v>
      </c>
      <c r="E240" s="150">
        <v>9</v>
      </c>
      <c r="F240" s="150">
        <v>3</v>
      </c>
      <c r="G240" s="150">
        <v>3.25</v>
      </c>
      <c r="H240" s="150">
        <v>4</v>
      </c>
      <c r="I240" s="150">
        <f t="shared" si="3"/>
        <v>16.964285714285715</v>
      </c>
    </row>
    <row r="241" spans="1:9">
      <c r="A241" s="150" t="s">
        <v>667</v>
      </c>
      <c r="B241" s="150" t="s">
        <v>638</v>
      </c>
      <c r="C241" s="150" t="s">
        <v>1869</v>
      </c>
      <c r="D241" s="150">
        <v>10</v>
      </c>
      <c r="E241" s="150">
        <v>12</v>
      </c>
      <c r="F241" s="150">
        <v>0.5</v>
      </c>
      <c r="G241" s="150">
        <v>2.5</v>
      </c>
      <c r="H241" s="150">
        <v>4.0999999999999996</v>
      </c>
      <c r="I241" s="150">
        <f t="shared" si="3"/>
        <v>16.850369458128078</v>
      </c>
    </row>
    <row r="242" spans="1:9">
      <c r="A242" s="150" t="s">
        <v>220</v>
      </c>
      <c r="B242" s="150" t="s">
        <v>260</v>
      </c>
      <c r="C242" s="150" t="s">
        <v>1870</v>
      </c>
      <c r="D242" s="150">
        <v>6</v>
      </c>
      <c r="E242" s="150">
        <v>7</v>
      </c>
      <c r="F242" s="150">
        <v>2.5</v>
      </c>
      <c r="G242" s="150">
        <v>6.05</v>
      </c>
      <c r="H242" s="150">
        <v>3.5</v>
      </c>
      <c r="I242" s="150">
        <f t="shared" si="3"/>
        <v>16.714901477832512</v>
      </c>
    </row>
    <row r="243" spans="1:9">
      <c r="A243" s="150" t="s">
        <v>863</v>
      </c>
      <c r="B243" s="150" t="s">
        <v>665</v>
      </c>
      <c r="C243" s="150" t="s">
        <v>1871</v>
      </c>
      <c r="D243" s="150">
        <v>11</v>
      </c>
      <c r="E243" s="150">
        <v>5</v>
      </c>
      <c r="F243" s="150">
        <v>0.25</v>
      </c>
      <c r="G243" s="150">
        <v>8.75</v>
      </c>
      <c r="H243" s="150">
        <v>5</v>
      </c>
      <c r="I243" s="150">
        <f t="shared" si="3"/>
        <v>16.540948275862071</v>
      </c>
    </row>
    <row r="244" spans="1:9">
      <c r="A244" s="150" t="s">
        <v>917</v>
      </c>
      <c r="B244" s="150" t="s">
        <v>218</v>
      </c>
      <c r="C244" s="150" t="s">
        <v>1872</v>
      </c>
      <c r="D244" s="150">
        <v>2</v>
      </c>
      <c r="E244" s="150">
        <v>9</v>
      </c>
      <c r="F244" s="150">
        <v>3</v>
      </c>
      <c r="G244" s="150">
        <v>4.75</v>
      </c>
      <c r="H244" s="150">
        <v>2</v>
      </c>
      <c r="I244" s="150">
        <f t="shared" si="3"/>
        <v>16.533251231527093</v>
      </c>
    </row>
    <row r="245" spans="1:9">
      <c r="A245" s="150" t="s">
        <v>869</v>
      </c>
      <c r="B245" s="150" t="s">
        <v>861</v>
      </c>
      <c r="C245" s="150" t="s">
        <v>1873</v>
      </c>
      <c r="D245" s="150" t="s">
        <v>1667</v>
      </c>
      <c r="E245" s="150">
        <v>7</v>
      </c>
      <c r="F245" s="150">
        <v>3.5</v>
      </c>
      <c r="G245" s="150">
        <v>7.7</v>
      </c>
      <c r="H245" s="150">
        <v>0.5</v>
      </c>
      <c r="I245" s="150">
        <f t="shared" si="3"/>
        <v>16.443965517241377</v>
      </c>
    </row>
    <row r="246" spans="1:9">
      <c r="A246" s="150" t="s">
        <v>661</v>
      </c>
      <c r="B246" s="150" t="s">
        <v>915</v>
      </c>
      <c r="C246" s="150" t="s">
        <v>1874</v>
      </c>
      <c r="D246" s="150">
        <v>9</v>
      </c>
      <c r="E246" s="150">
        <v>7</v>
      </c>
      <c r="F246" s="150">
        <v>2</v>
      </c>
      <c r="G246" s="150">
        <v>6.55</v>
      </c>
      <c r="H246" s="150">
        <v>3</v>
      </c>
      <c r="I246" s="150">
        <f t="shared" si="3"/>
        <v>16.268472906403943</v>
      </c>
    </row>
    <row r="247" spans="1:9">
      <c r="A247" s="150" t="s">
        <v>497</v>
      </c>
      <c r="B247" s="150" t="s">
        <v>867</v>
      </c>
      <c r="C247" s="150" t="s">
        <v>1875</v>
      </c>
      <c r="D247" s="150">
        <v>5</v>
      </c>
      <c r="E247" s="150">
        <v>12</v>
      </c>
      <c r="F247" s="150">
        <v>0.5</v>
      </c>
      <c r="G247" s="150">
        <v>3</v>
      </c>
      <c r="H247" s="150">
        <v>2.5</v>
      </c>
      <c r="I247" s="150">
        <f t="shared" si="3"/>
        <v>15.902093596059114</v>
      </c>
    </row>
    <row r="248" spans="1:9">
      <c r="A248" s="150" t="s">
        <v>1876</v>
      </c>
      <c r="B248" s="150" t="s">
        <v>659</v>
      </c>
      <c r="C248" s="150" t="s">
        <v>1877</v>
      </c>
      <c r="D248" s="150">
        <v>9</v>
      </c>
      <c r="E248" s="150">
        <v>11</v>
      </c>
      <c r="F248" s="150">
        <v>2.5</v>
      </c>
      <c r="G248" s="150">
        <v>1.5</v>
      </c>
      <c r="H248" s="150">
        <v>2.7</v>
      </c>
      <c r="I248" s="150">
        <f t="shared" si="3"/>
        <v>15.674261083743843</v>
      </c>
    </row>
    <row r="249" spans="1:9">
      <c r="A249" s="150" t="s">
        <v>745</v>
      </c>
      <c r="B249" s="150" t="s">
        <v>495</v>
      </c>
      <c r="C249" s="150" t="s">
        <v>1878</v>
      </c>
      <c r="D249" s="150">
        <v>5</v>
      </c>
      <c r="E249" s="150">
        <v>8</v>
      </c>
      <c r="F249" s="150">
        <v>0.25</v>
      </c>
      <c r="G249" s="150">
        <v>9</v>
      </c>
      <c r="H249" s="150">
        <v>0.5</v>
      </c>
      <c r="I249" s="150">
        <f t="shared" si="3"/>
        <v>15.555726600985222</v>
      </c>
    </row>
    <row r="250" spans="1:9">
      <c r="A250" s="150" t="s">
        <v>676</v>
      </c>
      <c r="B250" s="150" t="s">
        <v>1879</v>
      </c>
      <c r="C250" s="150" t="s">
        <v>1880</v>
      </c>
      <c r="D250" s="150">
        <v>11</v>
      </c>
      <c r="E250" s="150">
        <v>4</v>
      </c>
      <c r="F250" s="150">
        <v>3</v>
      </c>
      <c r="G250" s="150">
        <v>4.5</v>
      </c>
      <c r="H250" s="150">
        <v>6.25</v>
      </c>
      <c r="I250" s="150">
        <f t="shared" si="3"/>
        <v>15.517241379310345</v>
      </c>
    </row>
    <row r="251" spans="1:9">
      <c r="A251" s="150" t="s">
        <v>832</v>
      </c>
      <c r="B251" s="150" t="s">
        <v>743</v>
      </c>
      <c r="C251" s="150" t="s">
        <v>1881</v>
      </c>
      <c r="D251" s="150">
        <v>8</v>
      </c>
      <c r="E251" s="150">
        <v>9</v>
      </c>
      <c r="F251" s="150">
        <v>2.5</v>
      </c>
      <c r="G251" s="150">
        <v>2.5</v>
      </c>
      <c r="H251" s="150">
        <v>3.25</v>
      </c>
      <c r="I251" s="150">
        <f t="shared" si="3"/>
        <v>15.224753694581281</v>
      </c>
    </row>
    <row r="252" spans="1:9">
      <c r="A252" s="150" t="s">
        <v>112</v>
      </c>
      <c r="B252" s="150" t="s">
        <v>830</v>
      </c>
      <c r="C252" s="150" t="s">
        <v>1882</v>
      </c>
      <c r="D252" s="150">
        <v>9</v>
      </c>
      <c r="E252" s="150">
        <v>14</v>
      </c>
      <c r="F252" s="150">
        <v>1</v>
      </c>
      <c r="G252" s="150">
        <v>1.5</v>
      </c>
      <c r="H252" s="150">
        <v>0.25</v>
      </c>
      <c r="I252" s="150">
        <f t="shared" si="3"/>
        <v>14.901477832512315</v>
      </c>
    </row>
    <row r="253" spans="1:9">
      <c r="A253" s="150" t="s">
        <v>470</v>
      </c>
      <c r="B253" s="150" t="s">
        <v>674</v>
      </c>
      <c r="C253" s="150" t="s">
        <v>1883</v>
      </c>
      <c r="D253" s="150">
        <v>5</v>
      </c>
      <c r="E253" s="150">
        <v>9</v>
      </c>
      <c r="F253" s="150">
        <v>2.5</v>
      </c>
      <c r="G253" s="150">
        <v>1.25</v>
      </c>
      <c r="H253" s="150">
        <v>4.0999999999999996</v>
      </c>
      <c r="I253" s="150">
        <f t="shared" si="3"/>
        <v>14.879926108374384</v>
      </c>
    </row>
    <row r="254" spans="1:9">
      <c r="A254" s="150" t="s">
        <v>500</v>
      </c>
      <c r="B254" s="150" t="s">
        <v>2080</v>
      </c>
      <c r="C254" s="150" t="s">
        <v>1884</v>
      </c>
      <c r="D254" s="150" t="s">
        <v>1667</v>
      </c>
      <c r="E254" s="150">
        <v>9</v>
      </c>
      <c r="F254" s="150">
        <v>0.5</v>
      </c>
      <c r="G254" s="150">
        <v>2.75</v>
      </c>
      <c r="H254" s="150">
        <v>4.25</v>
      </c>
      <c r="I254" s="150">
        <f t="shared" si="3"/>
        <v>14.516625615763548</v>
      </c>
    </row>
    <row r="255" spans="1:9">
      <c r="A255" s="150" t="s">
        <v>542</v>
      </c>
      <c r="B255" s="150" t="s">
        <v>468</v>
      </c>
      <c r="C255" s="150" t="s">
        <v>1885</v>
      </c>
      <c r="D255" s="150">
        <v>9</v>
      </c>
      <c r="E255" s="150">
        <v>7</v>
      </c>
      <c r="F255" s="150">
        <v>2</v>
      </c>
      <c r="G255" s="150">
        <v>1.5</v>
      </c>
      <c r="H255" s="150">
        <v>6</v>
      </c>
      <c r="I255" s="150">
        <f t="shared" si="3"/>
        <v>14.501231527093598</v>
      </c>
    </row>
    <row r="256" spans="1:9">
      <c r="A256" s="150" t="s">
        <v>592</v>
      </c>
      <c r="B256" s="150" t="s">
        <v>498</v>
      </c>
      <c r="C256" s="150" t="s">
        <v>1886</v>
      </c>
      <c r="D256" s="150">
        <v>5</v>
      </c>
      <c r="E256" s="150">
        <v>10</v>
      </c>
      <c r="F256" s="150">
        <v>1.5</v>
      </c>
      <c r="G256" s="150">
        <v>4.75</v>
      </c>
      <c r="H256" s="150">
        <v>0</v>
      </c>
      <c r="I256" s="150">
        <f t="shared" si="3"/>
        <v>14.362684729064039</v>
      </c>
    </row>
    <row r="257" spans="1:9">
      <c r="A257" s="150" t="s">
        <v>1887</v>
      </c>
      <c r="B257" s="150" t="s">
        <v>540</v>
      </c>
      <c r="C257" s="150" t="s">
        <v>1888</v>
      </c>
      <c r="D257" s="150">
        <v>1</v>
      </c>
      <c r="E257" s="150">
        <v>11</v>
      </c>
      <c r="F257" s="150">
        <v>3</v>
      </c>
      <c r="G257" s="150">
        <v>2</v>
      </c>
      <c r="H257" s="150"/>
      <c r="I257" s="150">
        <f t="shared" si="3"/>
        <v>14.224137931034482</v>
      </c>
    </row>
    <row r="258" spans="1:9">
      <c r="A258" s="150" t="s">
        <v>616</v>
      </c>
      <c r="B258" s="150" t="s">
        <v>590</v>
      </c>
      <c r="C258" s="150" t="s">
        <v>1889</v>
      </c>
      <c r="D258" s="150">
        <v>4</v>
      </c>
      <c r="E258" s="150">
        <v>10</v>
      </c>
      <c r="F258" s="150"/>
      <c r="G258" s="150">
        <v>1</v>
      </c>
      <c r="H258" s="150">
        <v>5</v>
      </c>
      <c r="I258" s="150">
        <f t="shared" si="3"/>
        <v>14.100985221674877</v>
      </c>
    </row>
    <row r="259" spans="1:9">
      <c r="A259" s="150" t="s">
        <v>337</v>
      </c>
      <c r="B259" s="150" t="s">
        <v>614</v>
      </c>
      <c r="C259" s="150" t="s">
        <v>1890</v>
      </c>
      <c r="D259" s="150">
        <v>2</v>
      </c>
      <c r="E259" s="150">
        <v>5</v>
      </c>
      <c r="F259" s="150">
        <v>2.5</v>
      </c>
      <c r="G259" s="150">
        <v>1.75</v>
      </c>
      <c r="H259" s="150">
        <v>6</v>
      </c>
      <c r="I259" s="150">
        <f t="shared" si="3"/>
        <v>13.377463054187192</v>
      </c>
    </row>
    <row r="260" spans="1:9">
      <c r="A260" s="150" t="s">
        <v>785</v>
      </c>
      <c r="B260" s="150" t="s">
        <v>335</v>
      </c>
      <c r="C260" s="150" t="s">
        <v>1891</v>
      </c>
      <c r="D260" s="150">
        <v>11</v>
      </c>
      <c r="E260" s="150">
        <v>11</v>
      </c>
      <c r="F260" s="150">
        <v>1</v>
      </c>
      <c r="G260" s="150">
        <v>3</v>
      </c>
      <c r="H260" s="150"/>
      <c r="I260" s="150">
        <f t="shared" si="3"/>
        <v>13.300492610837438</v>
      </c>
    </row>
    <row r="261" spans="1:9">
      <c r="A261" s="150" t="s">
        <v>169</v>
      </c>
      <c r="B261" s="150" t="s">
        <v>1892</v>
      </c>
      <c r="C261" s="150" t="s">
        <v>1893</v>
      </c>
      <c r="D261" s="150">
        <v>8</v>
      </c>
      <c r="E261" s="150">
        <v>6</v>
      </c>
      <c r="F261" s="150">
        <v>2</v>
      </c>
      <c r="G261" s="150">
        <v>6.75</v>
      </c>
      <c r="H261" s="150">
        <v>0</v>
      </c>
      <c r="I261" s="150">
        <f t="shared" si="3"/>
        <v>12.961822660098523</v>
      </c>
    </row>
    <row r="262" spans="1:9">
      <c r="A262" s="150" t="s">
        <v>844</v>
      </c>
      <c r="B262" s="150" t="s">
        <v>167</v>
      </c>
      <c r="C262" s="150" t="s">
        <v>1894</v>
      </c>
      <c r="D262" s="150">
        <v>11</v>
      </c>
      <c r="E262" s="150">
        <v>11</v>
      </c>
      <c r="F262" s="150">
        <v>2.5</v>
      </c>
      <c r="G262" s="150">
        <v>1</v>
      </c>
      <c r="H262" s="150">
        <v>0</v>
      </c>
      <c r="I262" s="150">
        <f t="shared" ref="I262:I325" si="4">(E262+F262)*50/56+(G262+H262)*50/58</f>
        <v>12.915640394088671</v>
      </c>
    </row>
    <row r="263" spans="1:9">
      <c r="A263" s="150" t="s">
        <v>652</v>
      </c>
      <c r="B263" s="150" t="s">
        <v>1895</v>
      </c>
      <c r="C263" s="150" t="s">
        <v>1896</v>
      </c>
      <c r="D263" s="150">
        <v>10</v>
      </c>
      <c r="E263" s="150">
        <v>8</v>
      </c>
      <c r="F263" s="150">
        <v>2</v>
      </c>
      <c r="G263" s="150">
        <v>2.75</v>
      </c>
      <c r="H263" s="150">
        <v>1.75</v>
      </c>
      <c r="I263" s="150">
        <f t="shared" si="4"/>
        <v>12.807881773399014</v>
      </c>
    </row>
    <row r="264" spans="1:9">
      <c r="A264" s="150" t="s">
        <v>813</v>
      </c>
      <c r="B264" s="150" t="s">
        <v>650</v>
      </c>
      <c r="C264" s="150" t="s">
        <v>1897</v>
      </c>
      <c r="D264" s="150">
        <v>8</v>
      </c>
      <c r="E264" s="150">
        <v>5</v>
      </c>
      <c r="F264" s="150">
        <v>2</v>
      </c>
      <c r="G264" s="150">
        <v>3.75</v>
      </c>
      <c r="H264" s="150">
        <v>3.75</v>
      </c>
      <c r="I264" s="150">
        <f t="shared" si="4"/>
        <v>12.71551724137931</v>
      </c>
    </row>
    <row r="265" spans="1:9">
      <c r="A265" s="150" t="s">
        <v>70</v>
      </c>
      <c r="B265" s="150" t="s">
        <v>68</v>
      </c>
      <c r="C265" s="150" t="s">
        <v>1898</v>
      </c>
      <c r="D265" s="150">
        <v>10</v>
      </c>
      <c r="E265" s="150">
        <v>11</v>
      </c>
      <c r="F265" s="150">
        <v>3</v>
      </c>
      <c r="G265" s="150">
        <v>0.25</v>
      </c>
      <c r="H265" s="150">
        <v>0</v>
      </c>
      <c r="I265" s="150">
        <f t="shared" si="4"/>
        <v>12.71551724137931</v>
      </c>
    </row>
    <row r="266" spans="1:9">
      <c r="A266" s="150" t="s">
        <v>181</v>
      </c>
      <c r="B266" s="150" t="s">
        <v>179</v>
      </c>
      <c r="C266" s="150" t="s">
        <v>1899</v>
      </c>
      <c r="D266" s="150">
        <v>8</v>
      </c>
      <c r="E266" s="150">
        <v>12</v>
      </c>
      <c r="F266" s="150"/>
      <c r="G266" s="150">
        <v>2.25</v>
      </c>
      <c r="H266" s="150">
        <v>0</v>
      </c>
      <c r="I266" s="150">
        <f t="shared" si="4"/>
        <v>12.653940886699507</v>
      </c>
    </row>
    <row r="267" spans="1:9">
      <c r="A267" s="150" t="s">
        <v>721</v>
      </c>
      <c r="B267" s="150" t="s">
        <v>719</v>
      </c>
      <c r="C267" s="150" t="s">
        <v>1900</v>
      </c>
      <c r="D267" s="150">
        <v>11</v>
      </c>
      <c r="E267" s="150">
        <v>10</v>
      </c>
      <c r="F267" s="150">
        <v>0.5</v>
      </c>
      <c r="G267" s="150">
        <v>3.25</v>
      </c>
      <c r="H267" s="150">
        <v>0.5</v>
      </c>
      <c r="I267" s="150">
        <f t="shared" si="4"/>
        <v>12.607758620689655</v>
      </c>
    </row>
    <row r="268" spans="1:9">
      <c r="A268" s="150" t="s">
        <v>631</v>
      </c>
      <c r="B268" s="150" t="s">
        <v>629</v>
      </c>
      <c r="C268" s="150" t="s">
        <v>1901</v>
      </c>
      <c r="D268" s="150">
        <v>6</v>
      </c>
      <c r="E268" s="150">
        <v>7</v>
      </c>
      <c r="F268" s="150">
        <v>1</v>
      </c>
      <c r="G268" s="150">
        <v>1.5</v>
      </c>
      <c r="H268" s="150">
        <v>4.75</v>
      </c>
      <c r="I268" s="150">
        <f t="shared" si="4"/>
        <v>12.530788177339902</v>
      </c>
    </row>
    <row r="269" spans="1:9">
      <c r="A269" s="150" t="s">
        <v>116</v>
      </c>
      <c r="B269" s="150" t="s">
        <v>114</v>
      </c>
      <c r="C269" s="150" t="s">
        <v>1902</v>
      </c>
      <c r="D269" s="150">
        <v>5</v>
      </c>
      <c r="E269" s="150">
        <v>11</v>
      </c>
      <c r="F269" s="150">
        <v>1</v>
      </c>
      <c r="G269" s="150">
        <v>0.5</v>
      </c>
      <c r="H269" s="150">
        <v>1.25</v>
      </c>
      <c r="I269" s="150">
        <f t="shared" si="4"/>
        <v>12.222906403940886</v>
      </c>
    </row>
    <row r="270" spans="1:9">
      <c r="A270" s="150" t="s">
        <v>595</v>
      </c>
      <c r="B270" s="150" t="s">
        <v>593</v>
      </c>
      <c r="C270" s="150" t="s">
        <v>1903</v>
      </c>
      <c r="D270" s="150">
        <v>10</v>
      </c>
      <c r="E270" s="150">
        <v>9</v>
      </c>
      <c r="F270" s="150">
        <v>0</v>
      </c>
      <c r="G270" s="150">
        <v>4.75</v>
      </c>
      <c r="H270" s="150">
        <v>0</v>
      </c>
      <c r="I270" s="150">
        <f t="shared" si="4"/>
        <v>12.130541871921183</v>
      </c>
    </row>
    <row r="271" spans="1:9">
      <c r="A271" s="150" t="s">
        <v>437</v>
      </c>
      <c r="B271" s="150" t="s">
        <v>435</v>
      </c>
      <c r="C271" s="150" t="s">
        <v>1904</v>
      </c>
      <c r="D271" s="150">
        <v>1</v>
      </c>
      <c r="E271" s="150">
        <v>5</v>
      </c>
      <c r="F271" s="150">
        <v>2.5</v>
      </c>
      <c r="G271" s="150">
        <v>5</v>
      </c>
      <c r="H271" s="150">
        <v>1.25</v>
      </c>
      <c r="I271" s="150">
        <f t="shared" si="4"/>
        <v>12.084359605911331</v>
      </c>
    </row>
    <row r="272" spans="1:9">
      <c r="A272" s="150" t="s">
        <v>835</v>
      </c>
      <c r="B272" s="150" t="s">
        <v>833</v>
      </c>
      <c r="C272" s="150" t="s">
        <v>1905</v>
      </c>
      <c r="D272" s="150">
        <v>10</v>
      </c>
      <c r="E272" s="150">
        <v>7</v>
      </c>
      <c r="F272" s="150">
        <v>0.5</v>
      </c>
      <c r="G272" s="150">
        <v>1.25</v>
      </c>
      <c r="H272" s="150">
        <v>4.75</v>
      </c>
      <c r="I272" s="150">
        <f t="shared" si="4"/>
        <v>11.86884236453202</v>
      </c>
    </row>
    <row r="273" spans="1:9">
      <c r="A273" s="150" t="s">
        <v>860</v>
      </c>
      <c r="B273" s="150" t="s">
        <v>1906</v>
      </c>
      <c r="C273" s="150" t="s">
        <v>1907</v>
      </c>
      <c r="D273" s="150">
        <v>1</v>
      </c>
      <c r="E273" s="150">
        <v>11</v>
      </c>
      <c r="F273" s="150">
        <v>0.5</v>
      </c>
      <c r="G273" s="150">
        <v>1.75</v>
      </c>
      <c r="H273" s="150"/>
      <c r="I273" s="150">
        <f t="shared" si="4"/>
        <v>11.776477832512315</v>
      </c>
    </row>
    <row r="274" spans="1:9">
      <c r="A274" s="150" t="s">
        <v>908</v>
      </c>
      <c r="B274" s="150" t="s">
        <v>906</v>
      </c>
      <c r="C274" s="150" t="s">
        <v>1908</v>
      </c>
      <c r="D274" s="150">
        <v>11</v>
      </c>
      <c r="E274" s="150">
        <v>8</v>
      </c>
      <c r="F274" s="150">
        <v>0</v>
      </c>
      <c r="G274" s="150">
        <v>3.25</v>
      </c>
      <c r="H274" s="150">
        <v>2</v>
      </c>
      <c r="I274" s="150">
        <f t="shared" si="4"/>
        <v>11.66871921182266</v>
      </c>
    </row>
    <row r="275" spans="1:9">
      <c r="A275" s="150" t="s">
        <v>515</v>
      </c>
      <c r="B275" s="150" t="s">
        <v>513</v>
      </c>
      <c r="C275" s="150" t="s">
        <v>1909</v>
      </c>
      <c r="D275" s="150">
        <v>9</v>
      </c>
      <c r="E275" s="150">
        <v>13</v>
      </c>
      <c r="F275" s="150">
        <v>0</v>
      </c>
      <c r="G275" s="150"/>
      <c r="H275" s="150"/>
      <c r="I275" s="150">
        <f t="shared" si="4"/>
        <v>11.607142857142858</v>
      </c>
    </row>
    <row r="276" spans="1:9">
      <c r="A276" s="150" t="s">
        <v>817</v>
      </c>
      <c r="B276" s="150" t="s">
        <v>814</v>
      </c>
      <c r="C276" s="150" t="s">
        <v>1910</v>
      </c>
      <c r="D276" s="150">
        <v>7</v>
      </c>
      <c r="E276" s="150">
        <v>13</v>
      </c>
      <c r="F276" s="150">
        <v>0</v>
      </c>
      <c r="G276" s="150"/>
      <c r="H276" s="150"/>
      <c r="I276" s="150">
        <f t="shared" si="4"/>
        <v>11.607142857142858</v>
      </c>
    </row>
    <row r="277" spans="1:9">
      <c r="A277" s="150" t="s">
        <v>866</v>
      </c>
      <c r="B277" s="150" t="s">
        <v>864</v>
      </c>
      <c r="C277" s="150" t="s">
        <v>1911</v>
      </c>
      <c r="D277" s="150">
        <v>11</v>
      </c>
      <c r="E277" s="150">
        <v>12</v>
      </c>
      <c r="F277" s="150">
        <v>0.5</v>
      </c>
      <c r="G277" s="150">
        <v>0</v>
      </c>
      <c r="H277" s="150">
        <v>0.5</v>
      </c>
      <c r="I277" s="150">
        <f t="shared" si="4"/>
        <v>11.591748768472907</v>
      </c>
    </row>
    <row r="278" spans="1:9">
      <c r="A278" s="150" t="s">
        <v>798</v>
      </c>
      <c r="B278" s="150" t="s">
        <v>796</v>
      </c>
      <c r="C278" s="150" t="s">
        <v>1912</v>
      </c>
      <c r="D278" s="150">
        <v>2</v>
      </c>
      <c r="E278" s="150">
        <v>7</v>
      </c>
      <c r="F278" s="150">
        <v>1</v>
      </c>
      <c r="G278" s="150">
        <v>4.75</v>
      </c>
      <c r="H278" s="150">
        <v>0</v>
      </c>
      <c r="I278" s="150">
        <f t="shared" si="4"/>
        <v>11.237684729064039</v>
      </c>
    </row>
    <row r="279" spans="1:9">
      <c r="A279" s="150" t="s">
        <v>1913</v>
      </c>
      <c r="B279" s="150" t="s">
        <v>1914</v>
      </c>
      <c r="C279" s="150" t="s">
        <v>1915</v>
      </c>
      <c r="D279" s="150">
        <v>9</v>
      </c>
      <c r="E279" s="150">
        <v>7</v>
      </c>
      <c r="F279" s="150">
        <v>0.5</v>
      </c>
      <c r="G279" s="150">
        <v>2.25</v>
      </c>
      <c r="H279" s="150">
        <v>2.9</v>
      </c>
      <c r="I279" s="150">
        <f t="shared" si="4"/>
        <v>11.136083743842363</v>
      </c>
    </row>
    <row r="280" spans="1:9">
      <c r="A280" s="150" t="s">
        <v>244</v>
      </c>
      <c r="B280" s="150" t="s">
        <v>242</v>
      </c>
      <c r="C280" s="150" t="s">
        <v>1916</v>
      </c>
      <c r="D280" s="150">
        <v>2</v>
      </c>
      <c r="E280" s="150">
        <v>6</v>
      </c>
      <c r="F280" s="150">
        <v>1</v>
      </c>
      <c r="G280" s="150">
        <v>2</v>
      </c>
      <c r="H280" s="150">
        <v>3.5</v>
      </c>
      <c r="I280" s="150">
        <f t="shared" si="4"/>
        <v>10.991379310344827</v>
      </c>
    </row>
    <row r="281" spans="1:9">
      <c r="A281" s="150" t="s">
        <v>491</v>
      </c>
      <c r="B281" s="150" t="s">
        <v>489</v>
      </c>
      <c r="C281" s="150" t="s">
        <v>1917</v>
      </c>
      <c r="D281" s="150">
        <v>9</v>
      </c>
      <c r="E281" s="150">
        <v>11</v>
      </c>
      <c r="F281" s="150">
        <v>0.5</v>
      </c>
      <c r="G281" s="150">
        <v>0.5</v>
      </c>
      <c r="H281" s="150">
        <v>0.25</v>
      </c>
      <c r="I281" s="150">
        <f t="shared" si="4"/>
        <v>10.914408866995073</v>
      </c>
    </row>
    <row r="282" spans="1:9">
      <c r="A282" s="150" t="s">
        <v>569</v>
      </c>
      <c r="B282" s="150" t="s">
        <v>567</v>
      </c>
      <c r="C282" s="150" t="s">
        <v>1918</v>
      </c>
      <c r="D282" s="150">
        <v>9</v>
      </c>
      <c r="E282" s="150">
        <v>11</v>
      </c>
      <c r="F282" s="150">
        <v>0.25</v>
      </c>
      <c r="G282" s="150">
        <v>1</v>
      </c>
      <c r="H282" s="150">
        <v>0</v>
      </c>
      <c r="I282" s="150">
        <f t="shared" si="4"/>
        <v>10.9067118226601</v>
      </c>
    </row>
    <row r="283" spans="1:9">
      <c r="A283" s="150" t="s">
        <v>382</v>
      </c>
      <c r="B283" s="150" t="s">
        <v>380</v>
      </c>
      <c r="C283" s="150" t="s">
        <v>1919</v>
      </c>
      <c r="D283" s="150">
        <v>6</v>
      </c>
      <c r="E283" s="150">
        <v>6</v>
      </c>
      <c r="F283" s="150">
        <v>1</v>
      </c>
      <c r="G283" s="150">
        <v>2.5</v>
      </c>
      <c r="H283" s="150">
        <v>2</v>
      </c>
      <c r="I283" s="150">
        <f t="shared" si="4"/>
        <v>10.129310344827587</v>
      </c>
    </row>
    <row r="284" spans="1:9">
      <c r="A284" s="150">
        <v>1</v>
      </c>
      <c r="B284" s="150" t="s">
        <v>1920</v>
      </c>
      <c r="C284" s="150" t="s">
        <v>1921</v>
      </c>
      <c r="D284" s="150">
        <v>10</v>
      </c>
      <c r="E284" s="150">
        <v>7</v>
      </c>
      <c r="F284" s="150">
        <v>1</v>
      </c>
      <c r="G284" s="150">
        <v>1.25</v>
      </c>
      <c r="H284" s="150">
        <v>2</v>
      </c>
      <c r="I284" s="150">
        <f t="shared" si="4"/>
        <v>9.9445812807881779</v>
      </c>
    </row>
    <row r="285" spans="1:9">
      <c r="A285" s="150" t="s">
        <v>277</v>
      </c>
      <c r="B285" s="150" t="s">
        <v>275</v>
      </c>
      <c r="C285" s="150" t="s">
        <v>1922</v>
      </c>
      <c r="D285" s="150">
        <v>4</v>
      </c>
      <c r="E285" s="150">
        <v>6</v>
      </c>
      <c r="F285" s="150">
        <v>1</v>
      </c>
      <c r="G285" s="150">
        <v>2.5</v>
      </c>
      <c r="H285" s="150">
        <v>1.75</v>
      </c>
      <c r="I285" s="150">
        <f t="shared" si="4"/>
        <v>9.9137931034482758</v>
      </c>
    </row>
    <row r="286" spans="1:9">
      <c r="A286" s="150" t="s">
        <v>959</v>
      </c>
      <c r="B286" s="150" t="s">
        <v>957</v>
      </c>
      <c r="C286" s="150" t="s">
        <v>1923</v>
      </c>
      <c r="D286" s="150">
        <v>5</v>
      </c>
      <c r="E286" s="150">
        <v>11</v>
      </c>
      <c r="F286" s="150">
        <v>0</v>
      </c>
      <c r="G286" s="150">
        <v>0</v>
      </c>
      <c r="H286" s="150"/>
      <c r="I286" s="150">
        <f t="shared" si="4"/>
        <v>9.8214285714285712</v>
      </c>
    </row>
    <row r="287" spans="1:9">
      <c r="A287" s="150" t="s">
        <v>54</v>
      </c>
      <c r="B287" s="150" t="s">
        <v>52</v>
      </c>
      <c r="C287" s="150" t="s">
        <v>1924</v>
      </c>
      <c r="D287" s="150">
        <v>9</v>
      </c>
      <c r="E287" s="150">
        <v>8</v>
      </c>
      <c r="F287" s="150">
        <v>0</v>
      </c>
      <c r="G287" s="150">
        <v>1</v>
      </c>
      <c r="H287" s="150">
        <v>2</v>
      </c>
      <c r="I287" s="150">
        <f t="shared" si="4"/>
        <v>9.7290640394088683</v>
      </c>
    </row>
    <row r="288" spans="1:9">
      <c r="A288" s="150" t="s">
        <v>91</v>
      </c>
      <c r="B288" s="150" t="s">
        <v>1925</v>
      </c>
      <c r="C288" s="150" t="s">
        <v>1926</v>
      </c>
      <c r="D288" s="150">
        <v>3</v>
      </c>
      <c r="E288" s="150">
        <v>8</v>
      </c>
      <c r="F288" s="150">
        <v>0.5</v>
      </c>
      <c r="G288" s="150">
        <v>1.75</v>
      </c>
      <c r="H288" s="150">
        <v>0.5</v>
      </c>
      <c r="I288" s="150">
        <f t="shared" si="4"/>
        <v>9.5289408866995071</v>
      </c>
    </row>
    <row r="289" spans="1:9">
      <c r="A289" s="150"/>
      <c r="B289" s="150" t="s">
        <v>1927</v>
      </c>
      <c r="C289" s="150"/>
      <c r="D289" s="150">
        <v>10</v>
      </c>
      <c r="E289" s="150">
        <v>9</v>
      </c>
      <c r="F289" s="150">
        <v>1.5</v>
      </c>
      <c r="G289" s="150">
        <v>0</v>
      </c>
      <c r="H289" s="150">
        <v>0</v>
      </c>
      <c r="I289" s="150">
        <f t="shared" si="4"/>
        <v>9.375</v>
      </c>
    </row>
    <row r="290" spans="1:9">
      <c r="A290" s="150" t="s">
        <v>589</v>
      </c>
      <c r="B290" s="150" t="s">
        <v>587</v>
      </c>
      <c r="C290" s="150" t="s">
        <v>1928</v>
      </c>
      <c r="D290" s="150">
        <v>1</v>
      </c>
      <c r="E290" s="150">
        <v>10</v>
      </c>
      <c r="F290" s="150">
        <v>0</v>
      </c>
      <c r="G290" s="150">
        <v>0.5</v>
      </c>
      <c r="H290" s="150">
        <v>0</v>
      </c>
      <c r="I290" s="150">
        <f t="shared" si="4"/>
        <v>9.3596059113300498</v>
      </c>
    </row>
    <row r="291" spans="1:9">
      <c r="A291" s="150" t="s">
        <v>932</v>
      </c>
      <c r="B291" s="150" t="s">
        <v>930</v>
      </c>
      <c r="C291" s="150" t="s">
        <v>1929</v>
      </c>
      <c r="D291" s="150">
        <v>9</v>
      </c>
      <c r="E291" s="150">
        <v>10</v>
      </c>
      <c r="F291" s="150">
        <v>0</v>
      </c>
      <c r="G291" s="150"/>
      <c r="H291" s="150"/>
      <c r="I291" s="150">
        <f t="shared" si="4"/>
        <v>8.9285714285714288</v>
      </c>
    </row>
    <row r="292" spans="1:9">
      <c r="A292" s="150" t="s">
        <v>61</v>
      </c>
      <c r="B292" s="150" t="s">
        <v>59</v>
      </c>
      <c r="C292" s="150" t="s">
        <v>1930</v>
      </c>
      <c r="D292" s="150">
        <v>10</v>
      </c>
      <c r="E292" s="150">
        <v>8</v>
      </c>
      <c r="F292" s="150">
        <v>0.5</v>
      </c>
      <c r="G292" s="150">
        <v>0.75</v>
      </c>
      <c r="H292" s="150">
        <v>0.75</v>
      </c>
      <c r="I292" s="150">
        <f t="shared" si="4"/>
        <v>8.8823891625615765</v>
      </c>
    </row>
    <row r="293" spans="1:9">
      <c r="A293" s="150" t="s">
        <v>283</v>
      </c>
      <c r="B293" s="150" t="s">
        <v>281</v>
      </c>
      <c r="C293" s="150" t="s">
        <v>1931</v>
      </c>
      <c r="D293" s="150">
        <v>6</v>
      </c>
      <c r="E293" s="150">
        <v>8</v>
      </c>
      <c r="F293" s="150">
        <v>0</v>
      </c>
      <c r="G293" s="150">
        <v>1.5</v>
      </c>
      <c r="H293" s="150">
        <v>0.5</v>
      </c>
      <c r="I293" s="150">
        <f t="shared" si="4"/>
        <v>8.8669950738916263</v>
      </c>
    </row>
    <row r="294" spans="1:9">
      <c r="A294" s="150" t="s">
        <v>476</v>
      </c>
      <c r="B294" s="150" t="s">
        <v>474</v>
      </c>
      <c r="C294" s="150" t="s">
        <v>1932</v>
      </c>
      <c r="D294" s="150">
        <v>4</v>
      </c>
      <c r="E294" s="150">
        <v>8</v>
      </c>
      <c r="F294" s="150">
        <v>0</v>
      </c>
      <c r="G294" s="150">
        <v>1.75</v>
      </c>
      <c r="H294" s="150">
        <v>0</v>
      </c>
      <c r="I294" s="150">
        <f t="shared" si="4"/>
        <v>8.6514778325123149</v>
      </c>
    </row>
    <row r="295" spans="1:9">
      <c r="A295" s="150" t="s">
        <v>757</v>
      </c>
      <c r="B295" s="150" t="s">
        <v>1933</v>
      </c>
      <c r="C295" s="150" t="s">
        <v>1934</v>
      </c>
      <c r="D295" s="150">
        <v>8</v>
      </c>
      <c r="E295" s="150">
        <v>7</v>
      </c>
      <c r="F295" s="150"/>
      <c r="G295" s="150">
        <v>1.5</v>
      </c>
      <c r="H295" s="150">
        <v>1.25</v>
      </c>
      <c r="I295" s="150">
        <f t="shared" si="4"/>
        <v>8.6206896551724128</v>
      </c>
    </row>
    <row r="296" spans="1:9">
      <c r="A296" s="150" t="s">
        <v>826</v>
      </c>
      <c r="B296" s="150" t="s">
        <v>824</v>
      </c>
      <c r="C296" s="150" t="s">
        <v>1935</v>
      </c>
      <c r="D296" s="150">
        <v>11</v>
      </c>
      <c r="E296" s="150">
        <v>7</v>
      </c>
      <c r="F296" s="150"/>
      <c r="G296" s="150">
        <v>2.25</v>
      </c>
      <c r="H296" s="150">
        <v>0</v>
      </c>
      <c r="I296" s="150">
        <f t="shared" si="4"/>
        <v>8.1896551724137936</v>
      </c>
    </row>
    <row r="297" spans="1:9">
      <c r="A297" s="150" t="s">
        <v>45</v>
      </c>
      <c r="B297" s="150" t="s">
        <v>43</v>
      </c>
      <c r="C297" s="150" t="s">
        <v>1936</v>
      </c>
      <c r="D297" s="150">
        <v>7</v>
      </c>
      <c r="E297" s="150">
        <v>8</v>
      </c>
      <c r="F297" s="150">
        <v>0</v>
      </c>
      <c r="G297" s="150">
        <v>0.5</v>
      </c>
      <c r="H297" s="150">
        <v>0</v>
      </c>
      <c r="I297" s="150">
        <f t="shared" si="4"/>
        <v>7.5738916256157642</v>
      </c>
    </row>
    <row r="298" spans="1:9">
      <c r="A298" s="150" t="s">
        <v>271</v>
      </c>
      <c r="B298" s="150" t="s">
        <v>269</v>
      </c>
      <c r="C298" s="150" t="s">
        <v>1937</v>
      </c>
      <c r="D298" s="150">
        <v>9</v>
      </c>
      <c r="E298" s="150">
        <v>8</v>
      </c>
      <c r="F298" s="150">
        <v>0</v>
      </c>
      <c r="G298" s="150">
        <v>0.25</v>
      </c>
      <c r="H298" s="150">
        <v>0</v>
      </c>
      <c r="I298" s="150">
        <f t="shared" si="4"/>
        <v>7.3583743842364537</v>
      </c>
    </row>
    <row r="299" spans="1:9">
      <c r="A299" s="150" t="s">
        <v>67</v>
      </c>
      <c r="B299" s="150" t="s">
        <v>65</v>
      </c>
      <c r="C299" s="150" t="s">
        <v>1938</v>
      </c>
      <c r="D299" s="150">
        <v>1</v>
      </c>
      <c r="E299" s="150">
        <v>8</v>
      </c>
      <c r="F299" s="150"/>
      <c r="G299" s="150"/>
      <c r="H299" s="150"/>
      <c r="I299" s="150">
        <f t="shared" si="4"/>
        <v>7.1428571428571432</v>
      </c>
    </row>
    <row r="300" spans="1:9">
      <c r="A300" s="150" t="s">
        <v>259</v>
      </c>
      <c r="B300" s="150" t="s">
        <v>257</v>
      </c>
      <c r="C300" s="150" t="s">
        <v>1939</v>
      </c>
      <c r="D300" s="150">
        <v>5</v>
      </c>
      <c r="E300" s="150">
        <v>8</v>
      </c>
      <c r="F300" s="150">
        <v>0</v>
      </c>
      <c r="G300" s="150">
        <v>0</v>
      </c>
      <c r="H300" s="150">
        <v>0</v>
      </c>
      <c r="I300" s="150">
        <f t="shared" si="4"/>
        <v>7.1428571428571432</v>
      </c>
    </row>
    <row r="301" spans="1:9">
      <c r="A301" s="150" t="s">
        <v>434</v>
      </c>
      <c r="B301" s="150" t="s">
        <v>432</v>
      </c>
      <c r="C301" s="150" t="s">
        <v>1940</v>
      </c>
      <c r="D301" s="150">
        <v>1</v>
      </c>
      <c r="E301" s="150">
        <v>7</v>
      </c>
      <c r="F301" s="150">
        <v>1</v>
      </c>
      <c r="G301" s="150"/>
      <c r="H301" s="150"/>
      <c r="I301" s="150">
        <f t="shared" si="4"/>
        <v>7.1428571428571432</v>
      </c>
    </row>
    <row r="302" spans="1:9">
      <c r="A302" s="150" t="s">
        <v>1941</v>
      </c>
      <c r="B302" s="150" t="s">
        <v>1942</v>
      </c>
      <c r="C302" s="150" t="s">
        <v>1943</v>
      </c>
      <c r="D302" s="150" t="s">
        <v>1687</v>
      </c>
      <c r="E302" s="150">
        <v>6</v>
      </c>
      <c r="F302" s="150">
        <v>0</v>
      </c>
      <c r="G302" s="150">
        <v>0</v>
      </c>
      <c r="H302" s="150">
        <v>1.75</v>
      </c>
      <c r="I302" s="150">
        <f t="shared" si="4"/>
        <v>6.8657635467980294</v>
      </c>
    </row>
    <row r="303" spans="1:9">
      <c r="A303" s="150" t="s">
        <v>899</v>
      </c>
      <c r="B303" s="150" t="s">
        <v>1944</v>
      </c>
      <c r="C303" s="150" t="s">
        <v>1945</v>
      </c>
      <c r="D303" s="150">
        <v>7</v>
      </c>
      <c r="E303" s="150">
        <v>5</v>
      </c>
      <c r="F303" s="150"/>
      <c r="G303" s="150">
        <v>1.75</v>
      </c>
      <c r="H303" s="150">
        <v>1</v>
      </c>
      <c r="I303" s="150">
        <f t="shared" si="4"/>
        <v>6.8349753694581281</v>
      </c>
    </row>
    <row r="304" spans="1:9">
      <c r="A304" s="150" t="s">
        <v>482</v>
      </c>
      <c r="B304" s="150" t="s">
        <v>480</v>
      </c>
      <c r="C304" s="150" t="s">
        <v>1946</v>
      </c>
      <c r="D304" s="150" t="s">
        <v>1667</v>
      </c>
      <c r="E304" s="150">
        <v>7</v>
      </c>
      <c r="F304" s="150">
        <v>0.5</v>
      </c>
      <c r="G304" s="150"/>
      <c r="H304" s="150"/>
      <c r="I304" s="150">
        <f t="shared" si="4"/>
        <v>6.6964285714285712</v>
      </c>
    </row>
    <row r="305" spans="1:9">
      <c r="A305" s="150" t="s">
        <v>770</v>
      </c>
      <c r="B305" s="150" t="s">
        <v>1947</v>
      </c>
      <c r="C305" s="150" t="s">
        <v>1948</v>
      </c>
      <c r="D305" s="150">
        <v>9</v>
      </c>
      <c r="E305" s="150">
        <v>7</v>
      </c>
      <c r="F305" s="150">
        <v>0.5</v>
      </c>
      <c r="G305" s="150">
        <v>0</v>
      </c>
      <c r="H305" s="150">
        <v>0</v>
      </c>
      <c r="I305" s="150">
        <f t="shared" si="4"/>
        <v>6.6964285714285712</v>
      </c>
    </row>
    <row r="306" spans="1:9">
      <c r="A306" s="150" t="s">
        <v>346</v>
      </c>
      <c r="B306" s="150" t="s">
        <v>344</v>
      </c>
      <c r="C306" s="150" t="s">
        <v>1949</v>
      </c>
      <c r="D306" s="150" t="s">
        <v>1667</v>
      </c>
      <c r="E306" s="150">
        <v>5</v>
      </c>
      <c r="F306" s="150">
        <v>1</v>
      </c>
      <c r="G306" s="150">
        <v>1.5</v>
      </c>
      <c r="H306" s="150">
        <v>0</v>
      </c>
      <c r="I306" s="150">
        <f t="shared" si="4"/>
        <v>6.6502463054187189</v>
      </c>
    </row>
    <row r="307" spans="1:9">
      <c r="A307" s="150" t="s">
        <v>779</v>
      </c>
      <c r="B307" s="150" t="s">
        <v>777</v>
      </c>
      <c r="C307" s="150" t="s">
        <v>1950</v>
      </c>
      <c r="D307" s="150">
        <v>8</v>
      </c>
      <c r="E307" s="150">
        <v>6</v>
      </c>
      <c r="F307" s="150"/>
      <c r="G307" s="150">
        <v>1.25</v>
      </c>
      <c r="H307" s="150">
        <v>0</v>
      </c>
      <c r="I307" s="150">
        <f t="shared" si="4"/>
        <v>6.4347290640394084</v>
      </c>
    </row>
    <row r="308" spans="1:9">
      <c r="A308" s="150">
        <v>3</v>
      </c>
      <c r="B308" s="150" t="s">
        <v>1951</v>
      </c>
      <c r="C308" s="150" t="s">
        <v>1952</v>
      </c>
      <c r="D308" s="150">
        <v>3</v>
      </c>
      <c r="E308" s="150">
        <v>6</v>
      </c>
      <c r="F308" s="150">
        <v>0.5</v>
      </c>
      <c r="G308" s="150">
        <v>0.25</v>
      </c>
      <c r="H308" s="150">
        <v>0</v>
      </c>
      <c r="I308" s="150">
        <f t="shared" si="4"/>
        <v>6.0190886699507393</v>
      </c>
    </row>
    <row r="309" spans="1:9">
      <c r="A309" s="150" t="s">
        <v>106</v>
      </c>
      <c r="B309" s="150" t="s">
        <v>104</v>
      </c>
      <c r="C309" s="150" t="s">
        <v>1953</v>
      </c>
      <c r="D309" s="150">
        <v>7</v>
      </c>
      <c r="E309" s="150">
        <v>5</v>
      </c>
      <c r="F309" s="150">
        <v>1</v>
      </c>
      <c r="G309" s="150">
        <v>0</v>
      </c>
      <c r="H309" s="150">
        <v>0</v>
      </c>
      <c r="I309" s="150">
        <f t="shared" si="4"/>
        <v>5.3571428571428568</v>
      </c>
    </row>
    <row r="310" spans="1:9">
      <c r="A310" s="150" t="s">
        <v>563</v>
      </c>
      <c r="B310" s="150" t="s">
        <v>561</v>
      </c>
      <c r="C310" s="150" t="s">
        <v>1954</v>
      </c>
      <c r="D310" s="150">
        <v>7</v>
      </c>
      <c r="E310" s="150">
        <v>6</v>
      </c>
      <c r="F310" s="150">
        <v>0</v>
      </c>
      <c r="G310" s="150"/>
      <c r="H310" s="150"/>
      <c r="I310" s="150">
        <f t="shared" si="4"/>
        <v>5.3571428571428568</v>
      </c>
    </row>
    <row r="311" spans="1:9">
      <c r="A311" s="150" t="s">
        <v>727</v>
      </c>
      <c r="B311" s="150" t="s">
        <v>725</v>
      </c>
      <c r="C311" s="150" t="s">
        <v>1955</v>
      </c>
      <c r="D311" s="150">
        <v>7</v>
      </c>
      <c r="E311" s="150">
        <v>5</v>
      </c>
      <c r="F311" s="150">
        <v>0</v>
      </c>
      <c r="G311" s="150">
        <v>1</v>
      </c>
      <c r="H311" s="150">
        <v>0</v>
      </c>
      <c r="I311" s="150">
        <f t="shared" si="4"/>
        <v>5.3263546798029555</v>
      </c>
    </row>
    <row r="312" spans="1:9">
      <c r="A312" s="150" t="s">
        <v>172</v>
      </c>
      <c r="B312" s="150" t="s">
        <v>170</v>
      </c>
      <c r="C312" s="150" t="s">
        <v>1956</v>
      </c>
      <c r="D312" s="150">
        <v>11</v>
      </c>
      <c r="E312" s="150">
        <v>5</v>
      </c>
      <c r="F312" s="150">
        <v>0</v>
      </c>
      <c r="G312" s="150">
        <v>0</v>
      </c>
      <c r="H312" s="150">
        <v>0</v>
      </c>
      <c r="I312" s="150">
        <f t="shared" si="4"/>
        <v>4.4642857142857144</v>
      </c>
    </row>
    <row r="313" spans="1:9">
      <c r="A313" s="150" t="s">
        <v>316</v>
      </c>
      <c r="B313" s="150" t="s">
        <v>314</v>
      </c>
      <c r="C313" s="150" t="s">
        <v>1957</v>
      </c>
      <c r="D313" s="150" t="s">
        <v>1667</v>
      </c>
      <c r="E313" s="150">
        <v>5</v>
      </c>
      <c r="F313" s="150">
        <v>0</v>
      </c>
      <c r="G313" s="150"/>
      <c r="H313" s="150"/>
      <c r="I313" s="150">
        <f t="shared" si="4"/>
        <v>4.4642857142857144</v>
      </c>
    </row>
    <row r="314" spans="1:9">
      <c r="A314" s="150" t="s">
        <v>349</v>
      </c>
      <c r="B314" s="150" t="s">
        <v>347</v>
      </c>
      <c r="C314" s="150" t="s">
        <v>1958</v>
      </c>
      <c r="D314" s="150" t="s">
        <v>1667</v>
      </c>
      <c r="E314" s="150">
        <v>2</v>
      </c>
      <c r="F314" s="150">
        <v>1</v>
      </c>
      <c r="G314" s="150"/>
      <c r="H314" s="150"/>
      <c r="I314" s="150">
        <f t="shared" si="4"/>
        <v>2.6785714285714284</v>
      </c>
    </row>
    <row r="315" spans="1:9">
      <c r="A315" s="150" t="s">
        <v>42</v>
      </c>
      <c r="B315" s="150" t="s">
        <v>40</v>
      </c>
      <c r="C315" s="150" t="s">
        <v>1959</v>
      </c>
      <c r="D315" s="150">
        <v>5</v>
      </c>
      <c r="E315" s="150"/>
      <c r="F315" s="150"/>
      <c r="G315" s="150"/>
      <c r="H315" s="150"/>
      <c r="I315" s="150">
        <f t="shared" si="4"/>
        <v>0</v>
      </c>
    </row>
    <row r="316" spans="1:9">
      <c r="A316" s="150" t="s">
        <v>76</v>
      </c>
      <c r="B316" s="150" t="s">
        <v>74</v>
      </c>
      <c r="C316" s="150" t="s">
        <v>1960</v>
      </c>
      <c r="D316" s="150">
        <v>4</v>
      </c>
      <c r="E316" s="150"/>
      <c r="F316" s="150"/>
      <c r="G316" s="150"/>
      <c r="H316" s="150"/>
      <c r="I316" s="150">
        <f t="shared" si="4"/>
        <v>0</v>
      </c>
    </row>
    <row r="317" spans="1:9">
      <c r="A317" s="150" t="s">
        <v>88</v>
      </c>
      <c r="B317" s="150" t="s">
        <v>86</v>
      </c>
      <c r="C317" s="150" t="s">
        <v>1961</v>
      </c>
      <c r="D317" s="150">
        <v>5</v>
      </c>
      <c r="E317" s="150"/>
      <c r="F317" s="150"/>
      <c r="G317" s="150"/>
      <c r="H317" s="150"/>
      <c r="I317" s="150">
        <f t="shared" si="4"/>
        <v>0</v>
      </c>
    </row>
    <row r="318" spans="1:9">
      <c r="A318" s="150" t="s">
        <v>187</v>
      </c>
      <c r="B318" s="150" t="s">
        <v>185</v>
      </c>
      <c r="C318" s="150" t="s">
        <v>1962</v>
      </c>
      <c r="D318" s="150">
        <v>6</v>
      </c>
      <c r="E318" s="150"/>
      <c r="F318" s="150"/>
      <c r="G318" s="150"/>
      <c r="H318" s="150"/>
      <c r="I318" s="150">
        <f t="shared" si="4"/>
        <v>0</v>
      </c>
    </row>
    <row r="319" spans="1:9">
      <c r="A319" s="150" t="s">
        <v>211</v>
      </c>
      <c r="B319" s="150" t="s">
        <v>209</v>
      </c>
      <c r="C319" s="150" t="s">
        <v>1963</v>
      </c>
      <c r="D319" s="150">
        <v>2</v>
      </c>
      <c r="E319" s="150"/>
      <c r="F319" s="150"/>
      <c r="G319" s="150"/>
      <c r="H319" s="150"/>
      <c r="I319" s="150">
        <f t="shared" si="4"/>
        <v>0</v>
      </c>
    </row>
    <row r="320" spans="1:9">
      <c r="A320" s="150" t="s">
        <v>217</v>
      </c>
      <c r="B320" s="150" t="s">
        <v>215</v>
      </c>
      <c r="C320" s="150" t="s">
        <v>1964</v>
      </c>
      <c r="D320" s="150">
        <v>8</v>
      </c>
      <c r="E320" s="150"/>
      <c r="F320" s="150"/>
      <c r="G320" s="150"/>
      <c r="H320" s="150"/>
      <c r="I320" s="150">
        <f t="shared" si="4"/>
        <v>0</v>
      </c>
    </row>
    <row r="321" spans="1:9">
      <c r="A321" s="150" t="s">
        <v>226</v>
      </c>
      <c r="B321" s="150" t="s">
        <v>224</v>
      </c>
      <c r="C321" s="150" t="s">
        <v>1965</v>
      </c>
      <c r="D321" s="150">
        <v>6</v>
      </c>
      <c r="E321" s="150"/>
      <c r="F321" s="150"/>
      <c r="G321" s="150"/>
      <c r="H321" s="150"/>
      <c r="I321" s="150">
        <f t="shared" si="4"/>
        <v>0</v>
      </c>
    </row>
    <row r="322" spans="1:9">
      <c r="A322" s="150" t="s">
        <v>235</v>
      </c>
      <c r="B322" s="150" t="s">
        <v>233</v>
      </c>
      <c r="C322" s="150" t="s">
        <v>1966</v>
      </c>
      <c r="D322" s="150">
        <v>11</v>
      </c>
      <c r="E322" s="150"/>
      <c r="F322" s="150"/>
      <c r="G322" s="150"/>
      <c r="H322" s="150"/>
      <c r="I322" s="150">
        <f t="shared" si="4"/>
        <v>0</v>
      </c>
    </row>
    <row r="323" spans="1:9">
      <c r="A323" s="150" t="s">
        <v>253</v>
      </c>
      <c r="B323" s="150" t="s">
        <v>251</v>
      </c>
      <c r="C323" s="150" t="s">
        <v>1967</v>
      </c>
      <c r="D323" s="150" t="s">
        <v>1667</v>
      </c>
      <c r="E323" s="150"/>
      <c r="F323" s="150"/>
      <c r="G323" s="150"/>
      <c r="H323" s="150"/>
      <c r="I323" s="150">
        <f t="shared" si="4"/>
        <v>0</v>
      </c>
    </row>
    <row r="324" spans="1:9">
      <c r="A324" s="150" t="s">
        <v>367</v>
      </c>
      <c r="B324" s="150" t="s">
        <v>365</v>
      </c>
      <c r="C324" s="150" t="s">
        <v>1968</v>
      </c>
      <c r="D324" s="150">
        <v>4</v>
      </c>
      <c r="E324" s="150"/>
      <c r="F324" s="150"/>
      <c r="G324" s="150"/>
      <c r="H324" s="150"/>
      <c r="I324" s="150">
        <f t="shared" si="4"/>
        <v>0</v>
      </c>
    </row>
    <row r="325" spans="1:9">
      <c r="A325" s="150" t="s">
        <v>509</v>
      </c>
      <c r="B325" s="150" t="s">
        <v>1969</v>
      </c>
      <c r="C325" s="150" t="s">
        <v>1970</v>
      </c>
      <c r="D325" s="150" t="s">
        <v>1667</v>
      </c>
      <c r="E325" s="150"/>
      <c r="F325" s="150"/>
      <c r="G325" s="150"/>
      <c r="H325" s="150"/>
      <c r="I325" s="150">
        <f t="shared" si="4"/>
        <v>0</v>
      </c>
    </row>
    <row r="326" spans="1:9">
      <c r="A326" s="150" t="s">
        <v>527</v>
      </c>
      <c r="B326" s="150" t="s">
        <v>525</v>
      </c>
      <c r="C326" s="150" t="s">
        <v>1971</v>
      </c>
      <c r="D326" s="150">
        <v>9</v>
      </c>
      <c r="E326" s="150"/>
      <c r="F326" s="150"/>
      <c r="G326" s="150"/>
      <c r="H326" s="150"/>
      <c r="I326" s="150">
        <f t="shared" ref="I326:I330" si="5">(E326+F326)*50/56+(G326+H326)*50/58</f>
        <v>0</v>
      </c>
    </row>
    <row r="327" spans="1:9" ht="15">
      <c r="A327" s="150" t="s">
        <v>604</v>
      </c>
      <c r="B327" s="162" t="s">
        <v>602</v>
      </c>
      <c r="C327" s="173" t="s">
        <v>1972</v>
      </c>
      <c r="D327" s="164">
        <v>4</v>
      </c>
      <c r="E327" s="152"/>
      <c r="F327" s="152"/>
      <c r="G327" s="152"/>
      <c r="H327" s="152"/>
      <c r="I327" s="165">
        <f t="shared" si="5"/>
        <v>0</v>
      </c>
    </row>
    <row r="328" spans="1:9" ht="15">
      <c r="A328" s="150" t="s">
        <v>702</v>
      </c>
      <c r="B328" s="162" t="s">
        <v>700</v>
      </c>
      <c r="C328" s="163" t="s">
        <v>1973</v>
      </c>
      <c r="D328" s="164">
        <v>6</v>
      </c>
      <c r="E328" s="152"/>
      <c r="F328" s="152"/>
      <c r="G328" s="152"/>
      <c r="H328" s="152"/>
      <c r="I328" s="165">
        <f t="shared" si="5"/>
        <v>0</v>
      </c>
    </row>
    <row r="329" spans="1:9" ht="15">
      <c r="A329" s="150" t="s">
        <v>890</v>
      </c>
      <c r="B329" s="288" t="s">
        <v>888</v>
      </c>
      <c r="C329" s="173" t="s">
        <v>1975</v>
      </c>
      <c r="D329" s="164" t="s">
        <v>1667</v>
      </c>
      <c r="E329" s="152"/>
      <c r="F329" s="152"/>
      <c r="G329" s="152"/>
      <c r="H329" s="152"/>
      <c r="I329" s="165">
        <f t="shared" si="5"/>
        <v>0</v>
      </c>
    </row>
    <row r="330" spans="1:9" ht="15">
      <c r="A330" s="174"/>
      <c r="B330" s="289" t="s">
        <v>969</v>
      </c>
      <c r="C330" s="163" t="s">
        <v>1977</v>
      </c>
      <c r="D330" s="152"/>
      <c r="E330" s="152"/>
      <c r="F330" s="152"/>
      <c r="G330" s="152"/>
      <c r="H330" s="152"/>
      <c r="I330" s="165">
        <f t="shared" si="5"/>
        <v>0</v>
      </c>
    </row>
    <row r="331" spans="1:9">
      <c r="A331" s="174"/>
      <c r="C331" s="175"/>
      <c r="D331" s="176"/>
      <c r="I331" s="177"/>
    </row>
    <row r="332" spans="1:9">
      <c r="A332" s="174"/>
      <c r="C332" s="175"/>
      <c r="D332" s="176"/>
      <c r="I332" s="177"/>
    </row>
    <row r="333" spans="1:9">
      <c r="A333" s="174"/>
      <c r="C333" s="175"/>
      <c r="D333" s="176"/>
      <c r="I333" s="177"/>
    </row>
    <row r="334" spans="1:9">
      <c r="A334" s="174"/>
      <c r="C334" s="175"/>
      <c r="D334" s="176"/>
      <c r="I334" s="177"/>
    </row>
    <row r="335" spans="1:9">
      <c r="A335" s="174"/>
      <c r="C335" s="175"/>
      <c r="D335" s="176"/>
      <c r="I335" s="177"/>
    </row>
    <row r="336" spans="1:9">
      <c r="A336" s="174"/>
      <c r="C336" s="175"/>
      <c r="D336" s="176"/>
      <c r="I336" s="177"/>
    </row>
    <row r="337" spans="1:9">
      <c r="A337" s="174"/>
      <c r="C337" s="175"/>
      <c r="D337" s="176"/>
      <c r="I337" s="177"/>
    </row>
    <row r="338" spans="1:9">
      <c r="A338" s="174"/>
      <c r="C338" s="175"/>
      <c r="D338" s="176"/>
      <c r="I338" s="177"/>
    </row>
    <row r="339" spans="1:9">
      <c r="A339" s="174"/>
      <c r="C339" s="175"/>
      <c r="D339" s="176"/>
      <c r="I339" s="177"/>
    </row>
    <row r="340" spans="1:9">
      <c r="A340" s="174"/>
      <c r="C340" s="175"/>
      <c r="D340" s="176"/>
      <c r="I340" s="177"/>
    </row>
    <row r="341" spans="1:9">
      <c r="A341" s="174"/>
      <c r="C341" s="175"/>
      <c r="D341" s="176"/>
      <c r="I341" s="177"/>
    </row>
    <row r="342" spans="1:9">
      <c r="A342" s="174"/>
      <c r="C342" s="175"/>
      <c r="D342" s="176"/>
      <c r="I342" s="177"/>
    </row>
    <row r="343" spans="1:9">
      <c r="A343" s="174"/>
      <c r="C343" s="175"/>
      <c r="D343" s="176"/>
      <c r="I343" s="177"/>
    </row>
    <row r="344" spans="1:9">
      <c r="A344" s="174"/>
      <c r="C344" s="175"/>
      <c r="D344" s="176"/>
      <c r="I344" s="177"/>
    </row>
    <row r="345" spans="1:9">
      <c r="A345" s="174"/>
      <c r="C345" s="175"/>
      <c r="D345" s="176"/>
      <c r="I345" s="177"/>
    </row>
    <row r="346" spans="1:9">
      <c r="A346" s="174"/>
      <c r="C346" s="175"/>
      <c r="D346" s="176"/>
      <c r="I346" s="177"/>
    </row>
    <row r="347" spans="1:9">
      <c r="A347" s="174"/>
      <c r="C347" s="175"/>
      <c r="D347" s="176"/>
      <c r="I347" s="177"/>
    </row>
    <row r="348" spans="1:9">
      <c r="A348" s="174"/>
      <c r="C348" s="175"/>
      <c r="D348" s="176"/>
      <c r="I348" s="177"/>
    </row>
    <row r="349" spans="1:9">
      <c r="A349" s="174"/>
      <c r="C349" s="175"/>
      <c r="D349" s="176"/>
      <c r="I349" s="177"/>
    </row>
    <row r="350" spans="1:9">
      <c r="A350" s="174"/>
      <c r="C350" s="175"/>
      <c r="D350" s="176"/>
      <c r="I350" s="177"/>
    </row>
    <row r="351" spans="1:9">
      <c r="A351" s="174"/>
      <c r="C351" s="175"/>
      <c r="D351" s="176"/>
      <c r="I351" s="177"/>
    </row>
    <row r="352" spans="1:9">
      <c r="A352" s="174"/>
      <c r="C352" s="175"/>
      <c r="D352" s="176"/>
      <c r="I352" s="177"/>
    </row>
    <row r="353" spans="1:9">
      <c r="A353" s="174"/>
      <c r="C353" s="175"/>
      <c r="D353" s="176"/>
      <c r="I353" s="177"/>
    </row>
    <row r="354" spans="1:9">
      <c r="A354" s="174"/>
      <c r="C354" s="175"/>
      <c r="D354" s="176"/>
      <c r="I354" s="177"/>
    </row>
    <row r="355" spans="1:9">
      <c r="A355" s="174"/>
      <c r="C355" s="175"/>
      <c r="D355" s="176"/>
      <c r="I355" s="177"/>
    </row>
    <row r="356" spans="1:9">
      <c r="A356" s="174"/>
      <c r="C356" s="175"/>
      <c r="D356" s="176"/>
      <c r="I356" s="177"/>
    </row>
    <row r="357" spans="1:9">
      <c r="A357" s="174"/>
      <c r="C357" s="175"/>
      <c r="D357" s="176"/>
      <c r="I357" s="177"/>
    </row>
    <row r="358" spans="1:9">
      <c r="A358" s="174"/>
      <c r="C358" s="175"/>
      <c r="D358" s="176"/>
      <c r="I358" s="177"/>
    </row>
    <row r="359" spans="1:9">
      <c r="A359" s="174"/>
      <c r="C359" s="175"/>
      <c r="D359" s="176"/>
      <c r="I359" s="177"/>
    </row>
    <row r="360" spans="1:9">
      <c r="A360" s="174"/>
      <c r="C360" s="175"/>
      <c r="D360" s="176"/>
      <c r="I360" s="177"/>
    </row>
    <row r="361" spans="1:9">
      <c r="A361" s="174"/>
      <c r="C361" s="175"/>
      <c r="D361" s="176"/>
      <c r="I361" s="177"/>
    </row>
    <row r="362" spans="1:9">
      <c r="A362" s="174"/>
      <c r="C362" s="175"/>
      <c r="D362" s="176"/>
      <c r="I362" s="177"/>
    </row>
    <row r="363" spans="1:9">
      <c r="A363" s="174"/>
      <c r="C363" s="175"/>
      <c r="D363" s="176"/>
      <c r="I363" s="177"/>
    </row>
    <row r="364" spans="1:9">
      <c r="A364" s="174"/>
      <c r="C364" s="175"/>
      <c r="D364" s="176"/>
      <c r="I364" s="177"/>
    </row>
    <row r="365" spans="1:9">
      <c r="A365" s="174"/>
      <c r="C365" s="175"/>
      <c r="D365" s="176"/>
      <c r="I365" s="177"/>
    </row>
    <row r="366" spans="1:9">
      <c r="A366" s="174"/>
      <c r="C366" s="175"/>
      <c r="D366" s="176"/>
      <c r="I366" s="177"/>
    </row>
    <row r="367" spans="1:9">
      <c r="A367" s="174"/>
      <c r="C367" s="175"/>
      <c r="D367" s="176"/>
      <c r="I367" s="177"/>
    </row>
    <row r="368" spans="1:9">
      <c r="A368" s="174"/>
      <c r="C368" s="175"/>
      <c r="D368" s="176"/>
      <c r="I368" s="177"/>
    </row>
    <row r="369" spans="1:9">
      <c r="A369" s="174"/>
      <c r="C369" s="175"/>
      <c r="D369" s="176"/>
      <c r="I369" s="177"/>
    </row>
    <row r="370" spans="1:9">
      <c r="A370" s="174"/>
      <c r="C370" s="175"/>
      <c r="D370" s="176"/>
      <c r="I370" s="177"/>
    </row>
    <row r="371" spans="1:9">
      <c r="A371" s="174"/>
      <c r="C371" s="175"/>
      <c r="D371" s="176"/>
      <c r="I371" s="177"/>
    </row>
    <row r="372" spans="1:9">
      <c r="A372" s="174"/>
      <c r="C372" s="175"/>
      <c r="D372" s="176"/>
      <c r="I372" s="177"/>
    </row>
    <row r="373" spans="1:9">
      <c r="A373" s="174"/>
      <c r="C373" s="175"/>
      <c r="D373" s="176"/>
      <c r="I373" s="177"/>
    </row>
    <row r="374" spans="1:9">
      <c r="A374" s="174"/>
      <c r="C374" s="175"/>
      <c r="D374" s="176"/>
      <c r="I374" s="177"/>
    </row>
    <row r="375" spans="1:9">
      <c r="A375" s="174"/>
      <c r="C375" s="175"/>
      <c r="D375" s="176"/>
      <c r="I375" s="177"/>
    </row>
    <row r="376" spans="1:9">
      <c r="A376" s="174"/>
      <c r="C376" s="175"/>
      <c r="D376" s="176"/>
      <c r="I376" s="177"/>
    </row>
    <row r="377" spans="1:9">
      <c r="A377" s="174"/>
      <c r="C377" s="175"/>
      <c r="D377" s="176"/>
      <c r="I377" s="177"/>
    </row>
    <row r="378" spans="1:9">
      <c r="A378" s="174"/>
      <c r="C378" s="175"/>
      <c r="D378" s="176"/>
      <c r="I378" s="177"/>
    </row>
    <row r="379" spans="1:9">
      <c r="A379" s="174"/>
      <c r="C379" s="175"/>
      <c r="D379" s="176"/>
      <c r="I379" s="177"/>
    </row>
    <row r="380" spans="1:9">
      <c r="A380" s="174"/>
      <c r="C380" s="175"/>
      <c r="D380" s="176"/>
      <c r="I380" s="177"/>
    </row>
    <row r="381" spans="1:9">
      <c r="A381" s="174"/>
      <c r="C381" s="175"/>
      <c r="D381" s="176"/>
      <c r="I381" s="177"/>
    </row>
    <row r="382" spans="1:9">
      <c r="A382" s="174"/>
      <c r="C382" s="175"/>
      <c r="D382" s="176"/>
      <c r="I382" s="177"/>
    </row>
    <row r="383" spans="1:9">
      <c r="A383" s="174"/>
      <c r="C383" s="175"/>
      <c r="D383" s="176"/>
      <c r="I383" s="177"/>
    </row>
    <row r="384" spans="1:9">
      <c r="A384" s="174"/>
      <c r="C384" s="175"/>
      <c r="D384" s="176"/>
      <c r="I384" s="177"/>
    </row>
    <row r="385" spans="1:9">
      <c r="A385" s="174"/>
      <c r="C385" s="175"/>
      <c r="D385" s="176"/>
      <c r="I385" s="177"/>
    </row>
    <row r="386" spans="1:9">
      <c r="A386" s="174"/>
      <c r="C386" s="175"/>
      <c r="D386" s="176"/>
      <c r="I386" s="177"/>
    </row>
    <row r="387" spans="1:9">
      <c r="A387" s="174"/>
      <c r="C387" s="175"/>
      <c r="D387" s="176"/>
      <c r="I387" s="177"/>
    </row>
    <row r="388" spans="1:9">
      <c r="A388" s="174"/>
      <c r="C388" s="175"/>
      <c r="D388" s="176"/>
      <c r="I388" s="177"/>
    </row>
    <row r="389" spans="1:9">
      <c r="A389" s="174"/>
      <c r="C389" s="175"/>
      <c r="D389" s="176"/>
      <c r="I389" s="177"/>
    </row>
    <row r="390" spans="1:9">
      <c r="A390" s="174"/>
      <c r="C390" s="175"/>
      <c r="D390" s="176"/>
      <c r="I390" s="177"/>
    </row>
    <row r="391" spans="1:9">
      <c r="A391" s="174"/>
      <c r="C391" s="175"/>
      <c r="D391" s="176"/>
      <c r="I391" s="177"/>
    </row>
    <row r="392" spans="1:9">
      <c r="A392" s="174"/>
      <c r="C392" s="175"/>
      <c r="D392" s="176"/>
      <c r="I392" s="177"/>
    </row>
    <row r="393" spans="1:9">
      <c r="A393" s="174"/>
      <c r="C393" s="175"/>
      <c r="D393" s="176"/>
      <c r="I393" s="177"/>
    </row>
    <row r="394" spans="1:9">
      <c r="A394" s="174"/>
      <c r="C394" s="175"/>
      <c r="D394" s="176"/>
      <c r="I394" s="177"/>
    </row>
    <row r="395" spans="1:9">
      <c r="A395" s="174"/>
      <c r="C395" s="175"/>
      <c r="D395" s="176"/>
      <c r="I395" s="177"/>
    </row>
    <row r="396" spans="1:9">
      <c r="A396" s="174"/>
      <c r="C396" s="175"/>
      <c r="D396" s="176"/>
      <c r="I396" s="177"/>
    </row>
    <row r="397" spans="1:9">
      <c r="A397" s="174"/>
      <c r="C397" s="175"/>
      <c r="D397" s="176"/>
      <c r="I397" s="177"/>
    </row>
    <row r="398" spans="1:9">
      <c r="A398" s="174"/>
      <c r="C398" s="175"/>
      <c r="D398" s="176"/>
      <c r="I398" s="177"/>
    </row>
    <row r="399" spans="1:9">
      <c r="A399" s="174"/>
      <c r="C399" s="175"/>
      <c r="D399" s="176"/>
      <c r="I399" s="177"/>
    </row>
    <row r="400" spans="1:9">
      <c r="A400" s="174"/>
      <c r="C400" s="175"/>
      <c r="D400" s="176"/>
      <c r="I400" s="177"/>
    </row>
    <row r="401" spans="1:9">
      <c r="A401" s="174"/>
      <c r="C401" s="175"/>
      <c r="D401" s="176"/>
      <c r="I401" s="177"/>
    </row>
    <row r="402" spans="1:9">
      <c r="A402" s="174"/>
      <c r="C402" s="175"/>
      <c r="D402" s="176"/>
      <c r="I402" s="177"/>
    </row>
    <row r="403" spans="1:9">
      <c r="A403" s="174"/>
      <c r="C403" s="175"/>
      <c r="D403" s="176"/>
      <c r="I403" s="177"/>
    </row>
    <row r="404" spans="1:9">
      <c r="A404" s="174"/>
      <c r="C404" s="175"/>
      <c r="D404" s="176"/>
      <c r="I404" s="177"/>
    </row>
    <row r="405" spans="1:9">
      <c r="A405" s="174"/>
      <c r="C405" s="175"/>
      <c r="D405" s="176"/>
      <c r="I405" s="177"/>
    </row>
    <row r="406" spans="1:9">
      <c r="A406" s="174"/>
      <c r="C406" s="175"/>
      <c r="D406" s="176"/>
      <c r="I406" s="177"/>
    </row>
    <row r="407" spans="1:9">
      <c r="A407" s="174"/>
      <c r="C407" s="175"/>
      <c r="D407" s="176"/>
      <c r="I407" s="177"/>
    </row>
    <row r="408" spans="1:9">
      <c r="A408" s="174"/>
      <c r="C408" s="175"/>
      <c r="D408" s="176"/>
      <c r="I408" s="177"/>
    </row>
    <row r="409" spans="1:9">
      <c r="A409" s="174"/>
      <c r="C409" s="175"/>
      <c r="D409" s="176"/>
      <c r="I409" s="177"/>
    </row>
    <row r="410" spans="1:9">
      <c r="A410" s="174"/>
      <c r="C410" s="175"/>
      <c r="D410" s="176"/>
      <c r="I410" s="177"/>
    </row>
    <row r="411" spans="1:9">
      <c r="A411" s="174"/>
      <c r="C411" s="175"/>
      <c r="D411" s="176"/>
      <c r="I411" s="177"/>
    </row>
    <row r="412" spans="1:9">
      <c r="A412" s="174"/>
      <c r="C412" s="175"/>
      <c r="D412" s="176"/>
      <c r="I412" s="177"/>
    </row>
    <row r="413" spans="1:9">
      <c r="A413" s="174"/>
      <c r="C413" s="175"/>
      <c r="D413" s="176"/>
      <c r="I413" s="177"/>
    </row>
    <row r="414" spans="1:9">
      <c r="A414" s="174"/>
      <c r="C414" s="175"/>
      <c r="D414" s="176"/>
      <c r="I414" s="177"/>
    </row>
    <row r="415" spans="1:9">
      <c r="A415" s="174"/>
      <c r="C415" s="175"/>
      <c r="D415" s="176"/>
      <c r="I415" s="177"/>
    </row>
    <row r="416" spans="1:9">
      <c r="A416" s="174"/>
      <c r="C416" s="175"/>
      <c r="D416" s="176"/>
      <c r="I416" s="177"/>
    </row>
    <row r="417" spans="1:9">
      <c r="A417" s="174"/>
      <c r="C417" s="175"/>
      <c r="D417" s="176"/>
      <c r="I417" s="177"/>
    </row>
    <row r="418" spans="1:9">
      <c r="A418" s="174"/>
      <c r="C418" s="175"/>
      <c r="D418" s="176"/>
      <c r="I418" s="177"/>
    </row>
    <row r="419" spans="1:9">
      <c r="A419" s="174"/>
      <c r="C419" s="175"/>
      <c r="D419" s="176"/>
      <c r="I419" s="177"/>
    </row>
    <row r="420" spans="1:9">
      <c r="A420" s="174"/>
      <c r="C420" s="175"/>
      <c r="D420" s="176"/>
      <c r="I420" s="177"/>
    </row>
    <row r="421" spans="1:9">
      <c r="A421" s="174"/>
      <c r="C421" s="175"/>
      <c r="D421" s="176"/>
      <c r="I421" s="177"/>
    </row>
    <row r="422" spans="1:9">
      <c r="A422" s="174"/>
      <c r="C422" s="175"/>
      <c r="D422" s="176"/>
      <c r="I422" s="177"/>
    </row>
    <row r="423" spans="1:9">
      <c r="A423" s="174"/>
      <c r="C423" s="175"/>
      <c r="D423" s="176"/>
      <c r="I423" s="177"/>
    </row>
    <row r="424" spans="1:9">
      <c r="A424" s="174"/>
      <c r="C424" s="175"/>
      <c r="D424" s="176"/>
      <c r="I424" s="177"/>
    </row>
    <row r="425" spans="1:9">
      <c r="A425" s="174"/>
      <c r="C425" s="175"/>
      <c r="D425" s="176"/>
      <c r="I425" s="177"/>
    </row>
    <row r="426" spans="1:9">
      <c r="A426" s="174"/>
      <c r="C426" s="175"/>
      <c r="D426" s="176"/>
      <c r="I426" s="177"/>
    </row>
    <row r="427" spans="1:9">
      <c r="A427" s="174"/>
      <c r="C427" s="175"/>
      <c r="D427" s="176"/>
      <c r="I427" s="177"/>
    </row>
    <row r="428" spans="1:9">
      <c r="A428" s="174"/>
      <c r="C428" s="175"/>
      <c r="D428" s="176"/>
      <c r="I428" s="177"/>
    </row>
    <row r="429" spans="1:9">
      <c r="A429" s="174"/>
      <c r="C429" s="175"/>
      <c r="D429" s="176"/>
      <c r="I429" s="177"/>
    </row>
    <row r="430" spans="1:9">
      <c r="A430" s="174"/>
      <c r="C430" s="175"/>
      <c r="D430" s="176"/>
      <c r="I430" s="177"/>
    </row>
    <row r="431" spans="1:9">
      <c r="A431" s="174"/>
      <c r="C431" s="175"/>
      <c r="D431" s="176"/>
      <c r="I431" s="177"/>
    </row>
    <row r="432" spans="1:9">
      <c r="A432" s="174"/>
      <c r="C432" s="175"/>
      <c r="D432" s="176"/>
      <c r="I432" s="177"/>
    </row>
    <row r="433" spans="1:9">
      <c r="A433" s="174"/>
      <c r="C433" s="175"/>
      <c r="D433" s="176"/>
      <c r="I433" s="177"/>
    </row>
    <row r="434" spans="1:9">
      <c r="A434" s="174"/>
      <c r="C434" s="175"/>
      <c r="D434" s="176"/>
      <c r="I434" s="177"/>
    </row>
    <row r="435" spans="1:9">
      <c r="A435" s="174"/>
      <c r="C435" s="175"/>
      <c r="D435" s="176"/>
      <c r="I435" s="177"/>
    </row>
    <row r="436" spans="1:9">
      <c r="A436" s="174"/>
      <c r="C436" s="175"/>
      <c r="D436" s="176"/>
      <c r="I436" s="177"/>
    </row>
    <row r="437" spans="1:9">
      <c r="A437" s="174"/>
      <c r="C437" s="175"/>
      <c r="D437" s="176"/>
      <c r="I437" s="177"/>
    </row>
    <row r="438" spans="1:9">
      <c r="A438" s="174"/>
      <c r="C438" s="175"/>
      <c r="D438" s="176"/>
      <c r="I438" s="177"/>
    </row>
    <row r="439" spans="1:9">
      <c r="A439" s="174"/>
      <c r="C439" s="175"/>
      <c r="D439" s="176"/>
      <c r="I439" s="177"/>
    </row>
    <row r="440" spans="1:9">
      <c r="A440" s="174"/>
      <c r="C440" s="175"/>
      <c r="D440" s="176"/>
      <c r="I440" s="177"/>
    </row>
    <row r="441" spans="1:9">
      <c r="A441" s="174"/>
      <c r="C441" s="175"/>
      <c r="D441" s="176"/>
      <c r="I441" s="177"/>
    </row>
    <row r="442" spans="1:9">
      <c r="A442" s="174"/>
      <c r="C442" s="175"/>
      <c r="D442" s="176"/>
      <c r="I442" s="177"/>
    </row>
    <row r="443" spans="1:9">
      <c r="A443" s="174"/>
      <c r="C443" s="175"/>
      <c r="D443" s="176"/>
      <c r="I443" s="177"/>
    </row>
    <row r="444" spans="1:9">
      <c r="A444" s="174"/>
      <c r="C444" s="175"/>
      <c r="D444" s="176"/>
      <c r="I444" s="177"/>
    </row>
    <row r="445" spans="1:9">
      <c r="A445" s="174"/>
      <c r="C445" s="175"/>
      <c r="D445" s="176"/>
      <c r="I445" s="177"/>
    </row>
    <row r="446" spans="1:9">
      <c r="A446" s="174"/>
      <c r="C446" s="175"/>
      <c r="D446" s="176"/>
      <c r="I446" s="177"/>
    </row>
    <row r="447" spans="1:9">
      <c r="A447" s="174"/>
      <c r="C447" s="175"/>
      <c r="D447" s="176"/>
      <c r="I447" s="177"/>
    </row>
    <row r="448" spans="1:9">
      <c r="A448" s="174"/>
      <c r="C448" s="175"/>
      <c r="D448" s="176"/>
      <c r="I448" s="177"/>
    </row>
    <row r="449" spans="1:9">
      <c r="A449" s="174"/>
      <c r="C449" s="175"/>
      <c r="D449" s="176"/>
      <c r="I449" s="177"/>
    </row>
    <row r="450" spans="1:9">
      <c r="A450" s="174"/>
      <c r="C450" s="175"/>
      <c r="D450" s="176"/>
      <c r="I450" s="177"/>
    </row>
    <row r="451" spans="1:9">
      <c r="A451" s="174"/>
      <c r="C451" s="175"/>
      <c r="D451" s="176"/>
      <c r="I451" s="177"/>
    </row>
    <row r="452" spans="1:9">
      <c r="A452" s="174"/>
      <c r="C452" s="175"/>
      <c r="D452" s="176"/>
      <c r="I452" s="177"/>
    </row>
    <row r="453" spans="1:9">
      <c r="A453" s="174"/>
      <c r="C453" s="175"/>
      <c r="D453" s="176"/>
      <c r="I453" s="177"/>
    </row>
    <row r="454" spans="1:9">
      <c r="A454" s="174"/>
      <c r="C454" s="175"/>
      <c r="D454" s="176"/>
      <c r="I454" s="177"/>
    </row>
    <row r="455" spans="1:9">
      <c r="A455" s="174"/>
      <c r="C455" s="175"/>
      <c r="D455" s="176"/>
      <c r="I455" s="177"/>
    </row>
    <row r="456" spans="1:9">
      <c r="A456" s="174"/>
      <c r="C456" s="175"/>
      <c r="D456" s="176"/>
      <c r="I456" s="177"/>
    </row>
    <row r="457" spans="1:9">
      <c r="A457" s="174"/>
      <c r="C457" s="175"/>
      <c r="D457" s="176"/>
      <c r="I457" s="177"/>
    </row>
    <row r="458" spans="1:9">
      <c r="A458" s="174"/>
      <c r="C458" s="175"/>
      <c r="D458" s="176"/>
      <c r="I458" s="177"/>
    </row>
    <row r="459" spans="1:9">
      <c r="A459" s="174"/>
      <c r="C459" s="175"/>
      <c r="D459" s="176"/>
      <c r="I459" s="177"/>
    </row>
    <row r="460" spans="1:9">
      <c r="A460" s="174"/>
      <c r="C460" s="175"/>
      <c r="D460" s="176"/>
      <c r="I460" s="177"/>
    </row>
    <row r="461" spans="1:9">
      <c r="A461" s="174"/>
      <c r="C461" s="175"/>
      <c r="D461" s="176"/>
      <c r="I461" s="177"/>
    </row>
    <row r="462" spans="1:9">
      <c r="A462" s="174"/>
      <c r="C462" s="175"/>
      <c r="D462" s="176"/>
      <c r="I462" s="177"/>
    </row>
    <row r="463" spans="1:9">
      <c r="A463" s="174"/>
      <c r="C463" s="175"/>
      <c r="D463" s="176"/>
      <c r="I463" s="177"/>
    </row>
    <row r="464" spans="1:9">
      <c r="A464" s="174"/>
      <c r="C464" s="175"/>
      <c r="D464" s="176"/>
      <c r="I464" s="177"/>
    </row>
    <row r="465" spans="1:9">
      <c r="A465" s="174"/>
      <c r="C465" s="175"/>
      <c r="D465" s="176"/>
      <c r="I465" s="177"/>
    </row>
    <row r="466" spans="1:9">
      <c r="A466" s="174"/>
      <c r="C466" s="175"/>
      <c r="D466" s="176"/>
      <c r="I466" s="177"/>
    </row>
    <row r="467" spans="1:9">
      <c r="A467" s="174"/>
      <c r="C467" s="175"/>
      <c r="D467" s="176"/>
      <c r="I467" s="177"/>
    </row>
    <row r="468" spans="1:9">
      <c r="A468" s="174"/>
      <c r="C468" s="175"/>
      <c r="D468" s="176"/>
      <c r="I468" s="177"/>
    </row>
    <row r="469" spans="1:9">
      <c r="A469" s="174"/>
      <c r="C469" s="175"/>
      <c r="D469" s="176"/>
      <c r="I469" s="177"/>
    </row>
    <row r="470" spans="1:9">
      <c r="A470" s="174"/>
      <c r="C470" s="175"/>
      <c r="D470" s="176"/>
      <c r="I470" s="177"/>
    </row>
    <row r="471" spans="1:9">
      <c r="A471" s="174"/>
      <c r="C471" s="175"/>
      <c r="D471" s="176"/>
      <c r="I471" s="177"/>
    </row>
    <row r="472" spans="1:9">
      <c r="A472" s="174"/>
      <c r="C472" s="175"/>
      <c r="D472" s="176"/>
      <c r="I472" s="177"/>
    </row>
    <row r="473" spans="1:9">
      <c r="A473" s="174"/>
      <c r="C473" s="175"/>
      <c r="D473" s="176"/>
      <c r="I473" s="177"/>
    </row>
    <row r="474" spans="1:9">
      <c r="A474" s="174"/>
      <c r="C474" s="175"/>
      <c r="D474" s="176"/>
      <c r="I474" s="177"/>
    </row>
    <row r="475" spans="1:9">
      <c r="A475" s="174"/>
      <c r="C475" s="175"/>
      <c r="D475" s="176"/>
      <c r="I475" s="177"/>
    </row>
    <row r="476" spans="1:9">
      <c r="A476" s="174"/>
      <c r="C476" s="175"/>
      <c r="D476" s="176"/>
      <c r="I476" s="177"/>
    </row>
    <row r="477" spans="1:9">
      <c r="A477" s="174"/>
      <c r="C477" s="175"/>
      <c r="D477" s="176"/>
      <c r="I477" s="177"/>
    </row>
    <row r="478" spans="1:9">
      <c r="A478" s="174"/>
      <c r="C478" s="175"/>
      <c r="D478" s="176"/>
      <c r="I478" s="177"/>
    </row>
    <row r="479" spans="1:9">
      <c r="A479" s="174"/>
      <c r="C479" s="175"/>
      <c r="D479" s="176"/>
      <c r="I479" s="177"/>
    </row>
    <row r="480" spans="1:9">
      <c r="A480" s="174"/>
      <c r="C480" s="175"/>
      <c r="D480" s="176"/>
      <c r="I480" s="177"/>
    </row>
    <row r="481" spans="1:9">
      <c r="A481" s="174"/>
      <c r="C481" s="175"/>
      <c r="D481" s="176"/>
      <c r="I481" s="177"/>
    </row>
    <row r="482" spans="1:9">
      <c r="A482" s="174"/>
      <c r="C482" s="175"/>
      <c r="D482" s="176"/>
      <c r="I482" s="177"/>
    </row>
    <row r="483" spans="1:9">
      <c r="A483" s="174"/>
      <c r="C483" s="175"/>
      <c r="D483" s="176"/>
      <c r="I483" s="177"/>
    </row>
    <row r="484" spans="1:9">
      <c r="A484" s="174"/>
      <c r="C484" s="175"/>
      <c r="D484" s="176"/>
      <c r="I484" s="177"/>
    </row>
    <row r="485" spans="1:9">
      <c r="A485" s="174"/>
      <c r="C485" s="175"/>
      <c r="D485" s="176"/>
      <c r="I485" s="177"/>
    </row>
    <row r="486" spans="1:9">
      <c r="A486" s="174"/>
      <c r="C486" s="175"/>
      <c r="D486" s="176"/>
      <c r="I486" s="177"/>
    </row>
    <row r="487" spans="1:9">
      <c r="A487" s="174"/>
      <c r="C487" s="175"/>
      <c r="D487" s="176"/>
      <c r="I487" s="177"/>
    </row>
    <row r="488" spans="1:9">
      <c r="A488" s="174"/>
      <c r="C488" s="175"/>
      <c r="D488" s="176"/>
      <c r="I488" s="177"/>
    </row>
    <row r="489" spans="1:9">
      <c r="A489" s="174"/>
      <c r="C489" s="175"/>
      <c r="D489" s="176"/>
      <c r="I489" s="177"/>
    </row>
    <row r="490" spans="1:9">
      <c r="A490" s="174"/>
      <c r="C490" s="175"/>
      <c r="D490" s="176"/>
      <c r="I490" s="177"/>
    </row>
    <row r="491" spans="1:9">
      <c r="A491" s="174"/>
      <c r="C491" s="175"/>
      <c r="D491" s="176"/>
      <c r="I491" s="177"/>
    </row>
    <row r="492" spans="1:9">
      <c r="A492" s="174"/>
      <c r="C492" s="175"/>
      <c r="D492" s="176"/>
      <c r="I492" s="177"/>
    </row>
    <row r="493" spans="1:9">
      <c r="A493" s="174"/>
      <c r="C493" s="175"/>
      <c r="D493" s="176"/>
      <c r="I493" s="177"/>
    </row>
    <row r="494" spans="1:9">
      <c r="A494" s="174"/>
      <c r="C494" s="175"/>
      <c r="D494" s="176"/>
      <c r="I494" s="177"/>
    </row>
    <row r="495" spans="1:9">
      <c r="A495" s="174"/>
      <c r="C495" s="175"/>
      <c r="D495" s="176"/>
      <c r="I495" s="177"/>
    </row>
    <row r="496" spans="1:9">
      <c r="A496" s="174"/>
      <c r="C496" s="175"/>
      <c r="D496" s="176"/>
      <c r="I496" s="177"/>
    </row>
    <row r="497" spans="1:9">
      <c r="A497" s="174"/>
      <c r="C497" s="175"/>
      <c r="D497" s="176"/>
      <c r="I497" s="177"/>
    </row>
    <row r="498" spans="1:9">
      <c r="A498" s="174"/>
      <c r="C498" s="175"/>
      <c r="D498" s="176"/>
      <c r="I498" s="177"/>
    </row>
    <row r="499" spans="1:9">
      <c r="A499" s="174"/>
      <c r="C499" s="175"/>
      <c r="D499" s="176"/>
      <c r="I499" s="177"/>
    </row>
    <row r="500" spans="1:9">
      <c r="A500" s="174"/>
      <c r="C500" s="175"/>
      <c r="D500" s="176"/>
      <c r="I500" s="177"/>
    </row>
    <row r="501" spans="1:9">
      <c r="A501" s="174"/>
      <c r="C501" s="175"/>
      <c r="D501" s="176"/>
      <c r="I501" s="177"/>
    </row>
    <row r="502" spans="1:9">
      <c r="A502" s="174"/>
      <c r="C502" s="175"/>
      <c r="D502" s="176"/>
      <c r="I502" s="177"/>
    </row>
    <row r="503" spans="1:9">
      <c r="A503" s="174"/>
      <c r="C503" s="175"/>
      <c r="D503" s="176"/>
      <c r="I503" s="177"/>
    </row>
    <row r="504" spans="1:9">
      <c r="A504" s="174"/>
      <c r="C504" s="175"/>
      <c r="D504" s="176"/>
      <c r="I504" s="177"/>
    </row>
    <row r="505" spans="1:9">
      <c r="A505" s="174"/>
      <c r="C505" s="175"/>
      <c r="D505" s="176"/>
      <c r="I505" s="177"/>
    </row>
    <row r="506" spans="1:9">
      <c r="A506" s="174"/>
      <c r="C506" s="175"/>
      <c r="D506" s="176"/>
      <c r="I506" s="177"/>
    </row>
    <row r="507" spans="1:9">
      <c r="A507" s="174"/>
      <c r="C507" s="175"/>
      <c r="D507" s="176"/>
      <c r="I507" s="177"/>
    </row>
    <row r="508" spans="1:9">
      <c r="A508" s="174"/>
      <c r="C508" s="175"/>
      <c r="D508" s="176"/>
      <c r="I508" s="177"/>
    </row>
    <row r="509" spans="1:9">
      <c r="A509" s="174"/>
      <c r="C509" s="175"/>
      <c r="D509" s="176"/>
      <c r="I509" s="177"/>
    </row>
    <row r="510" spans="1:9">
      <c r="A510" s="174"/>
      <c r="C510" s="175"/>
      <c r="D510" s="176"/>
      <c r="I510" s="177"/>
    </row>
    <row r="511" spans="1:9">
      <c r="A511" s="174"/>
      <c r="C511" s="175"/>
      <c r="D511" s="176"/>
      <c r="I511" s="177"/>
    </row>
    <row r="512" spans="1:9">
      <c r="A512" s="174"/>
      <c r="C512" s="175"/>
      <c r="D512" s="176"/>
      <c r="I512" s="177"/>
    </row>
    <row r="513" spans="1:9">
      <c r="A513" s="174"/>
      <c r="C513" s="175"/>
      <c r="D513" s="176"/>
      <c r="I513" s="177"/>
    </row>
    <row r="514" spans="1:9">
      <c r="A514" s="174"/>
      <c r="C514" s="175"/>
      <c r="D514" s="176"/>
      <c r="I514" s="177"/>
    </row>
    <row r="515" spans="1:9">
      <c r="A515" s="174"/>
      <c r="C515" s="175"/>
      <c r="D515" s="176"/>
      <c r="I515" s="177"/>
    </row>
    <row r="516" spans="1:9">
      <c r="A516" s="174"/>
      <c r="C516" s="175"/>
      <c r="D516" s="176"/>
      <c r="I516" s="177"/>
    </row>
    <row r="517" spans="1:9">
      <c r="A517" s="174"/>
      <c r="C517" s="175"/>
      <c r="D517" s="176"/>
      <c r="I517" s="177"/>
    </row>
    <row r="518" spans="1:9">
      <c r="A518" s="174"/>
      <c r="C518" s="175"/>
      <c r="D518" s="176"/>
      <c r="I518" s="177"/>
    </row>
    <row r="519" spans="1:9">
      <c r="A519" s="174"/>
      <c r="C519" s="175"/>
      <c r="D519" s="176"/>
      <c r="I519" s="177"/>
    </row>
    <row r="520" spans="1:9">
      <c r="A520" s="174"/>
      <c r="C520" s="175"/>
      <c r="D520" s="176"/>
      <c r="I520" s="177"/>
    </row>
    <row r="521" spans="1:9">
      <c r="A521" s="174"/>
      <c r="C521" s="175"/>
      <c r="D521" s="176"/>
      <c r="I521" s="177"/>
    </row>
    <row r="522" spans="1:9">
      <c r="A522" s="174"/>
      <c r="C522" s="175"/>
      <c r="D522" s="176"/>
      <c r="I522" s="177"/>
    </row>
    <row r="523" spans="1:9">
      <c r="A523" s="174"/>
      <c r="C523" s="175"/>
      <c r="D523" s="176"/>
      <c r="I523" s="177"/>
    </row>
    <row r="524" spans="1:9">
      <c r="A524" s="174"/>
      <c r="C524" s="175"/>
      <c r="D524" s="176"/>
      <c r="I524" s="177"/>
    </row>
    <row r="525" spans="1:9">
      <c r="A525" s="174"/>
      <c r="C525" s="175"/>
      <c r="D525" s="176"/>
      <c r="I525" s="177"/>
    </row>
    <row r="526" spans="1:9">
      <c r="A526" s="174"/>
      <c r="C526" s="175"/>
      <c r="D526" s="176"/>
      <c r="I526" s="177"/>
    </row>
    <row r="527" spans="1:9">
      <c r="A527" s="174"/>
      <c r="C527" s="175"/>
      <c r="D527" s="176"/>
      <c r="I527" s="177"/>
    </row>
    <row r="528" spans="1:9">
      <c r="A528" s="174"/>
      <c r="C528" s="175"/>
      <c r="D528" s="176"/>
      <c r="I528" s="177"/>
    </row>
    <row r="529" spans="1:9">
      <c r="A529" s="174"/>
      <c r="C529" s="175"/>
      <c r="D529" s="176"/>
      <c r="I529" s="177"/>
    </row>
    <row r="530" spans="1:9">
      <c r="A530" s="174"/>
      <c r="C530" s="175"/>
      <c r="D530" s="176"/>
      <c r="I530" s="177"/>
    </row>
    <row r="531" spans="1:9">
      <c r="A531" s="174"/>
      <c r="C531" s="175"/>
      <c r="D531" s="176"/>
      <c r="I531" s="177"/>
    </row>
    <row r="532" spans="1:9">
      <c r="A532" s="174"/>
      <c r="C532" s="175"/>
      <c r="D532" s="176"/>
      <c r="I532" s="177"/>
    </row>
    <row r="533" spans="1:9">
      <c r="A533" s="174"/>
      <c r="C533" s="175"/>
      <c r="D533" s="176"/>
      <c r="I533" s="177"/>
    </row>
    <row r="534" spans="1:9">
      <c r="A534" s="174"/>
      <c r="C534" s="175"/>
      <c r="D534" s="176"/>
      <c r="I534" s="177"/>
    </row>
    <row r="535" spans="1:9">
      <c r="A535" s="174"/>
      <c r="C535" s="175"/>
      <c r="D535" s="176"/>
      <c r="I535" s="177"/>
    </row>
    <row r="536" spans="1:9">
      <c r="A536" s="174"/>
      <c r="C536" s="175"/>
      <c r="D536" s="176"/>
      <c r="I536" s="177"/>
    </row>
    <row r="537" spans="1:9">
      <c r="A537" s="174"/>
      <c r="C537" s="175"/>
      <c r="D537" s="176"/>
      <c r="I537" s="177"/>
    </row>
    <row r="538" spans="1:9">
      <c r="A538" s="174"/>
      <c r="C538" s="175"/>
      <c r="D538" s="176"/>
      <c r="I538" s="177"/>
    </row>
    <row r="539" spans="1:9">
      <c r="A539" s="174"/>
      <c r="C539" s="175"/>
      <c r="D539" s="176"/>
      <c r="I539" s="177"/>
    </row>
    <row r="540" spans="1:9">
      <c r="A540" s="174"/>
      <c r="C540" s="175"/>
      <c r="D540" s="176"/>
      <c r="I540" s="177"/>
    </row>
    <row r="541" spans="1:9">
      <c r="A541" s="174"/>
      <c r="C541" s="175"/>
      <c r="D541" s="176"/>
      <c r="I541" s="177"/>
    </row>
    <row r="542" spans="1:9">
      <c r="A542" s="174"/>
      <c r="C542" s="175"/>
      <c r="D542" s="176"/>
      <c r="I542" s="177"/>
    </row>
    <row r="543" spans="1:9">
      <c r="A543" s="174"/>
      <c r="C543" s="175"/>
      <c r="D543" s="176"/>
      <c r="I543" s="177"/>
    </row>
    <row r="544" spans="1:9">
      <c r="A544" s="174"/>
      <c r="C544" s="175"/>
      <c r="D544" s="176"/>
      <c r="I544" s="177"/>
    </row>
    <row r="545" spans="1:9">
      <c r="A545" s="174"/>
      <c r="C545" s="175"/>
      <c r="D545" s="176"/>
      <c r="I545" s="177"/>
    </row>
    <row r="546" spans="1:9">
      <c r="A546" s="174"/>
      <c r="C546" s="175"/>
      <c r="D546" s="176"/>
      <c r="I546" s="177"/>
    </row>
    <row r="547" spans="1:9">
      <c r="A547" s="174"/>
      <c r="C547" s="175"/>
      <c r="D547" s="176"/>
      <c r="I547" s="177"/>
    </row>
    <row r="548" spans="1:9">
      <c r="A548" s="174"/>
      <c r="C548" s="175"/>
      <c r="D548" s="176"/>
      <c r="I548" s="177"/>
    </row>
    <row r="549" spans="1:9">
      <c r="A549" s="174"/>
      <c r="C549" s="175"/>
      <c r="D549" s="176"/>
      <c r="I549" s="177"/>
    </row>
    <row r="550" spans="1:9">
      <c r="A550" s="174"/>
      <c r="C550" s="175"/>
      <c r="D550" s="176"/>
      <c r="I550" s="177"/>
    </row>
    <row r="551" spans="1:9">
      <c r="A551" s="174"/>
      <c r="C551" s="175"/>
      <c r="D551" s="176"/>
      <c r="I551" s="177"/>
    </row>
    <row r="552" spans="1:9">
      <c r="A552" s="174"/>
      <c r="C552" s="175"/>
      <c r="D552" s="176"/>
      <c r="I552" s="177"/>
    </row>
    <row r="553" spans="1:9">
      <c r="A553" s="174"/>
      <c r="C553" s="175"/>
      <c r="D553" s="176"/>
      <c r="I553" s="177"/>
    </row>
    <row r="554" spans="1:9">
      <c r="A554" s="174"/>
      <c r="C554" s="175"/>
      <c r="D554" s="176"/>
      <c r="I554" s="177"/>
    </row>
    <row r="555" spans="1:9">
      <c r="A555" s="174"/>
      <c r="C555" s="175"/>
      <c r="D555" s="176"/>
      <c r="I555" s="177"/>
    </row>
    <row r="556" spans="1:9">
      <c r="A556" s="174"/>
      <c r="C556" s="175"/>
      <c r="D556" s="176"/>
      <c r="I556" s="177"/>
    </row>
    <row r="557" spans="1:9">
      <c r="A557" s="174"/>
      <c r="C557" s="175"/>
      <c r="D557" s="176"/>
      <c r="I557" s="177"/>
    </row>
    <row r="558" spans="1:9">
      <c r="A558" s="174"/>
      <c r="C558" s="175"/>
      <c r="D558" s="176"/>
      <c r="I558" s="177"/>
    </row>
    <row r="559" spans="1:9">
      <c r="A559" s="174"/>
      <c r="C559" s="175"/>
      <c r="D559" s="176"/>
      <c r="I559" s="177"/>
    </row>
    <row r="560" spans="1:9">
      <c r="A560" s="174"/>
      <c r="C560" s="175"/>
      <c r="D560" s="176"/>
      <c r="I560" s="177"/>
    </row>
    <row r="561" spans="1:9">
      <c r="A561" s="174"/>
      <c r="C561" s="175"/>
      <c r="D561" s="176"/>
      <c r="I561" s="177"/>
    </row>
    <row r="562" spans="1:9">
      <c r="A562" s="174"/>
      <c r="C562" s="175"/>
      <c r="D562" s="176"/>
      <c r="I562" s="177"/>
    </row>
    <row r="563" spans="1:9">
      <c r="A563" s="174"/>
      <c r="C563" s="175"/>
      <c r="D563" s="176"/>
      <c r="I563" s="177"/>
    </row>
    <row r="564" spans="1:9">
      <c r="A564" s="174"/>
      <c r="C564" s="175"/>
      <c r="D564" s="176"/>
      <c r="I564" s="177"/>
    </row>
    <row r="565" spans="1:9">
      <c r="A565" s="174"/>
      <c r="C565" s="175"/>
      <c r="D565" s="176"/>
      <c r="I565" s="177"/>
    </row>
    <row r="566" spans="1:9">
      <c r="A566" s="174"/>
      <c r="C566" s="175"/>
      <c r="D566" s="176"/>
      <c r="I566" s="177"/>
    </row>
    <row r="567" spans="1:9">
      <c r="A567" s="174"/>
      <c r="C567" s="175"/>
      <c r="D567" s="176"/>
      <c r="I567" s="177"/>
    </row>
    <row r="568" spans="1:9">
      <c r="A568" s="174"/>
      <c r="C568" s="175"/>
      <c r="D568" s="176"/>
      <c r="I568" s="177"/>
    </row>
    <row r="569" spans="1:9">
      <c r="A569" s="174"/>
      <c r="C569" s="175"/>
      <c r="D569" s="176"/>
      <c r="I569" s="177"/>
    </row>
    <row r="570" spans="1:9">
      <c r="A570" s="174"/>
      <c r="C570" s="175"/>
      <c r="D570" s="176"/>
      <c r="I570" s="177"/>
    </row>
    <row r="571" spans="1:9">
      <c r="A571" s="174"/>
      <c r="C571" s="175"/>
      <c r="D571" s="176"/>
      <c r="I571" s="177"/>
    </row>
    <row r="572" spans="1:9">
      <c r="A572" s="174"/>
      <c r="C572" s="175"/>
      <c r="D572" s="176"/>
      <c r="I572" s="177"/>
    </row>
    <row r="573" spans="1:9">
      <c r="A573" s="174"/>
      <c r="C573" s="175"/>
      <c r="D573" s="176"/>
      <c r="I573" s="177"/>
    </row>
    <row r="574" spans="1:9">
      <c r="A574" s="174"/>
      <c r="C574" s="175"/>
      <c r="D574" s="176"/>
      <c r="I574" s="177"/>
    </row>
    <row r="575" spans="1:9">
      <c r="A575" s="174"/>
      <c r="C575" s="175"/>
      <c r="D575" s="176"/>
      <c r="I575" s="177"/>
    </row>
    <row r="576" spans="1:9">
      <c r="A576" s="174"/>
      <c r="C576" s="175"/>
      <c r="D576" s="176"/>
      <c r="I576" s="177"/>
    </row>
    <row r="577" spans="1:9">
      <c r="A577" s="174"/>
      <c r="C577" s="175"/>
      <c r="D577" s="176"/>
      <c r="I577" s="177"/>
    </row>
    <row r="578" spans="1:9">
      <c r="A578" s="174"/>
      <c r="C578" s="175"/>
      <c r="D578" s="176"/>
      <c r="I578" s="177"/>
    </row>
    <row r="579" spans="1:9">
      <c r="A579" s="174"/>
      <c r="C579" s="175"/>
      <c r="D579" s="176"/>
      <c r="I579" s="177"/>
    </row>
    <row r="580" spans="1:9">
      <c r="A580" s="174"/>
      <c r="C580" s="175"/>
      <c r="D580" s="176"/>
      <c r="I580" s="177"/>
    </row>
    <row r="581" spans="1:9">
      <c r="A581" s="174"/>
      <c r="C581" s="175"/>
      <c r="D581" s="176"/>
      <c r="I581" s="177"/>
    </row>
    <row r="582" spans="1:9">
      <c r="A582" s="174"/>
      <c r="C582" s="175"/>
      <c r="D582" s="176"/>
      <c r="I582" s="177"/>
    </row>
    <row r="583" spans="1:9">
      <c r="A583" s="174"/>
      <c r="C583" s="175"/>
      <c r="D583" s="176"/>
      <c r="I583" s="177"/>
    </row>
    <row r="584" spans="1:9">
      <c r="A584" s="174"/>
      <c r="C584" s="175"/>
      <c r="D584" s="176"/>
      <c r="I584" s="177"/>
    </row>
    <row r="585" spans="1:9">
      <c r="A585" s="174"/>
      <c r="C585" s="175"/>
      <c r="D585" s="176"/>
      <c r="I585" s="177"/>
    </row>
    <row r="586" spans="1:9">
      <c r="A586" s="174"/>
      <c r="C586" s="175"/>
      <c r="D586" s="176"/>
      <c r="I586" s="177"/>
    </row>
    <row r="587" spans="1:9">
      <c r="A587" s="174"/>
      <c r="C587" s="175"/>
      <c r="D587" s="176"/>
      <c r="I587" s="177"/>
    </row>
    <row r="588" spans="1:9">
      <c r="A588" s="174"/>
      <c r="C588" s="175"/>
      <c r="D588" s="176"/>
      <c r="I588" s="177"/>
    </row>
    <row r="589" spans="1:9">
      <c r="A589" s="174"/>
      <c r="C589" s="175"/>
      <c r="D589" s="176"/>
      <c r="I589" s="177"/>
    </row>
    <row r="590" spans="1:9">
      <c r="A590" s="174"/>
      <c r="C590" s="175"/>
      <c r="D590" s="176"/>
      <c r="I590" s="177"/>
    </row>
    <row r="591" spans="1:9">
      <c r="A591" s="174"/>
      <c r="C591" s="175"/>
      <c r="D591" s="176"/>
      <c r="I591" s="177"/>
    </row>
    <row r="592" spans="1:9">
      <c r="A592" s="174"/>
      <c r="C592" s="175"/>
      <c r="D592" s="176"/>
      <c r="I592" s="177"/>
    </row>
    <row r="593" spans="1:9">
      <c r="A593" s="174"/>
      <c r="C593" s="175"/>
      <c r="D593" s="176"/>
      <c r="I593" s="177"/>
    </row>
    <row r="594" spans="1:9">
      <c r="A594" s="174"/>
      <c r="C594" s="175"/>
      <c r="D594" s="176"/>
      <c r="I594" s="177"/>
    </row>
    <row r="595" spans="1:9">
      <c r="A595" s="174"/>
      <c r="C595" s="175"/>
      <c r="D595" s="176"/>
      <c r="I595" s="177"/>
    </row>
    <row r="596" spans="1:9">
      <c r="A596" s="174"/>
      <c r="C596" s="175"/>
      <c r="D596" s="176"/>
      <c r="I596" s="177"/>
    </row>
    <row r="597" spans="1:9">
      <c r="A597" s="174"/>
      <c r="C597" s="175"/>
      <c r="D597" s="176"/>
      <c r="I597" s="177"/>
    </row>
    <row r="598" spans="1:9">
      <c r="A598" s="174"/>
      <c r="C598" s="175"/>
      <c r="D598" s="176"/>
      <c r="I598" s="177"/>
    </row>
    <row r="599" spans="1:9">
      <c r="A599" s="174"/>
      <c r="C599" s="175"/>
      <c r="D599" s="176"/>
      <c r="I599" s="177"/>
    </row>
    <row r="600" spans="1:9">
      <c r="A600" s="174"/>
      <c r="C600" s="175"/>
      <c r="D600" s="176"/>
      <c r="I600" s="177"/>
    </row>
    <row r="601" spans="1:9">
      <c r="A601" s="174"/>
      <c r="C601" s="175"/>
      <c r="D601" s="176"/>
      <c r="I601" s="177"/>
    </row>
    <row r="602" spans="1:9">
      <c r="A602" s="174"/>
      <c r="C602" s="175"/>
      <c r="D602" s="176"/>
      <c r="I602" s="177"/>
    </row>
    <row r="603" spans="1:9">
      <c r="A603" s="174"/>
      <c r="C603" s="175"/>
      <c r="D603" s="176"/>
      <c r="I603" s="177"/>
    </row>
    <row r="604" spans="1:9">
      <c r="A604" s="174"/>
      <c r="C604" s="175"/>
      <c r="D604" s="176"/>
      <c r="I604" s="177"/>
    </row>
    <row r="605" spans="1:9">
      <c r="A605" s="174"/>
      <c r="C605" s="175"/>
      <c r="D605" s="176"/>
      <c r="I605" s="177"/>
    </row>
    <row r="606" spans="1:9">
      <c r="A606" s="174"/>
      <c r="C606" s="175"/>
      <c r="D606" s="176"/>
      <c r="I606" s="177"/>
    </row>
    <row r="607" spans="1:9">
      <c r="A607" s="174"/>
      <c r="C607" s="175"/>
      <c r="D607" s="176"/>
      <c r="I607" s="177"/>
    </row>
    <row r="608" spans="1:9">
      <c r="A608" s="174"/>
      <c r="C608" s="175"/>
      <c r="D608" s="176"/>
      <c r="I608" s="177"/>
    </row>
    <row r="609" spans="1:9">
      <c r="A609" s="174"/>
      <c r="C609" s="175"/>
      <c r="D609" s="176"/>
      <c r="I609" s="177"/>
    </row>
    <row r="610" spans="1:9">
      <c r="A610" s="174"/>
      <c r="C610" s="175"/>
      <c r="D610" s="176"/>
      <c r="I610" s="177"/>
    </row>
    <row r="611" spans="1:9">
      <c r="A611" s="174"/>
      <c r="C611" s="175"/>
      <c r="D611" s="176"/>
      <c r="I611" s="177"/>
    </row>
    <row r="612" spans="1:9">
      <c r="A612" s="174"/>
      <c r="C612" s="175"/>
      <c r="D612" s="176"/>
      <c r="I612" s="177"/>
    </row>
    <row r="613" spans="1:9">
      <c r="A613" s="174"/>
      <c r="C613" s="175"/>
      <c r="D613" s="176"/>
      <c r="I613" s="177"/>
    </row>
    <row r="614" spans="1:9">
      <c r="A614" s="174"/>
      <c r="C614" s="175"/>
      <c r="D614" s="176"/>
      <c r="I614" s="177"/>
    </row>
    <row r="615" spans="1:9">
      <c r="A615" s="174"/>
      <c r="C615" s="175"/>
      <c r="D615" s="176"/>
      <c r="I615" s="177"/>
    </row>
    <row r="616" spans="1:9">
      <c r="A616" s="174"/>
      <c r="C616" s="175"/>
      <c r="D616" s="176"/>
      <c r="I616" s="177"/>
    </row>
    <row r="617" spans="1:9">
      <c r="A617" s="174"/>
      <c r="C617" s="175"/>
      <c r="D617" s="176"/>
      <c r="I617" s="177"/>
    </row>
    <row r="618" spans="1:9">
      <c r="A618" s="174"/>
      <c r="C618" s="175"/>
      <c r="D618" s="176"/>
      <c r="I618" s="177"/>
    </row>
    <row r="619" spans="1:9">
      <c r="A619" s="174"/>
      <c r="C619" s="175"/>
      <c r="D619" s="176"/>
      <c r="I619" s="177"/>
    </row>
    <row r="620" spans="1:9">
      <c r="A620" s="174"/>
      <c r="C620" s="175"/>
      <c r="D620" s="176"/>
      <c r="I620" s="177"/>
    </row>
    <row r="621" spans="1:9">
      <c r="A621" s="174"/>
      <c r="C621" s="175"/>
      <c r="D621" s="176"/>
      <c r="I621" s="177"/>
    </row>
    <row r="622" spans="1:9">
      <c r="A622" s="174"/>
      <c r="C622" s="175"/>
      <c r="D622" s="176"/>
      <c r="I622" s="177"/>
    </row>
    <row r="623" spans="1:9">
      <c r="A623" s="174"/>
      <c r="C623" s="175"/>
      <c r="D623" s="176"/>
      <c r="I623" s="177"/>
    </row>
    <row r="624" spans="1:9">
      <c r="A624" s="174"/>
      <c r="C624" s="175"/>
      <c r="D624" s="176"/>
      <c r="I624" s="177"/>
    </row>
    <row r="625" spans="1:9">
      <c r="A625" s="174"/>
      <c r="C625" s="175"/>
      <c r="D625" s="176"/>
      <c r="I625" s="177"/>
    </row>
    <row r="626" spans="1:9">
      <c r="A626" s="174"/>
      <c r="C626" s="175"/>
      <c r="D626" s="176"/>
      <c r="I626" s="177"/>
    </row>
    <row r="627" spans="1:9">
      <c r="A627" s="174"/>
      <c r="C627" s="175"/>
      <c r="D627" s="176"/>
      <c r="I627" s="177"/>
    </row>
    <row r="628" spans="1:9">
      <c r="A628" s="174"/>
      <c r="C628" s="175"/>
      <c r="D628" s="176"/>
      <c r="I628" s="177"/>
    </row>
    <row r="629" spans="1:9">
      <c r="A629" s="174"/>
      <c r="C629" s="175"/>
      <c r="D629" s="176"/>
      <c r="I629" s="177"/>
    </row>
    <row r="630" spans="1:9">
      <c r="A630" s="174"/>
      <c r="C630" s="175"/>
      <c r="D630" s="176"/>
      <c r="I630" s="177"/>
    </row>
    <row r="631" spans="1:9">
      <c r="A631" s="174"/>
      <c r="C631" s="175"/>
      <c r="D631" s="176"/>
      <c r="I631" s="177"/>
    </row>
    <row r="632" spans="1:9">
      <c r="A632" s="174"/>
      <c r="C632" s="175"/>
      <c r="D632" s="176"/>
      <c r="I632" s="177"/>
    </row>
    <row r="633" spans="1:9">
      <c r="A633" s="174"/>
      <c r="C633" s="175"/>
      <c r="D633" s="176"/>
      <c r="I633" s="177"/>
    </row>
    <row r="634" spans="1:9">
      <c r="A634" s="174"/>
      <c r="C634" s="175"/>
      <c r="D634" s="176"/>
      <c r="I634" s="177"/>
    </row>
    <row r="635" spans="1:9">
      <c r="A635" s="174"/>
      <c r="C635" s="175"/>
      <c r="D635" s="176"/>
      <c r="I635" s="177"/>
    </row>
    <row r="636" spans="1:9">
      <c r="A636" s="174"/>
      <c r="C636" s="175"/>
      <c r="D636" s="176"/>
      <c r="I636" s="177"/>
    </row>
    <row r="637" spans="1:9">
      <c r="A637" s="174"/>
      <c r="C637" s="175"/>
      <c r="D637" s="176"/>
      <c r="I637" s="177"/>
    </row>
    <row r="638" spans="1:9">
      <c r="A638" s="174"/>
      <c r="C638" s="175"/>
      <c r="D638" s="176"/>
      <c r="I638" s="177"/>
    </row>
    <row r="639" spans="1:9">
      <c r="A639" s="174"/>
      <c r="C639" s="175"/>
      <c r="D639" s="176"/>
      <c r="I639" s="177"/>
    </row>
    <row r="640" spans="1:9">
      <c r="A640" s="174"/>
      <c r="C640" s="175"/>
      <c r="D640" s="176"/>
      <c r="I640" s="177"/>
    </row>
    <row r="641" spans="1:9">
      <c r="A641" s="174"/>
      <c r="C641" s="175"/>
      <c r="D641" s="176"/>
      <c r="I641" s="177"/>
    </row>
    <row r="642" spans="1:9">
      <c r="A642" s="174"/>
      <c r="C642" s="175"/>
      <c r="D642" s="176"/>
      <c r="I642" s="177"/>
    </row>
    <row r="643" spans="1:9">
      <c r="A643" s="174"/>
      <c r="C643" s="175"/>
      <c r="D643" s="176"/>
      <c r="I643" s="177"/>
    </row>
    <row r="644" spans="1:9">
      <c r="A644" s="174"/>
      <c r="C644" s="175"/>
      <c r="D644" s="176"/>
      <c r="I644" s="177"/>
    </row>
    <row r="645" spans="1:9">
      <c r="A645" s="174"/>
      <c r="C645" s="175"/>
      <c r="D645" s="176"/>
      <c r="I645" s="177"/>
    </row>
    <row r="646" spans="1:9">
      <c r="A646" s="174"/>
      <c r="C646" s="175"/>
      <c r="D646" s="176"/>
      <c r="I646" s="177"/>
    </row>
    <row r="647" spans="1:9">
      <c r="A647" s="174"/>
      <c r="C647" s="175"/>
      <c r="D647" s="176"/>
      <c r="I647" s="177"/>
    </row>
    <row r="648" spans="1:9">
      <c r="A648" s="174"/>
      <c r="C648" s="175"/>
      <c r="D648" s="176"/>
      <c r="I648" s="177"/>
    </row>
    <row r="649" spans="1:9">
      <c r="A649" s="174"/>
      <c r="C649" s="175"/>
      <c r="D649" s="176"/>
      <c r="I649" s="177"/>
    </row>
    <row r="650" spans="1:9">
      <c r="A650" s="174"/>
      <c r="C650" s="175"/>
      <c r="D650" s="176"/>
      <c r="I650" s="177"/>
    </row>
    <row r="651" spans="1:9">
      <c r="A651" s="174"/>
      <c r="C651" s="175"/>
      <c r="D651" s="176"/>
      <c r="I651" s="177"/>
    </row>
    <row r="652" spans="1:9">
      <c r="A652" s="174"/>
      <c r="C652" s="175"/>
      <c r="D652" s="176"/>
      <c r="I652" s="177"/>
    </row>
    <row r="653" spans="1:9">
      <c r="A653" s="174"/>
      <c r="C653" s="175"/>
      <c r="D653" s="176"/>
      <c r="I653" s="177"/>
    </row>
    <row r="654" spans="1:9">
      <c r="A654" s="174"/>
      <c r="C654" s="175"/>
      <c r="D654" s="176"/>
      <c r="I654" s="177"/>
    </row>
    <row r="655" spans="1:9">
      <c r="A655" s="174"/>
      <c r="C655" s="175"/>
      <c r="D655" s="176"/>
      <c r="I655" s="177"/>
    </row>
    <row r="656" spans="1:9">
      <c r="A656" s="174"/>
      <c r="C656" s="175"/>
      <c r="D656" s="176"/>
      <c r="I656" s="177"/>
    </row>
    <row r="657" spans="1:9">
      <c r="A657" s="174"/>
      <c r="C657" s="175"/>
      <c r="D657" s="176"/>
      <c r="I657" s="177"/>
    </row>
    <row r="658" spans="1:9">
      <c r="A658" s="174"/>
      <c r="C658" s="175"/>
      <c r="D658" s="176"/>
      <c r="I658" s="177"/>
    </row>
    <row r="659" spans="1:9">
      <c r="A659" s="174"/>
      <c r="C659" s="175"/>
      <c r="D659" s="176"/>
      <c r="I659" s="177"/>
    </row>
    <row r="660" spans="1:9">
      <c r="A660" s="174"/>
      <c r="C660" s="175"/>
      <c r="D660" s="176"/>
      <c r="I660" s="177"/>
    </row>
    <row r="661" spans="1:9">
      <c r="A661" s="174"/>
      <c r="C661" s="175"/>
      <c r="D661" s="176"/>
      <c r="I661" s="177"/>
    </row>
    <row r="662" spans="1:9">
      <c r="A662" s="174"/>
      <c r="C662" s="175"/>
      <c r="D662" s="176"/>
      <c r="I662" s="177"/>
    </row>
    <row r="663" spans="1:9">
      <c r="A663" s="174"/>
      <c r="C663" s="175"/>
      <c r="D663" s="176"/>
      <c r="I663" s="177"/>
    </row>
    <row r="664" spans="1:9">
      <c r="A664" s="174"/>
      <c r="C664" s="175"/>
      <c r="D664" s="176"/>
      <c r="I664" s="177"/>
    </row>
    <row r="665" spans="1:9">
      <c r="A665" s="174"/>
      <c r="C665" s="175"/>
      <c r="D665" s="176"/>
      <c r="I665" s="177"/>
    </row>
    <row r="666" spans="1:9">
      <c r="A666" s="174"/>
      <c r="C666" s="175"/>
      <c r="D666" s="176"/>
      <c r="I666" s="177"/>
    </row>
    <row r="667" spans="1:9">
      <c r="A667" s="174"/>
      <c r="C667" s="175"/>
      <c r="D667" s="176"/>
      <c r="I667" s="177"/>
    </row>
    <row r="668" spans="1:9">
      <c r="A668" s="174"/>
      <c r="C668" s="175"/>
      <c r="D668" s="176"/>
      <c r="I668" s="177"/>
    </row>
    <row r="669" spans="1:9">
      <c r="A669" s="174"/>
      <c r="C669" s="175"/>
      <c r="D669" s="176"/>
      <c r="I669" s="177"/>
    </row>
    <row r="670" spans="1:9">
      <c r="A670" s="174"/>
      <c r="C670" s="175"/>
      <c r="D670" s="176"/>
      <c r="I670" s="177"/>
    </row>
    <row r="671" spans="1:9">
      <c r="A671" s="174"/>
      <c r="C671" s="175"/>
      <c r="D671" s="176"/>
      <c r="I671" s="177"/>
    </row>
    <row r="672" spans="1:9">
      <c r="A672" s="174"/>
      <c r="C672" s="175"/>
      <c r="D672" s="176"/>
      <c r="I672" s="177"/>
    </row>
    <row r="673" spans="1:9">
      <c r="A673" s="174"/>
      <c r="C673" s="175"/>
      <c r="D673" s="176"/>
      <c r="I673" s="177"/>
    </row>
    <row r="674" spans="1:9">
      <c r="A674" s="174"/>
      <c r="C674" s="175"/>
      <c r="D674" s="176"/>
      <c r="I674" s="177"/>
    </row>
    <row r="675" spans="1:9">
      <c r="A675" s="174"/>
      <c r="C675" s="175"/>
      <c r="D675" s="176"/>
      <c r="I675" s="177"/>
    </row>
    <row r="676" spans="1:9">
      <c r="A676" s="174"/>
      <c r="C676" s="175"/>
      <c r="D676" s="176"/>
      <c r="I676" s="177"/>
    </row>
    <row r="677" spans="1:9">
      <c r="A677" s="174"/>
      <c r="C677" s="175"/>
      <c r="D677" s="176"/>
      <c r="I677" s="177"/>
    </row>
    <row r="678" spans="1:9">
      <c r="A678" s="174"/>
      <c r="C678" s="175"/>
      <c r="D678" s="176"/>
      <c r="I678" s="177"/>
    </row>
    <row r="679" spans="1:9">
      <c r="A679" s="174"/>
      <c r="C679" s="175"/>
      <c r="D679" s="176"/>
      <c r="I679" s="177"/>
    </row>
    <row r="680" spans="1:9">
      <c r="A680" s="174"/>
      <c r="C680" s="175"/>
      <c r="D680" s="176"/>
      <c r="I680" s="177"/>
    </row>
    <row r="681" spans="1:9">
      <c r="A681" s="174"/>
      <c r="C681" s="175"/>
      <c r="D681" s="176"/>
      <c r="I681" s="177"/>
    </row>
    <row r="682" spans="1:9">
      <c r="A682" s="174"/>
      <c r="C682" s="175"/>
      <c r="D682" s="176"/>
      <c r="I682" s="177"/>
    </row>
    <row r="683" spans="1:9">
      <c r="A683" s="174"/>
      <c r="C683" s="175"/>
      <c r="D683" s="176"/>
      <c r="I683" s="177"/>
    </row>
    <row r="684" spans="1:9">
      <c r="A684" s="174"/>
      <c r="C684" s="175"/>
      <c r="D684" s="176"/>
      <c r="I684" s="177"/>
    </row>
    <row r="685" spans="1:9">
      <c r="A685" s="174"/>
      <c r="C685" s="175"/>
      <c r="D685" s="176"/>
      <c r="I685" s="177"/>
    </row>
    <row r="686" spans="1:9">
      <c r="A686" s="174"/>
      <c r="C686" s="175"/>
      <c r="D686" s="176"/>
      <c r="I686" s="177"/>
    </row>
    <row r="687" spans="1:9">
      <c r="A687" s="174"/>
      <c r="C687" s="175"/>
      <c r="D687" s="176"/>
      <c r="I687" s="177"/>
    </row>
    <row r="688" spans="1:9">
      <c r="A688" s="174"/>
      <c r="C688" s="175"/>
      <c r="D688" s="176"/>
      <c r="I688" s="177"/>
    </row>
    <row r="689" spans="1:9">
      <c r="A689" s="174"/>
      <c r="C689" s="175"/>
      <c r="D689" s="176"/>
      <c r="I689" s="177"/>
    </row>
    <row r="690" spans="1:9">
      <c r="A690" s="174"/>
      <c r="C690" s="175"/>
      <c r="D690" s="176"/>
      <c r="I690" s="177"/>
    </row>
    <row r="691" spans="1:9">
      <c r="A691" s="174"/>
      <c r="C691" s="175"/>
      <c r="D691" s="176"/>
      <c r="I691" s="177"/>
    </row>
    <row r="692" spans="1:9">
      <c r="A692" s="174"/>
      <c r="C692" s="175"/>
      <c r="D692" s="176"/>
      <c r="I692" s="177"/>
    </row>
    <row r="693" spans="1:9">
      <c r="A693" s="174"/>
      <c r="C693" s="175"/>
      <c r="D693" s="176"/>
      <c r="I693" s="177"/>
    </row>
    <row r="694" spans="1:9">
      <c r="A694" s="174"/>
      <c r="C694" s="175"/>
      <c r="D694" s="176"/>
      <c r="I694" s="177"/>
    </row>
    <row r="695" spans="1:9">
      <c r="A695" s="174"/>
      <c r="C695" s="175"/>
      <c r="D695" s="176"/>
      <c r="I695" s="177"/>
    </row>
    <row r="696" spans="1:9">
      <c r="A696" s="174"/>
      <c r="C696" s="175"/>
      <c r="D696" s="176"/>
      <c r="I696" s="177"/>
    </row>
    <row r="697" spans="1:9">
      <c r="A697" s="174"/>
      <c r="C697" s="175"/>
      <c r="D697" s="176"/>
      <c r="I697" s="177"/>
    </row>
    <row r="698" spans="1:9">
      <c r="A698" s="174"/>
      <c r="C698" s="175"/>
      <c r="D698" s="176"/>
      <c r="I698" s="177"/>
    </row>
    <row r="699" spans="1:9">
      <c r="A699" s="174"/>
      <c r="C699" s="175"/>
      <c r="D699" s="176"/>
      <c r="I699" s="177"/>
    </row>
    <row r="700" spans="1:9">
      <c r="A700" s="174"/>
      <c r="C700" s="175"/>
      <c r="D700" s="176"/>
      <c r="I700" s="177"/>
    </row>
    <row r="701" spans="1:9">
      <c r="A701" s="174"/>
      <c r="C701" s="175"/>
      <c r="D701" s="176"/>
      <c r="I701" s="177"/>
    </row>
    <row r="702" spans="1:9">
      <c r="A702" s="174"/>
      <c r="C702" s="175"/>
      <c r="D702" s="176"/>
      <c r="I702" s="177"/>
    </row>
    <row r="703" spans="1:9">
      <c r="A703" s="174"/>
      <c r="C703" s="175"/>
      <c r="D703" s="176"/>
      <c r="I703" s="177"/>
    </row>
    <row r="704" spans="1:9">
      <c r="A704" s="174"/>
      <c r="C704" s="175"/>
      <c r="D704" s="176"/>
      <c r="I704" s="177"/>
    </row>
    <row r="705" spans="1:9">
      <c r="A705" s="174"/>
      <c r="C705" s="175"/>
      <c r="D705" s="176"/>
      <c r="I705" s="177"/>
    </row>
    <row r="706" spans="1:9">
      <c r="A706" s="174"/>
      <c r="C706" s="175"/>
      <c r="D706" s="176"/>
      <c r="I706" s="177"/>
    </row>
    <row r="707" spans="1:9">
      <c r="A707" s="174"/>
      <c r="C707" s="175"/>
      <c r="D707" s="176"/>
      <c r="I707" s="177"/>
    </row>
    <row r="708" spans="1:9">
      <c r="A708" s="174"/>
      <c r="C708" s="175"/>
      <c r="D708" s="176"/>
      <c r="I708" s="177"/>
    </row>
    <row r="709" spans="1:9">
      <c r="A709" s="174"/>
      <c r="C709" s="175"/>
      <c r="D709" s="176"/>
      <c r="I709" s="177"/>
    </row>
    <row r="710" spans="1:9">
      <c r="A710" s="174"/>
      <c r="C710" s="175"/>
      <c r="D710" s="176"/>
      <c r="I710" s="177"/>
    </row>
    <row r="711" spans="1:9">
      <c r="A711" s="174"/>
      <c r="C711" s="175"/>
      <c r="D711" s="176"/>
      <c r="I711" s="177"/>
    </row>
    <row r="712" spans="1:9">
      <c r="A712" s="174"/>
      <c r="C712" s="175"/>
      <c r="D712" s="176"/>
      <c r="I712" s="177"/>
    </row>
    <row r="713" spans="1:9">
      <c r="A713" s="174"/>
      <c r="C713" s="175"/>
      <c r="D713" s="176"/>
      <c r="I713" s="177"/>
    </row>
    <row r="714" spans="1:9">
      <c r="A714" s="174"/>
      <c r="C714" s="175"/>
      <c r="D714" s="176"/>
      <c r="I714" s="177"/>
    </row>
    <row r="715" spans="1:9">
      <c r="A715" s="174"/>
      <c r="C715" s="175"/>
      <c r="D715" s="176"/>
      <c r="I715" s="177"/>
    </row>
    <row r="716" spans="1:9">
      <c r="A716" s="174"/>
      <c r="C716" s="175"/>
      <c r="D716" s="176"/>
      <c r="I716" s="177"/>
    </row>
    <row r="717" spans="1:9">
      <c r="A717" s="174"/>
      <c r="C717" s="175"/>
      <c r="D717" s="176"/>
      <c r="I717" s="177"/>
    </row>
    <row r="718" spans="1:9">
      <c r="A718" s="174"/>
      <c r="C718" s="175"/>
      <c r="D718" s="176"/>
      <c r="I718" s="177"/>
    </row>
    <row r="719" spans="1:9">
      <c r="A719" s="174"/>
      <c r="C719" s="175"/>
      <c r="D719" s="176"/>
      <c r="I719" s="177"/>
    </row>
    <row r="720" spans="1:9">
      <c r="A720" s="174"/>
      <c r="C720" s="175"/>
      <c r="D720" s="176"/>
      <c r="I720" s="177"/>
    </row>
    <row r="721" spans="1:9">
      <c r="A721" s="174"/>
      <c r="C721" s="175"/>
      <c r="D721" s="176"/>
      <c r="I721" s="177"/>
    </row>
    <row r="722" spans="1:9">
      <c r="A722" s="174"/>
      <c r="C722" s="175"/>
      <c r="D722" s="176"/>
      <c r="I722" s="177"/>
    </row>
    <row r="723" spans="1:9">
      <c r="A723" s="174"/>
      <c r="C723" s="175"/>
      <c r="D723" s="176"/>
      <c r="I723" s="177"/>
    </row>
    <row r="724" spans="1:9">
      <c r="A724" s="174"/>
      <c r="C724" s="175"/>
      <c r="D724" s="176"/>
      <c r="I724" s="177"/>
    </row>
    <row r="725" spans="1:9">
      <c r="A725" s="174"/>
      <c r="C725" s="175"/>
      <c r="D725" s="176"/>
      <c r="I725" s="177"/>
    </row>
    <row r="726" spans="1:9">
      <c r="A726" s="174"/>
      <c r="C726" s="175"/>
      <c r="D726" s="176"/>
      <c r="I726" s="177"/>
    </row>
    <row r="727" spans="1:9">
      <c r="A727" s="174"/>
      <c r="C727" s="175"/>
      <c r="D727" s="176"/>
      <c r="I727" s="177"/>
    </row>
    <row r="728" spans="1:9">
      <c r="A728" s="174"/>
      <c r="C728" s="175"/>
      <c r="D728" s="176"/>
      <c r="I728" s="177"/>
    </row>
    <row r="729" spans="1:9">
      <c r="A729" s="174"/>
      <c r="C729" s="175"/>
      <c r="D729" s="176"/>
      <c r="I729" s="177"/>
    </row>
    <row r="730" spans="1:9">
      <c r="A730" s="174"/>
      <c r="C730" s="175"/>
      <c r="D730" s="176"/>
      <c r="I730" s="177"/>
    </row>
    <row r="731" spans="1:9">
      <c r="A731" s="174"/>
      <c r="C731" s="175"/>
      <c r="D731" s="176"/>
      <c r="I731" s="177"/>
    </row>
    <row r="732" spans="1:9">
      <c r="A732" s="174"/>
      <c r="C732" s="175"/>
      <c r="D732" s="176"/>
      <c r="I732" s="177"/>
    </row>
    <row r="733" spans="1:9">
      <c r="A733" s="174"/>
      <c r="C733" s="175"/>
      <c r="D733" s="176"/>
      <c r="I733" s="177"/>
    </row>
    <row r="734" spans="1:9">
      <c r="A734" s="174"/>
      <c r="C734" s="175"/>
      <c r="D734" s="176"/>
      <c r="I734" s="177"/>
    </row>
    <row r="735" spans="1:9">
      <c r="A735" s="174"/>
      <c r="C735" s="175"/>
      <c r="D735" s="176"/>
      <c r="I735" s="177"/>
    </row>
    <row r="736" spans="1:9">
      <c r="A736" s="174"/>
      <c r="C736" s="175"/>
      <c r="D736" s="176"/>
      <c r="I736" s="177"/>
    </row>
    <row r="737" spans="1:9">
      <c r="A737" s="174"/>
      <c r="C737" s="175"/>
      <c r="D737" s="176"/>
      <c r="I737" s="177"/>
    </row>
    <row r="738" spans="1:9">
      <c r="A738" s="174"/>
      <c r="C738" s="175"/>
      <c r="D738" s="176"/>
      <c r="I738" s="177"/>
    </row>
    <row r="739" spans="1:9">
      <c r="A739" s="174"/>
      <c r="C739" s="175"/>
      <c r="D739" s="176"/>
      <c r="I739" s="177"/>
    </row>
    <row r="740" spans="1:9">
      <c r="A740" s="174"/>
      <c r="C740" s="175"/>
      <c r="D740" s="176"/>
      <c r="I740" s="177"/>
    </row>
    <row r="741" spans="1:9">
      <c r="A741" s="174"/>
      <c r="C741" s="175"/>
      <c r="D741" s="176"/>
      <c r="I741" s="177"/>
    </row>
    <row r="742" spans="1:9">
      <c r="A742" s="174"/>
      <c r="C742" s="175"/>
      <c r="D742" s="176"/>
      <c r="I742" s="177"/>
    </row>
    <row r="743" spans="1:9">
      <c r="A743" s="174"/>
      <c r="C743" s="175"/>
      <c r="D743" s="176"/>
      <c r="I743" s="177"/>
    </row>
    <row r="744" spans="1:9">
      <c r="A744" s="174"/>
      <c r="C744" s="175"/>
      <c r="D744" s="176"/>
      <c r="I744" s="177"/>
    </row>
    <row r="745" spans="1:9">
      <c r="A745" s="174"/>
      <c r="C745" s="175"/>
      <c r="D745" s="176"/>
      <c r="I745" s="177"/>
    </row>
    <row r="746" spans="1:9">
      <c r="A746" s="174"/>
      <c r="C746" s="175"/>
      <c r="D746" s="176"/>
      <c r="I746" s="177"/>
    </row>
    <row r="747" spans="1:9">
      <c r="A747" s="174"/>
      <c r="C747" s="175"/>
      <c r="D747" s="176"/>
      <c r="I747" s="177"/>
    </row>
    <row r="748" spans="1:9">
      <c r="A748" s="174"/>
      <c r="C748" s="175"/>
      <c r="D748" s="176"/>
      <c r="I748" s="177"/>
    </row>
    <row r="749" spans="1:9">
      <c r="A749" s="174"/>
      <c r="C749" s="175"/>
      <c r="D749" s="176"/>
      <c r="I749" s="177"/>
    </row>
    <row r="750" spans="1:9">
      <c r="A750" s="174"/>
      <c r="C750" s="175"/>
      <c r="D750" s="176"/>
      <c r="I750" s="177"/>
    </row>
    <row r="751" spans="1:9">
      <c r="A751" s="174"/>
      <c r="C751" s="175"/>
      <c r="D751" s="176"/>
      <c r="I751" s="177"/>
    </row>
    <row r="752" spans="1:9">
      <c r="A752" s="174"/>
      <c r="C752" s="175"/>
      <c r="D752" s="176"/>
      <c r="I752" s="177"/>
    </row>
    <row r="753" spans="1:9">
      <c r="A753" s="174"/>
      <c r="C753" s="175"/>
      <c r="D753" s="176"/>
      <c r="I753" s="177"/>
    </row>
    <row r="754" spans="1:9">
      <c r="A754" s="174"/>
      <c r="C754" s="175"/>
      <c r="D754" s="176"/>
      <c r="I754" s="177"/>
    </row>
    <row r="755" spans="1:9">
      <c r="A755" s="174"/>
      <c r="C755" s="175"/>
      <c r="D755" s="176"/>
      <c r="I755" s="177"/>
    </row>
    <row r="756" spans="1:9">
      <c r="A756" s="174"/>
      <c r="C756" s="175"/>
      <c r="D756" s="176"/>
      <c r="I756" s="177"/>
    </row>
    <row r="757" spans="1:9">
      <c r="A757" s="174"/>
      <c r="C757" s="175"/>
      <c r="D757" s="176"/>
      <c r="I757" s="177"/>
    </row>
    <row r="758" spans="1:9">
      <c r="A758" s="174"/>
      <c r="C758" s="175"/>
      <c r="D758" s="176"/>
      <c r="I758" s="177"/>
    </row>
    <row r="759" spans="1:9">
      <c r="A759" s="174"/>
      <c r="C759" s="175"/>
      <c r="D759" s="176"/>
      <c r="I759" s="177"/>
    </row>
    <row r="760" spans="1:9">
      <c r="A760" s="174"/>
      <c r="C760" s="175"/>
      <c r="D760" s="176"/>
      <c r="I760" s="177"/>
    </row>
    <row r="761" spans="1:9">
      <c r="A761" s="174"/>
      <c r="C761" s="175"/>
      <c r="D761" s="176"/>
      <c r="I761" s="177"/>
    </row>
    <row r="762" spans="1:9">
      <c r="A762" s="174"/>
      <c r="C762" s="175"/>
      <c r="D762" s="176"/>
      <c r="I762" s="177"/>
    </row>
    <row r="763" spans="1:9">
      <c r="A763" s="174"/>
      <c r="C763" s="175"/>
      <c r="D763" s="176"/>
      <c r="I763" s="177"/>
    </row>
    <row r="764" spans="1:9">
      <c r="A764" s="174"/>
      <c r="C764" s="175"/>
      <c r="D764" s="176"/>
      <c r="I764" s="177"/>
    </row>
    <row r="765" spans="1:9">
      <c r="A765" s="174"/>
      <c r="C765" s="175"/>
      <c r="D765" s="176"/>
      <c r="I765" s="177"/>
    </row>
    <row r="766" spans="1:9">
      <c r="A766" s="174"/>
      <c r="C766" s="175"/>
      <c r="D766" s="176"/>
      <c r="I766" s="177"/>
    </row>
    <row r="767" spans="1:9">
      <c r="A767" s="174"/>
      <c r="C767" s="175"/>
      <c r="D767" s="176"/>
      <c r="I767" s="177"/>
    </row>
    <row r="768" spans="1:9">
      <c r="A768" s="174"/>
      <c r="C768" s="175"/>
      <c r="D768" s="176"/>
      <c r="I768" s="177"/>
    </row>
    <row r="769" spans="1:9">
      <c r="A769" s="174"/>
      <c r="C769" s="175"/>
      <c r="D769" s="176"/>
      <c r="I769" s="177"/>
    </row>
    <row r="770" spans="1:9">
      <c r="A770" s="174"/>
      <c r="C770" s="175"/>
      <c r="D770" s="176"/>
      <c r="I770" s="177"/>
    </row>
    <row r="771" spans="1:9">
      <c r="A771" s="174"/>
      <c r="C771" s="175"/>
      <c r="D771" s="176"/>
      <c r="I771" s="177"/>
    </row>
    <row r="772" spans="1:9">
      <c r="A772" s="174"/>
      <c r="C772" s="175"/>
      <c r="D772" s="176"/>
      <c r="I772" s="177"/>
    </row>
    <row r="773" spans="1:9">
      <c r="A773" s="174"/>
      <c r="C773" s="175"/>
      <c r="D773" s="176"/>
      <c r="I773" s="177"/>
    </row>
    <row r="774" spans="1:9">
      <c r="A774" s="174"/>
      <c r="C774" s="175"/>
      <c r="D774" s="176"/>
      <c r="I774" s="177"/>
    </row>
    <row r="775" spans="1:9">
      <c r="A775" s="174"/>
      <c r="C775" s="175"/>
      <c r="D775" s="176"/>
      <c r="I775" s="177"/>
    </row>
    <row r="776" spans="1:9">
      <c r="A776" s="174"/>
      <c r="C776" s="175"/>
      <c r="D776" s="176"/>
      <c r="I776" s="177"/>
    </row>
    <row r="777" spans="1:9">
      <c r="A777" s="174"/>
      <c r="C777" s="175"/>
      <c r="D777" s="176"/>
      <c r="I777" s="177"/>
    </row>
    <row r="778" spans="1:9">
      <c r="A778" s="174"/>
      <c r="C778" s="175"/>
      <c r="D778" s="176"/>
      <c r="I778" s="177"/>
    </row>
    <row r="779" spans="1:9">
      <c r="A779" s="174"/>
      <c r="C779" s="175"/>
      <c r="D779" s="176"/>
      <c r="I779" s="177"/>
    </row>
    <row r="780" spans="1:9">
      <c r="A780" s="174"/>
      <c r="C780" s="175"/>
      <c r="D780" s="176"/>
      <c r="I780" s="177"/>
    </row>
    <row r="781" spans="1:9">
      <c r="A781" s="174"/>
      <c r="C781" s="175"/>
      <c r="D781" s="176"/>
      <c r="I781" s="177"/>
    </row>
    <row r="782" spans="1:9">
      <c r="A782" s="174"/>
      <c r="C782" s="175"/>
      <c r="D782" s="176"/>
      <c r="I782" s="177"/>
    </row>
    <row r="783" spans="1:9">
      <c r="A783" s="174"/>
      <c r="C783" s="175"/>
      <c r="D783" s="176"/>
      <c r="I783" s="177"/>
    </row>
    <row r="784" spans="1:9">
      <c r="A784" s="174"/>
      <c r="C784" s="175"/>
      <c r="D784" s="176"/>
      <c r="I784" s="177"/>
    </row>
    <row r="785" spans="1:9">
      <c r="A785" s="174"/>
      <c r="C785" s="175"/>
      <c r="D785" s="176"/>
      <c r="I785" s="177"/>
    </row>
    <row r="786" spans="1:9">
      <c r="A786" s="174"/>
      <c r="C786" s="175"/>
      <c r="D786" s="176"/>
      <c r="I786" s="177"/>
    </row>
    <row r="787" spans="1:9">
      <c r="A787" s="174"/>
      <c r="C787" s="175"/>
      <c r="D787" s="176"/>
      <c r="I787" s="177"/>
    </row>
    <row r="788" spans="1:9">
      <c r="A788" s="174"/>
      <c r="C788" s="175"/>
      <c r="D788" s="176"/>
      <c r="I788" s="177"/>
    </row>
    <row r="789" spans="1:9">
      <c r="A789" s="174"/>
      <c r="C789" s="175"/>
      <c r="D789" s="176"/>
      <c r="I789" s="177"/>
    </row>
    <row r="790" spans="1:9">
      <c r="A790" s="174"/>
      <c r="C790" s="175"/>
      <c r="D790" s="176"/>
      <c r="I790" s="177"/>
    </row>
    <row r="791" spans="1:9">
      <c r="A791" s="174"/>
      <c r="C791" s="175"/>
      <c r="D791" s="176"/>
      <c r="I791" s="177"/>
    </row>
    <row r="792" spans="1:9">
      <c r="A792" s="174"/>
      <c r="C792" s="175"/>
      <c r="D792" s="176"/>
      <c r="I792" s="177"/>
    </row>
    <row r="793" spans="1:9">
      <c r="A793" s="174"/>
      <c r="C793" s="175"/>
      <c r="D793" s="176"/>
      <c r="I793" s="177"/>
    </row>
    <row r="794" spans="1:9">
      <c r="A794" s="174"/>
      <c r="C794" s="175"/>
      <c r="D794" s="176"/>
      <c r="I794" s="177"/>
    </row>
    <row r="795" spans="1:9">
      <c r="A795" s="174"/>
      <c r="C795" s="175"/>
      <c r="D795" s="176"/>
      <c r="I795" s="177"/>
    </row>
    <row r="796" spans="1:9">
      <c r="A796" s="174"/>
      <c r="C796" s="175"/>
      <c r="D796" s="176"/>
      <c r="I796" s="177"/>
    </row>
    <row r="797" spans="1:9">
      <c r="A797" s="174"/>
      <c r="C797" s="175"/>
      <c r="D797" s="176"/>
      <c r="I797" s="177"/>
    </row>
    <row r="798" spans="1:9">
      <c r="A798" s="174"/>
      <c r="C798" s="175"/>
      <c r="D798" s="176"/>
      <c r="I798" s="177"/>
    </row>
    <row r="799" spans="1:9">
      <c r="A799" s="174"/>
      <c r="C799" s="175"/>
      <c r="D799" s="176"/>
      <c r="I799" s="177"/>
    </row>
    <row r="800" spans="1:9">
      <c r="A800" s="174"/>
      <c r="C800" s="175"/>
      <c r="D800" s="176"/>
      <c r="I800" s="177"/>
    </row>
    <row r="801" spans="1:9">
      <c r="A801" s="174"/>
      <c r="C801" s="175"/>
      <c r="D801" s="176"/>
      <c r="I801" s="177"/>
    </row>
    <row r="802" spans="1:9">
      <c r="A802" s="174"/>
      <c r="C802" s="175"/>
      <c r="D802" s="176"/>
      <c r="I802" s="177"/>
    </row>
    <row r="803" spans="1:9">
      <c r="A803" s="174"/>
      <c r="C803" s="175"/>
      <c r="D803" s="176"/>
      <c r="I803" s="177"/>
    </row>
    <row r="804" spans="1:9">
      <c r="A804" s="174"/>
      <c r="C804" s="175"/>
      <c r="D804" s="176"/>
      <c r="I804" s="177"/>
    </row>
    <row r="805" spans="1:9">
      <c r="A805" s="174"/>
      <c r="C805" s="175"/>
      <c r="D805" s="176"/>
      <c r="I805" s="177"/>
    </row>
    <row r="806" spans="1:9">
      <c r="A806" s="174"/>
      <c r="C806" s="175"/>
      <c r="D806" s="176"/>
      <c r="I806" s="177"/>
    </row>
    <row r="807" spans="1:9">
      <c r="A807" s="174"/>
      <c r="C807" s="175"/>
      <c r="D807" s="176"/>
      <c r="I807" s="177"/>
    </row>
    <row r="808" spans="1:9">
      <c r="A808" s="174"/>
      <c r="C808" s="175"/>
      <c r="D808" s="176"/>
      <c r="I808" s="177"/>
    </row>
    <row r="809" spans="1:9">
      <c r="A809" s="174"/>
      <c r="C809" s="175"/>
      <c r="D809" s="176"/>
      <c r="I809" s="177"/>
    </row>
    <row r="810" spans="1:9">
      <c r="A810" s="174"/>
      <c r="C810" s="175"/>
      <c r="D810" s="176"/>
      <c r="I810" s="177"/>
    </row>
    <row r="811" spans="1:9">
      <c r="A811" s="174"/>
      <c r="C811" s="175"/>
      <c r="D811" s="176"/>
      <c r="I811" s="177"/>
    </row>
    <row r="812" spans="1:9">
      <c r="A812" s="174"/>
      <c r="C812" s="175"/>
      <c r="D812" s="176"/>
      <c r="I812" s="177"/>
    </row>
    <row r="813" spans="1:9">
      <c r="A813" s="174"/>
      <c r="C813" s="175"/>
      <c r="D813" s="176"/>
      <c r="I813" s="177"/>
    </row>
    <row r="814" spans="1:9">
      <c r="A814" s="174"/>
      <c r="C814" s="175"/>
      <c r="D814" s="176"/>
      <c r="I814" s="177"/>
    </row>
    <row r="815" spans="1:9">
      <c r="A815" s="174"/>
      <c r="C815" s="175"/>
      <c r="D815" s="176"/>
      <c r="I815" s="177"/>
    </row>
    <row r="816" spans="1:9">
      <c r="A816" s="174"/>
      <c r="C816" s="175"/>
      <c r="D816" s="176"/>
      <c r="I816" s="177"/>
    </row>
    <row r="817" spans="1:9">
      <c r="A817" s="174"/>
      <c r="C817" s="175"/>
      <c r="D817" s="176"/>
      <c r="I817" s="177"/>
    </row>
    <row r="818" spans="1:9">
      <c r="A818" s="174"/>
      <c r="C818" s="175"/>
      <c r="D818" s="176"/>
      <c r="I818" s="177"/>
    </row>
    <row r="819" spans="1:9">
      <c r="A819" s="174"/>
      <c r="C819" s="175"/>
      <c r="D819" s="176"/>
      <c r="I819" s="177"/>
    </row>
    <row r="820" spans="1:9">
      <c r="A820" s="174"/>
      <c r="C820" s="175"/>
      <c r="D820" s="176"/>
      <c r="I820" s="177"/>
    </row>
    <row r="821" spans="1:9">
      <c r="A821" s="174"/>
      <c r="C821" s="175"/>
      <c r="D821" s="176"/>
      <c r="I821" s="177"/>
    </row>
    <row r="822" spans="1:9">
      <c r="A822" s="174"/>
      <c r="C822" s="175"/>
      <c r="D822" s="176"/>
      <c r="I822" s="177"/>
    </row>
    <row r="823" spans="1:9">
      <c r="A823" s="174"/>
      <c r="C823" s="175"/>
      <c r="D823" s="176"/>
      <c r="I823" s="177"/>
    </row>
    <row r="824" spans="1:9">
      <c r="A824" s="174"/>
      <c r="C824" s="175"/>
      <c r="D824" s="176"/>
      <c r="I824" s="177"/>
    </row>
    <row r="825" spans="1:9">
      <c r="A825" s="174"/>
      <c r="C825" s="175"/>
      <c r="D825" s="176"/>
      <c r="I825" s="177"/>
    </row>
    <row r="826" spans="1:9">
      <c r="A826" s="174"/>
      <c r="C826" s="175"/>
      <c r="D826" s="176"/>
      <c r="I826" s="177"/>
    </row>
    <row r="827" spans="1:9">
      <c r="A827" s="174"/>
      <c r="C827" s="175"/>
      <c r="D827" s="176"/>
      <c r="I827" s="177"/>
    </row>
    <row r="828" spans="1:9">
      <c r="A828" s="174"/>
      <c r="C828" s="175"/>
      <c r="D828" s="176"/>
      <c r="I828" s="177"/>
    </row>
    <row r="829" spans="1:9">
      <c r="A829" s="174"/>
      <c r="C829" s="175"/>
      <c r="D829" s="176"/>
      <c r="I829" s="177"/>
    </row>
    <row r="830" spans="1:9">
      <c r="A830" s="174"/>
      <c r="C830" s="175"/>
      <c r="D830" s="176"/>
      <c r="I830" s="177"/>
    </row>
    <row r="831" spans="1:9">
      <c r="A831" s="174"/>
      <c r="C831" s="175"/>
      <c r="D831" s="176"/>
      <c r="I831" s="177"/>
    </row>
    <row r="832" spans="1:9">
      <c r="A832" s="174"/>
      <c r="C832" s="175"/>
      <c r="D832" s="176"/>
      <c r="I832" s="177"/>
    </row>
    <row r="833" spans="1:9">
      <c r="A833" s="174"/>
      <c r="C833" s="175"/>
      <c r="D833" s="176"/>
      <c r="I833" s="177"/>
    </row>
    <row r="834" spans="1:9">
      <c r="A834" s="174"/>
      <c r="C834" s="175"/>
      <c r="D834" s="176"/>
      <c r="I834" s="177"/>
    </row>
    <row r="835" spans="1:9">
      <c r="A835" s="174"/>
      <c r="C835" s="175"/>
      <c r="D835" s="176"/>
      <c r="I835" s="177"/>
    </row>
    <row r="836" spans="1:9">
      <c r="A836" s="174"/>
      <c r="C836" s="175"/>
      <c r="D836" s="176"/>
      <c r="I836" s="177"/>
    </row>
    <row r="837" spans="1:9">
      <c r="A837" s="174"/>
      <c r="C837" s="175"/>
      <c r="D837" s="176"/>
      <c r="I837" s="177"/>
    </row>
    <row r="838" spans="1:9">
      <c r="A838" s="174"/>
      <c r="C838" s="175"/>
      <c r="D838" s="176"/>
      <c r="I838" s="177"/>
    </row>
    <row r="839" spans="1:9">
      <c r="A839" s="174"/>
      <c r="C839" s="175"/>
      <c r="D839" s="176"/>
      <c r="I839" s="177"/>
    </row>
    <row r="840" spans="1:9">
      <c r="A840" s="174"/>
      <c r="C840" s="175"/>
      <c r="D840" s="176"/>
      <c r="I840" s="177"/>
    </row>
    <row r="841" spans="1:9">
      <c r="A841" s="174"/>
      <c r="C841" s="175"/>
      <c r="D841" s="176"/>
      <c r="I841" s="177"/>
    </row>
    <row r="842" spans="1:9">
      <c r="A842" s="174"/>
      <c r="C842" s="175"/>
      <c r="D842" s="176"/>
      <c r="I842" s="177"/>
    </row>
    <row r="843" spans="1:9">
      <c r="A843" s="174"/>
      <c r="C843" s="175"/>
      <c r="D843" s="176"/>
      <c r="I843" s="177"/>
    </row>
    <row r="844" spans="1:9">
      <c r="A844" s="174"/>
      <c r="C844" s="175"/>
      <c r="D844" s="176"/>
      <c r="I844" s="177"/>
    </row>
    <row r="845" spans="1:9">
      <c r="A845" s="174"/>
      <c r="C845" s="175"/>
      <c r="D845" s="176"/>
      <c r="I845" s="177"/>
    </row>
    <row r="846" spans="1:9">
      <c r="A846" s="174"/>
      <c r="C846" s="175"/>
      <c r="D846" s="176"/>
      <c r="I846" s="177"/>
    </row>
    <row r="847" spans="1:9">
      <c r="A847" s="174"/>
      <c r="C847" s="175"/>
      <c r="D847" s="176"/>
      <c r="I847" s="177"/>
    </row>
    <row r="848" spans="1:9">
      <c r="A848" s="174"/>
      <c r="C848" s="175"/>
      <c r="D848" s="176"/>
      <c r="I848" s="177"/>
    </row>
    <row r="849" spans="1:9">
      <c r="A849" s="174"/>
      <c r="C849" s="175"/>
      <c r="D849" s="176"/>
      <c r="I849" s="177"/>
    </row>
    <row r="850" spans="1:9">
      <c r="A850" s="174"/>
      <c r="C850" s="175"/>
      <c r="D850" s="176"/>
      <c r="I850" s="177"/>
    </row>
    <row r="851" spans="1:9">
      <c r="A851" s="174"/>
      <c r="C851" s="175"/>
      <c r="D851" s="176"/>
      <c r="I851" s="177"/>
    </row>
    <row r="852" spans="1:9">
      <c r="A852" s="174"/>
      <c r="C852" s="175"/>
      <c r="D852" s="176"/>
      <c r="I852" s="177"/>
    </row>
    <row r="853" spans="1:9">
      <c r="A853" s="174"/>
      <c r="C853" s="175"/>
      <c r="D853" s="176"/>
      <c r="I853" s="177"/>
    </row>
    <row r="854" spans="1:9">
      <c r="A854" s="174"/>
      <c r="C854" s="175"/>
      <c r="D854" s="176"/>
      <c r="I854" s="177"/>
    </row>
    <row r="855" spans="1:9">
      <c r="A855" s="174"/>
      <c r="C855" s="175"/>
      <c r="D855" s="176"/>
      <c r="I855" s="177"/>
    </row>
    <row r="856" spans="1:9">
      <c r="A856" s="174"/>
      <c r="C856" s="175"/>
      <c r="D856" s="176"/>
      <c r="I856" s="177"/>
    </row>
    <row r="857" spans="1:9">
      <c r="A857" s="174"/>
      <c r="C857" s="175"/>
      <c r="D857" s="176"/>
      <c r="I857" s="177"/>
    </row>
    <row r="858" spans="1:9">
      <c r="A858" s="174"/>
      <c r="C858" s="175"/>
      <c r="D858" s="176"/>
      <c r="I858" s="177"/>
    </row>
    <row r="859" spans="1:9">
      <c r="A859" s="174"/>
      <c r="C859" s="175"/>
      <c r="D859" s="176"/>
      <c r="I859" s="177"/>
    </row>
    <row r="860" spans="1:9">
      <c r="A860" s="174"/>
      <c r="C860" s="175"/>
      <c r="D860" s="176"/>
      <c r="I860" s="177"/>
    </row>
    <row r="861" spans="1:9">
      <c r="A861" s="174"/>
      <c r="C861" s="175"/>
      <c r="D861" s="176"/>
      <c r="I861" s="177"/>
    </row>
    <row r="862" spans="1:9">
      <c r="A862" s="174"/>
      <c r="C862" s="175"/>
      <c r="D862" s="176"/>
      <c r="I862" s="177"/>
    </row>
    <row r="863" spans="1:9">
      <c r="A863" s="174"/>
      <c r="C863" s="175"/>
      <c r="D863" s="176"/>
      <c r="I863" s="177"/>
    </row>
    <row r="864" spans="1:9">
      <c r="A864" s="174"/>
      <c r="C864" s="175"/>
      <c r="D864" s="176"/>
      <c r="I864" s="177"/>
    </row>
    <row r="865" spans="1:9">
      <c r="A865" s="174"/>
      <c r="C865" s="175"/>
      <c r="D865" s="176"/>
      <c r="I865" s="177"/>
    </row>
    <row r="866" spans="1:9">
      <c r="A866" s="174"/>
      <c r="C866" s="175"/>
      <c r="D866" s="176"/>
      <c r="I866" s="177"/>
    </row>
    <row r="867" spans="1:9">
      <c r="A867" s="174"/>
      <c r="C867" s="175"/>
      <c r="D867" s="176"/>
      <c r="I867" s="177"/>
    </row>
    <row r="868" spans="1:9">
      <c r="A868" s="174"/>
      <c r="C868" s="175"/>
      <c r="D868" s="176"/>
      <c r="I868" s="177"/>
    </row>
    <row r="869" spans="1:9">
      <c r="A869" s="174"/>
      <c r="C869" s="175"/>
      <c r="D869" s="176"/>
      <c r="I869" s="177"/>
    </row>
    <row r="870" spans="1:9">
      <c r="A870" s="174"/>
      <c r="C870" s="175"/>
      <c r="D870" s="176"/>
      <c r="I870" s="177"/>
    </row>
    <row r="871" spans="1:9">
      <c r="A871" s="174"/>
      <c r="C871" s="175"/>
      <c r="D871" s="176"/>
      <c r="I871" s="177"/>
    </row>
    <row r="872" spans="1:9">
      <c r="A872" s="174"/>
      <c r="C872" s="175"/>
      <c r="D872" s="176"/>
      <c r="I872" s="177"/>
    </row>
    <row r="873" spans="1:9">
      <c r="A873" s="174"/>
      <c r="C873" s="175"/>
      <c r="D873" s="176"/>
      <c r="I873" s="177"/>
    </row>
    <row r="874" spans="1:9">
      <c r="A874" s="174"/>
      <c r="C874" s="175"/>
      <c r="D874" s="176"/>
      <c r="I874" s="177"/>
    </row>
    <row r="875" spans="1:9">
      <c r="A875" s="174"/>
      <c r="C875" s="175"/>
      <c r="D875" s="176"/>
      <c r="I875" s="177"/>
    </row>
    <row r="876" spans="1:9">
      <c r="A876" s="174"/>
      <c r="C876" s="175"/>
      <c r="D876" s="176"/>
      <c r="I876" s="177"/>
    </row>
    <row r="877" spans="1:9">
      <c r="A877" s="174"/>
      <c r="C877" s="175"/>
      <c r="D877" s="176"/>
      <c r="I877" s="177"/>
    </row>
    <row r="878" spans="1:9">
      <c r="A878" s="174"/>
      <c r="C878" s="175"/>
      <c r="D878" s="176"/>
      <c r="I878" s="177"/>
    </row>
    <row r="879" spans="1:9">
      <c r="A879" s="174"/>
      <c r="C879" s="175"/>
      <c r="D879" s="176"/>
      <c r="I879" s="177"/>
    </row>
    <row r="880" spans="1:9">
      <c r="A880" s="174"/>
      <c r="C880" s="175"/>
      <c r="D880" s="176"/>
      <c r="I880" s="177"/>
    </row>
    <row r="881" spans="1:9">
      <c r="A881" s="174"/>
      <c r="C881" s="175"/>
      <c r="D881" s="176"/>
      <c r="I881" s="177"/>
    </row>
    <row r="882" spans="1:9">
      <c r="A882" s="174"/>
      <c r="C882" s="175"/>
      <c r="D882" s="176"/>
      <c r="I882" s="177"/>
    </row>
    <row r="883" spans="1:9">
      <c r="A883" s="174"/>
      <c r="C883" s="175"/>
      <c r="D883" s="176"/>
      <c r="I883" s="177"/>
    </row>
    <row r="884" spans="1:9">
      <c r="A884" s="174"/>
      <c r="C884" s="175"/>
      <c r="D884" s="176"/>
      <c r="I884" s="177"/>
    </row>
    <row r="885" spans="1:9">
      <c r="A885" s="174"/>
      <c r="C885" s="175"/>
      <c r="D885" s="176"/>
      <c r="I885" s="177"/>
    </row>
    <row r="886" spans="1:9">
      <c r="A886" s="174"/>
      <c r="C886" s="175"/>
      <c r="D886" s="176"/>
      <c r="I886" s="177"/>
    </row>
    <row r="887" spans="1:9">
      <c r="A887" s="174"/>
      <c r="C887" s="175"/>
      <c r="D887" s="176"/>
      <c r="I887" s="177"/>
    </row>
    <row r="888" spans="1:9">
      <c r="A888" s="174"/>
      <c r="C888" s="175"/>
      <c r="D888" s="176"/>
      <c r="I888" s="177"/>
    </row>
    <row r="889" spans="1:9">
      <c r="A889" s="174"/>
      <c r="C889" s="175"/>
      <c r="D889" s="176"/>
      <c r="I889" s="177"/>
    </row>
    <row r="890" spans="1:9">
      <c r="A890" s="174"/>
      <c r="C890" s="175"/>
      <c r="D890" s="176"/>
      <c r="I890" s="177"/>
    </row>
    <row r="891" spans="1:9">
      <c r="A891" s="174"/>
      <c r="C891" s="175"/>
      <c r="D891" s="176"/>
      <c r="I891" s="177"/>
    </row>
    <row r="892" spans="1:9">
      <c r="A892" s="174"/>
      <c r="C892" s="175"/>
      <c r="D892" s="176"/>
      <c r="I892" s="177"/>
    </row>
    <row r="893" spans="1:9">
      <c r="A893" s="174"/>
      <c r="C893" s="175"/>
      <c r="D893" s="176"/>
      <c r="I893" s="177"/>
    </row>
    <row r="894" spans="1:9">
      <c r="A894" s="174"/>
      <c r="C894" s="175"/>
      <c r="D894" s="176"/>
      <c r="I894" s="177"/>
    </row>
    <row r="895" spans="1:9">
      <c r="A895" s="174"/>
      <c r="C895" s="175"/>
      <c r="D895" s="176"/>
      <c r="I895" s="177"/>
    </row>
    <row r="896" spans="1:9">
      <c r="A896" s="174"/>
      <c r="C896" s="175"/>
      <c r="D896" s="176"/>
      <c r="I896" s="177"/>
    </row>
    <row r="897" spans="1:9">
      <c r="A897" s="174"/>
      <c r="C897" s="175"/>
      <c r="D897" s="176"/>
      <c r="I897" s="177"/>
    </row>
    <row r="898" spans="1:9">
      <c r="A898" s="174"/>
      <c r="C898" s="175"/>
      <c r="D898" s="176"/>
      <c r="I898" s="177"/>
    </row>
    <row r="899" spans="1:9">
      <c r="A899" s="174"/>
      <c r="C899" s="175"/>
      <c r="D899" s="176"/>
      <c r="I899" s="177"/>
    </row>
    <row r="900" spans="1:9">
      <c r="A900" s="174"/>
      <c r="C900" s="175"/>
      <c r="D900" s="176"/>
      <c r="I900" s="177"/>
    </row>
    <row r="901" spans="1:9">
      <c r="A901" s="174"/>
      <c r="C901" s="175"/>
      <c r="D901" s="176"/>
      <c r="I901" s="177"/>
    </row>
    <row r="902" spans="1:9">
      <c r="A902" s="174"/>
      <c r="C902" s="175"/>
      <c r="D902" s="176"/>
      <c r="I902" s="177"/>
    </row>
    <row r="903" spans="1:9">
      <c r="A903" s="174"/>
      <c r="C903" s="175"/>
      <c r="D903" s="176"/>
      <c r="I903" s="177"/>
    </row>
    <row r="904" spans="1:9">
      <c r="A904" s="174"/>
      <c r="C904" s="175"/>
      <c r="D904" s="176"/>
      <c r="I904" s="177"/>
    </row>
    <row r="905" spans="1:9">
      <c r="A905" s="174"/>
      <c r="C905" s="175"/>
      <c r="D905" s="176"/>
      <c r="I905" s="177"/>
    </row>
    <row r="906" spans="1:9">
      <c r="A906" s="174"/>
      <c r="C906" s="175"/>
      <c r="D906" s="176"/>
      <c r="I906" s="177"/>
    </row>
    <row r="907" spans="1:9">
      <c r="A907" s="174"/>
      <c r="C907" s="175"/>
      <c r="D907" s="176"/>
      <c r="I907" s="177"/>
    </row>
    <row r="908" spans="1:9">
      <c r="A908" s="174"/>
      <c r="C908" s="175"/>
      <c r="D908" s="176"/>
      <c r="I908" s="177"/>
    </row>
    <row r="909" spans="1:9">
      <c r="A909" s="174"/>
      <c r="C909" s="175"/>
      <c r="D909" s="176"/>
      <c r="I909" s="177"/>
    </row>
    <row r="910" spans="1:9">
      <c r="A910" s="174"/>
      <c r="C910" s="175"/>
      <c r="D910" s="176"/>
      <c r="I910" s="177"/>
    </row>
    <row r="911" spans="1:9">
      <c r="A911" s="174"/>
      <c r="C911" s="175"/>
      <c r="D911" s="176"/>
      <c r="I911" s="177"/>
    </row>
    <row r="912" spans="1:9">
      <c r="A912" s="174"/>
      <c r="C912" s="175"/>
      <c r="D912" s="176"/>
      <c r="I912" s="177"/>
    </row>
    <row r="913" spans="1:9">
      <c r="A913" s="174"/>
      <c r="C913" s="175"/>
      <c r="D913" s="176"/>
      <c r="I913" s="177"/>
    </row>
    <row r="914" spans="1:9">
      <c r="A914" s="174"/>
      <c r="C914" s="175"/>
      <c r="D914" s="176"/>
      <c r="I914" s="177"/>
    </row>
    <row r="915" spans="1:9">
      <c r="A915" s="174"/>
      <c r="C915" s="175"/>
      <c r="D915" s="176"/>
      <c r="I915" s="177"/>
    </row>
    <row r="916" spans="1:9">
      <c r="A916" s="174"/>
      <c r="C916" s="175"/>
      <c r="D916" s="176"/>
      <c r="I916" s="177"/>
    </row>
    <row r="917" spans="1:9">
      <c r="A917" s="174"/>
      <c r="C917" s="175"/>
      <c r="D917" s="176"/>
      <c r="I917" s="177"/>
    </row>
    <row r="918" spans="1:9">
      <c r="A918" s="174"/>
      <c r="C918" s="175"/>
      <c r="D918" s="176"/>
      <c r="I918" s="177"/>
    </row>
    <row r="919" spans="1:9">
      <c r="A919" s="174"/>
      <c r="C919" s="175"/>
      <c r="D919" s="176"/>
      <c r="I919" s="177"/>
    </row>
    <row r="920" spans="1:9">
      <c r="A920" s="174"/>
      <c r="C920" s="175"/>
      <c r="D920" s="176"/>
      <c r="I920" s="177"/>
    </row>
    <row r="921" spans="1:9">
      <c r="A921" s="174"/>
      <c r="C921" s="175"/>
      <c r="D921" s="176"/>
      <c r="I921" s="177"/>
    </row>
    <row r="922" spans="1:9">
      <c r="A922" s="174"/>
      <c r="C922" s="175"/>
      <c r="D922" s="176"/>
      <c r="I922" s="177"/>
    </row>
    <row r="923" spans="1:9">
      <c r="A923" s="174"/>
      <c r="C923" s="175"/>
      <c r="D923" s="176"/>
      <c r="I923" s="177"/>
    </row>
    <row r="924" spans="1:9">
      <c r="A924" s="174"/>
      <c r="C924" s="175"/>
      <c r="D924" s="176"/>
      <c r="I924" s="177"/>
    </row>
    <row r="925" spans="1:9">
      <c r="A925" s="174"/>
      <c r="C925" s="175"/>
      <c r="D925" s="176"/>
      <c r="I925" s="177"/>
    </row>
    <row r="926" spans="1:9">
      <c r="A926" s="174"/>
      <c r="C926" s="175"/>
      <c r="D926" s="176"/>
      <c r="I926" s="177"/>
    </row>
    <row r="927" spans="1:9">
      <c r="A927" s="174"/>
      <c r="C927" s="175"/>
      <c r="D927" s="176"/>
      <c r="I927" s="177"/>
    </row>
    <row r="928" spans="1:9">
      <c r="A928" s="174"/>
      <c r="C928" s="175"/>
      <c r="D928" s="176"/>
      <c r="I928" s="177"/>
    </row>
    <row r="929" spans="1:9">
      <c r="A929" s="174"/>
      <c r="C929" s="175"/>
      <c r="D929" s="176"/>
      <c r="I929" s="177"/>
    </row>
    <row r="930" spans="1:9">
      <c r="A930" s="174"/>
      <c r="C930" s="175"/>
      <c r="D930" s="176"/>
      <c r="I930" s="177"/>
    </row>
    <row r="931" spans="1:9">
      <c r="A931" s="174"/>
      <c r="C931" s="175"/>
      <c r="D931" s="176"/>
      <c r="I931" s="177"/>
    </row>
    <row r="932" spans="1:9">
      <c r="A932" s="174"/>
      <c r="C932" s="175"/>
      <c r="D932" s="176"/>
      <c r="I932" s="177"/>
    </row>
    <row r="933" spans="1:9">
      <c r="A933" s="174"/>
      <c r="C933" s="175"/>
      <c r="D933" s="176"/>
      <c r="I933" s="177"/>
    </row>
    <row r="934" spans="1:9">
      <c r="A934" s="174"/>
      <c r="C934" s="175"/>
      <c r="D934" s="176"/>
      <c r="I934" s="177"/>
    </row>
    <row r="935" spans="1:9">
      <c r="A935" s="174"/>
      <c r="C935" s="175"/>
      <c r="D935" s="176"/>
      <c r="I935" s="177"/>
    </row>
    <row r="936" spans="1:9">
      <c r="A936" s="174"/>
      <c r="C936" s="175"/>
      <c r="D936" s="176"/>
      <c r="I936" s="177"/>
    </row>
    <row r="937" spans="1:9">
      <c r="A937" s="174"/>
      <c r="C937" s="175"/>
      <c r="D937" s="176"/>
      <c r="I937" s="177"/>
    </row>
    <row r="938" spans="1:9">
      <c r="A938" s="174"/>
      <c r="C938" s="175"/>
      <c r="D938" s="176"/>
      <c r="I938" s="177"/>
    </row>
    <row r="939" spans="1:9">
      <c r="A939" s="174"/>
      <c r="C939" s="175"/>
      <c r="D939" s="176"/>
      <c r="I939" s="177"/>
    </row>
    <row r="940" spans="1:9">
      <c r="A940" s="174"/>
      <c r="C940" s="175"/>
      <c r="D940" s="176"/>
      <c r="I940" s="177"/>
    </row>
    <row r="941" spans="1:9">
      <c r="A941" s="174"/>
      <c r="C941" s="175"/>
      <c r="D941" s="176"/>
      <c r="I941" s="177"/>
    </row>
    <row r="942" spans="1:9">
      <c r="A942" s="174"/>
      <c r="C942" s="175"/>
      <c r="D942" s="176"/>
      <c r="I942" s="177"/>
    </row>
    <row r="943" spans="1:9">
      <c r="A943" s="174"/>
      <c r="C943" s="175"/>
      <c r="D943" s="176"/>
      <c r="I943" s="177"/>
    </row>
    <row r="944" spans="1:9">
      <c r="A944" s="174"/>
      <c r="C944" s="175"/>
      <c r="D944" s="176"/>
      <c r="I944" s="177"/>
    </row>
    <row r="945" spans="1:9">
      <c r="A945" s="174"/>
      <c r="C945" s="175"/>
      <c r="D945" s="176"/>
      <c r="I945" s="177"/>
    </row>
    <row r="946" spans="1:9">
      <c r="A946" s="174"/>
      <c r="C946" s="175"/>
      <c r="D946" s="176"/>
      <c r="I946" s="177"/>
    </row>
    <row r="947" spans="1:9">
      <c r="A947" s="174"/>
      <c r="C947" s="175"/>
      <c r="D947" s="176"/>
      <c r="I947" s="177"/>
    </row>
    <row r="948" spans="1:9">
      <c r="A948" s="174"/>
      <c r="C948" s="175"/>
      <c r="D948" s="176"/>
      <c r="I948" s="177"/>
    </row>
    <row r="949" spans="1:9">
      <c r="A949" s="174"/>
      <c r="C949" s="175"/>
      <c r="D949" s="176"/>
      <c r="I949" s="177"/>
    </row>
    <row r="950" spans="1:9">
      <c r="A950" s="174"/>
      <c r="C950" s="175"/>
      <c r="D950" s="176"/>
      <c r="I950" s="177"/>
    </row>
    <row r="951" spans="1:9">
      <c r="A951" s="174"/>
      <c r="C951" s="175"/>
      <c r="D951" s="176"/>
      <c r="I951" s="177"/>
    </row>
    <row r="952" spans="1:9">
      <c r="A952" s="174"/>
      <c r="C952" s="175"/>
      <c r="D952" s="176"/>
      <c r="I952" s="177"/>
    </row>
    <row r="953" spans="1:9">
      <c r="A953" s="174"/>
      <c r="C953" s="175"/>
      <c r="D953" s="176"/>
      <c r="I953" s="177"/>
    </row>
    <row r="954" spans="1:9">
      <c r="A954" s="174"/>
      <c r="C954" s="175"/>
      <c r="D954" s="176"/>
      <c r="I954" s="177"/>
    </row>
    <row r="955" spans="1:9">
      <c r="A955" s="174"/>
      <c r="C955" s="175"/>
      <c r="D955" s="176"/>
      <c r="I955" s="177"/>
    </row>
    <row r="956" spans="1:9">
      <c r="A956" s="174"/>
      <c r="C956" s="175"/>
      <c r="D956" s="176"/>
      <c r="I956" s="177"/>
    </row>
    <row r="957" spans="1:9">
      <c r="A957" s="174"/>
      <c r="C957" s="175"/>
      <c r="D957" s="176"/>
      <c r="I957" s="177"/>
    </row>
    <row r="958" spans="1:9">
      <c r="A958" s="174"/>
      <c r="C958" s="175"/>
      <c r="D958" s="176"/>
      <c r="I958" s="177"/>
    </row>
    <row r="959" spans="1:9">
      <c r="A959" s="174"/>
      <c r="C959" s="175"/>
      <c r="D959" s="176"/>
      <c r="I959" s="177"/>
    </row>
    <row r="960" spans="1:9">
      <c r="A960" s="174"/>
      <c r="C960" s="175"/>
      <c r="D960" s="176"/>
      <c r="I960" s="177"/>
    </row>
    <row r="961" spans="1:9">
      <c r="A961" s="174"/>
      <c r="C961" s="175"/>
      <c r="D961" s="176"/>
      <c r="I961" s="177"/>
    </row>
    <row r="962" spans="1:9">
      <c r="A962" s="174"/>
      <c r="C962" s="175"/>
      <c r="D962" s="176"/>
      <c r="I962" s="177"/>
    </row>
    <row r="963" spans="1:9">
      <c r="A963" s="174"/>
      <c r="C963" s="175"/>
      <c r="D963" s="176"/>
      <c r="I963" s="177"/>
    </row>
    <row r="964" spans="1:9">
      <c r="A964" s="174"/>
      <c r="C964" s="175"/>
      <c r="D964" s="176"/>
      <c r="I964" s="177"/>
    </row>
    <row r="965" spans="1:9">
      <c r="A965" s="174"/>
      <c r="C965" s="175"/>
      <c r="D965" s="176"/>
      <c r="I965" s="177"/>
    </row>
    <row r="966" spans="1:9">
      <c r="A966" s="174"/>
      <c r="C966" s="175"/>
      <c r="D966" s="176"/>
      <c r="I966" s="177"/>
    </row>
    <row r="967" spans="1:9">
      <c r="A967" s="174"/>
      <c r="C967" s="175"/>
      <c r="D967" s="176"/>
      <c r="I967" s="177"/>
    </row>
    <row r="968" spans="1:9">
      <c r="A968" s="174"/>
      <c r="C968" s="175"/>
      <c r="D968" s="176"/>
      <c r="I968" s="177"/>
    </row>
    <row r="969" spans="1:9">
      <c r="A969" s="174"/>
      <c r="C969" s="175"/>
      <c r="D969" s="176"/>
      <c r="I969" s="177"/>
    </row>
    <row r="970" spans="1:9">
      <c r="A970" s="174"/>
      <c r="C970" s="175"/>
      <c r="D970" s="176"/>
      <c r="I970" s="177"/>
    </row>
    <row r="971" spans="1:9">
      <c r="A971" s="174"/>
      <c r="C971" s="175"/>
      <c r="D971" s="176"/>
      <c r="I971" s="177"/>
    </row>
    <row r="972" spans="1:9">
      <c r="A972" s="174"/>
      <c r="C972" s="175"/>
      <c r="D972" s="176"/>
      <c r="I972" s="177"/>
    </row>
    <row r="973" spans="1:9">
      <c r="A973" s="174"/>
      <c r="C973" s="175"/>
      <c r="D973" s="176"/>
      <c r="I973" s="177"/>
    </row>
    <row r="974" spans="1:9">
      <c r="A974" s="174"/>
      <c r="C974" s="175"/>
      <c r="D974" s="176"/>
      <c r="I974" s="177"/>
    </row>
    <row r="975" spans="1:9">
      <c r="A975" s="174"/>
      <c r="D975" s="176"/>
      <c r="I975" s="177"/>
    </row>
    <row r="976" spans="1:9">
      <c r="A976" s="174"/>
      <c r="D976" s="176"/>
      <c r="I976" s="177"/>
    </row>
    <row r="977" spans="1:9">
      <c r="A977" s="174"/>
      <c r="D977" s="176"/>
      <c r="I977" s="177"/>
    </row>
    <row r="978" spans="1:9">
      <c r="A978" s="174"/>
      <c r="D978" s="176"/>
      <c r="I978" s="177"/>
    </row>
  </sheetData>
  <autoFilter ref="A4:I330" xr:uid="{5942EF00-DDCB-437B-8744-65842AA49977}"/>
  <mergeCells count="3">
    <mergeCell ref="E1:I1"/>
    <mergeCell ref="E2:F2"/>
    <mergeCell ref="G2:H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ED845-FC83-4F4A-9FCA-83E3D0186EAC}">
  <sheetPr codeName="Лист4"/>
  <dimension ref="A1:AH1000"/>
  <sheetViews>
    <sheetView zoomScaleNormal="70" workbookViewId="0">
      <pane xSplit="3" ySplit="2" topLeftCell="S7" activePane="bottomRight" state="frozen"/>
      <selection pane="topRight" activeCell="D1" sqref="D1"/>
      <selection pane="bottomLeft" activeCell="A3" sqref="A3"/>
      <selection pane="bottomRight" activeCell="S30" sqref="S30"/>
    </sheetView>
  </sheetViews>
  <sheetFormatPr baseColWidth="10" defaultColWidth="14.5" defaultRowHeight="15"/>
  <cols>
    <col min="1" max="1" width="4.5" style="16" customWidth="1"/>
    <col min="2" max="2" width="38.5" style="16" customWidth="1"/>
    <col min="3" max="3" width="31.83203125" style="16" customWidth="1"/>
    <col min="4" max="4" width="11.83203125" style="16" customWidth="1"/>
    <col min="5" max="5" width="12" style="16" customWidth="1"/>
    <col min="6" max="6" width="12.1640625" style="16" customWidth="1"/>
    <col min="7" max="7" width="8.5" style="16" customWidth="1"/>
    <col min="8" max="8" width="7.5" style="16" customWidth="1"/>
    <col min="9" max="9" width="13.33203125" style="16" customWidth="1"/>
    <col min="10" max="10" width="12.33203125" style="128" customWidth="1"/>
    <col min="11" max="11" width="12" style="128" customWidth="1"/>
    <col min="12" max="12" width="11.33203125" style="128" customWidth="1"/>
    <col min="13" max="13" width="9.33203125" style="16" customWidth="1"/>
    <col min="14" max="14" width="8.5" style="16" customWidth="1"/>
    <col min="15" max="16" width="10" style="130" customWidth="1"/>
    <col min="17" max="18" width="11" style="131" customWidth="1"/>
    <col min="19" max="19" width="8.33203125" style="130" customWidth="1"/>
    <col min="20" max="20" width="12.6640625" style="16" customWidth="1"/>
    <col min="21" max="21" width="10.5" style="16" customWidth="1"/>
    <col min="22" max="25" width="11" style="16" customWidth="1"/>
    <col min="26" max="26" width="9.33203125" style="16" customWidth="1"/>
    <col min="27" max="27" width="7.5" style="16" customWidth="1"/>
    <col min="28" max="28" width="7.33203125" style="16" customWidth="1"/>
    <col min="29" max="29" width="18.6640625" style="16" customWidth="1"/>
    <col min="30" max="30" width="13.5" style="16" customWidth="1"/>
    <col min="31" max="34" width="8" style="16" customWidth="1"/>
    <col min="35" max="16384" width="14.5" style="16"/>
  </cols>
  <sheetData>
    <row r="1" spans="1:34" ht="19.5" customHeight="1" thickBot="1">
      <c r="A1" s="1"/>
      <c r="B1" s="2" t="s">
        <v>0</v>
      </c>
      <c r="C1" s="3"/>
      <c r="D1" s="311" t="s">
        <v>1</v>
      </c>
      <c r="E1" s="312"/>
      <c r="F1" s="312"/>
      <c r="G1" s="312"/>
      <c r="H1" s="313"/>
      <c r="I1" s="4"/>
      <c r="J1" s="314" t="s">
        <v>2</v>
      </c>
      <c r="K1" s="312"/>
      <c r="L1" s="312"/>
      <c r="M1" s="312"/>
      <c r="N1" s="5" t="s">
        <v>3</v>
      </c>
      <c r="O1" s="315" t="s">
        <v>4</v>
      </c>
      <c r="P1" s="316"/>
      <c r="Q1" s="6"/>
      <c r="R1" s="6"/>
      <c r="S1" s="7"/>
      <c r="T1" s="8"/>
      <c r="U1" s="317" t="s">
        <v>5</v>
      </c>
      <c r="V1" s="318"/>
      <c r="W1" s="318"/>
      <c r="X1" s="318"/>
      <c r="Y1" s="319"/>
      <c r="Z1" s="9"/>
      <c r="AA1" s="10"/>
      <c r="AB1" s="11"/>
      <c r="AC1" s="12"/>
      <c r="AD1" s="13"/>
      <c r="AE1" s="14"/>
      <c r="AF1" s="15" t="s">
        <v>6</v>
      </c>
      <c r="AG1" s="15" t="s">
        <v>7</v>
      </c>
      <c r="AH1" s="15" t="s">
        <v>8</v>
      </c>
    </row>
    <row r="2" spans="1:34" ht="63" customHeight="1" thickBot="1">
      <c r="A2" s="17"/>
      <c r="B2" s="18" t="s">
        <v>9</v>
      </c>
      <c r="C2" s="19"/>
      <c r="D2" s="20" t="s">
        <v>10</v>
      </c>
      <c r="E2" s="21" t="s">
        <v>11</v>
      </c>
      <c r="F2" s="21" t="s">
        <v>12</v>
      </c>
      <c r="G2" s="22" t="s">
        <v>13</v>
      </c>
      <c r="H2" s="23" t="s">
        <v>14</v>
      </c>
      <c r="I2" s="24" t="s">
        <v>15</v>
      </c>
      <c r="J2" s="25" t="s">
        <v>16</v>
      </c>
      <c r="K2" s="21" t="s">
        <v>17</v>
      </c>
      <c r="L2" s="26" t="s">
        <v>18</v>
      </c>
      <c r="M2" s="27" t="s">
        <v>13</v>
      </c>
      <c r="N2" s="28" t="s">
        <v>19</v>
      </c>
      <c r="O2" s="29" t="s">
        <v>16</v>
      </c>
      <c r="P2" s="30" t="s">
        <v>17</v>
      </c>
      <c r="Q2" s="31" t="s">
        <v>13</v>
      </c>
      <c r="R2" s="37" t="s">
        <v>26</v>
      </c>
      <c r="S2" s="32" t="s">
        <v>14</v>
      </c>
      <c r="T2" s="33" t="s">
        <v>20</v>
      </c>
      <c r="U2" s="34" t="s">
        <v>16</v>
      </c>
      <c r="V2" s="34" t="s">
        <v>17</v>
      </c>
      <c r="W2" s="34" t="s">
        <v>18</v>
      </c>
      <c r="X2" s="34" t="s">
        <v>21</v>
      </c>
      <c r="Y2" s="35" t="s">
        <v>22</v>
      </c>
      <c r="Z2" s="36" t="s">
        <v>23</v>
      </c>
      <c r="AA2" s="36" t="s">
        <v>24</v>
      </c>
      <c r="AB2" s="36" t="s">
        <v>25</v>
      </c>
      <c r="AC2" s="37" t="s">
        <v>26</v>
      </c>
      <c r="AD2" s="38" t="s">
        <v>27</v>
      </c>
      <c r="AE2" s="39"/>
      <c r="AF2" s="40">
        <v>0</v>
      </c>
      <c r="AG2" s="40">
        <v>1</v>
      </c>
      <c r="AH2" s="40">
        <v>2</v>
      </c>
    </row>
    <row r="3" spans="1:34" ht="16.5" customHeight="1" thickBot="1">
      <c r="A3" s="41">
        <v>1</v>
      </c>
      <c r="B3" s="42" t="s">
        <v>28</v>
      </c>
      <c r="C3" s="42" t="s">
        <v>29</v>
      </c>
      <c r="D3" s="43"/>
      <c r="E3" s="44"/>
      <c r="F3" s="44"/>
      <c r="G3" s="45"/>
      <c r="H3" s="46"/>
      <c r="I3" s="47">
        <v>0</v>
      </c>
      <c r="J3" s="48">
        <v>5</v>
      </c>
      <c r="K3" s="48">
        <v>5</v>
      </c>
      <c r="L3" s="49">
        <v>7</v>
      </c>
      <c r="M3" s="50">
        <f t="shared" ref="M3:M12" si="0">AVERAGE(J3:L3)</f>
        <v>5.666666666666667</v>
      </c>
      <c r="N3" s="51">
        <f>(H3*30/9+2*I3+M3*50/9)*1.15</f>
        <v>36.203703703703702</v>
      </c>
      <c r="O3" s="52">
        <v>5.5</v>
      </c>
      <c r="P3" s="53">
        <v>5.5</v>
      </c>
      <c r="Q3" s="54">
        <f t="shared" ref="Q3:Q12" si="1">AVERAGE(O3:P3)</f>
        <v>5.5</v>
      </c>
      <c r="R3" s="63" t="s">
        <v>30</v>
      </c>
      <c r="S3" s="55">
        <v>5.5</v>
      </c>
      <c r="T3" s="56"/>
      <c r="U3" s="57"/>
      <c r="V3" s="58"/>
      <c r="W3" s="58"/>
      <c r="X3" s="58"/>
      <c r="Y3" s="59"/>
      <c r="Z3" s="60">
        <f t="shared" ref="Z3:Z12" si="2">0.25*N3+0.15*T3*10+20/9*Q3+40/9*Y3</f>
        <v>21.273148148148149</v>
      </c>
      <c r="AA3" s="61">
        <f>IF(Z3&gt;AF$10,AG$10,IF(Z3&gt;AF$9,AG$9,IF(Z3&gt;AF$8,AG$8,IF(Z3&gt;AF$7,AG$7,IF(Z3&gt;AF$6,AG$6,IF(Z3&gt;AF$5,AG$5,IF(Z3&gt;AF$4,AG$4,IF(Z3&gt;AF$3,AG$3,IF(Z3&gt;AF$2,AG$2)))))))))</f>
        <v>2</v>
      </c>
      <c r="AB3" s="62">
        <f>VLOOKUP(AA3,AG$2:AH$10,2,FALSE)</f>
        <v>2</v>
      </c>
      <c r="AC3" s="63" t="s">
        <v>30</v>
      </c>
      <c r="AD3" s="64">
        <v>11</v>
      </c>
      <c r="AE3" s="65"/>
      <c r="AF3" s="66">
        <v>12</v>
      </c>
      <c r="AG3" s="66">
        <v>2</v>
      </c>
      <c r="AH3" s="66">
        <v>2</v>
      </c>
    </row>
    <row r="4" spans="1:34" ht="16.5" customHeight="1" thickBot="1">
      <c r="A4" s="67">
        <v>2</v>
      </c>
      <c r="B4" s="68" t="s">
        <v>31</v>
      </c>
      <c r="C4" s="68" t="s">
        <v>32</v>
      </c>
      <c r="D4" s="69">
        <v>5</v>
      </c>
      <c r="E4" s="70">
        <v>5.5</v>
      </c>
      <c r="F4" s="70">
        <v>8</v>
      </c>
      <c r="G4" s="71">
        <f t="shared" ref="G4:G12" si="3">IFERROR(AVERAGE(D4:F4),)</f>
        <v>6.166666666666667</v>
      </c>
      <c r="H4" s="72">
        <v>6</v>
      </c>
      <c r="I4" s="73">
        <v>4</v>
      </c>
      <c r="J4" s="74">
        <v>6</v>
      </c>
      <c r="K4" s="74">
        <v>3.5</v>
      </c>
      <c r="L4" s="75">
        <v>5.5</v>
      </c>
      <c r="M4" s="76">
        <f t="shared" si="0"/>
        <v>5</v>
      </c>
      <c r="N4" s="77">
        <f t="shared" ref="N4:N12" si="4">H4*30/9+2*I4+M4*50/9</f>
        <v>55.777777777777779</v>
      </c>
      <c r="O4" s="78">
        <v>4.5</v>
      </c>
      <c r="P4" s="79">
        <v>4.5</v>
      </c>
      <c r="Q4" s="80">
        <f t="shared" si="1"/>
        <v>4.5</v>
      </c>
      <c r="R4" s="87" t="s">
        <v>33</v>
      </c>
      <c r="S4" s="81">
        <v>4.5</v>
      </c>
      <c r="T4" s="82"/>
      <c r="U4" s="83"/>
      <c r="V4" s="84"/>
      <c r="W4" s="84"/>
      <c r="X4" s="84"/>
      <c r="Y4" s="85"/>
      <c r="Z4" s="86">
        <f t="shared" si="2"/>
        <v>23.944444444444443</v>
      </c>
      <c r="AA4" s="61">
        <f t="shared" ref="AA4:AA67" si="5">IF(Z4&gt;AF$10,AG$10,IF(Z4&gt;AF$9,AG$9,IF(Z4&gt;AF$8,AG$8,IF(Z4&gt;AF$7,AG$7,IF(Z4&gt;AF$6,AG$6,IF(Z4&gt;AF$5,AG$5,IF(Z4&gt;AF$4,AG$4,IF(Z4&gt;AF$3,AG$3,IF(Z4&gt;AF$2,AG$2)))))))))</f>
        <v>2</v>
      </c>
      <c r="AB4" s="62">
        <f t="shared" ref="AB4:AB67" si="6">VLOOKUP(AA4,AG$2:AH$10,2,FALSE)</f>
        <v>2</v>
      </c>
      <c r="AC4" s="87" t="s">
        <v>33</v>
      </c>
      <c r="AD4" s="88">
        <v>6</v>
      </c>
      <c r="AE4" s="65"/>
      <c r="AF4" s="66">
        <v>34</v>
      </c>
      <c r="AG4" s="66">
        <v>4</v>
      </c>
      <c r="AH4" s="66">
        <v>3</v>
      </c>
    </row>
    <row r="5" spans="1:34" ht="16.5" customHeight="1" thickBot="1">
      <c r="A5" s="67">
        <v>3</v>
      </c>
      <c r="B5" s="68" t="s">
        <v>34</v>
      </c>
      <c r="C5" s="68" t="s">
        <v>35</v>
      </c>
      <c r="D5" s="69">
        <v>3.5</v>
      </c>
      <c r="E5" s="70">
        <v>4.5</v>
      </c>
      <c r="F5" s="70">
        <v>4</v>
      </c>
      <c r="G5" s="71">
        <f t="shared" si="3"/>
        <v>4</v>
      </c>
      <c r="H5" s="72">
        <v>4</v>
      </c>
      <c r="I5" s="73">
        <v>3</v>
      </c>
      <c r="J5" s="74">
        <v>4</v>
      </c>
      <c r="K5" s="74">
        <v>4.5</v>
      </c>
      <c r="L5" s="75">
        <v>6</v>
      </c>
      <c r="M5" s="76">
        <f t="shared" si="0"/>
        <v>4.833333333333333</v>
      </c>
      <c r="N5" s="77">
        <f t="shared" si="4"/>
        <v>46.18518518518519</v>
      </c>
      <c r="O5" s="78">
        <v>4.5</v>
      </c>
      <c r="P5" s="79">
        <v>4</v>
      </c>
      <c r="Q5" s="80">
        <f t="shared" si="1"/>
        <v>4.25</v>
      </c>
      <c r="R5" s="87" t="s">
        <v>36</v>
      </c>
      <c r="S5" s="81">
        <v>4.5</v>
      </c>
      <c r="T5" s="82"/>
      <c r="U5" s="83"/>
      <c r="V5" s="84"/>
      <c r="W5" s="84"/>
      <c r="X5" s="84"/>
      <c r="Y5" s="85"/>
      <c r="Z5" s="86">
        <f t="shared" si="2"/>
        <v>20.99074074074074</v>
      </c>
      <c r="AA5" s="61">
        <f t="shared" si="5"/>
        <v>2</v>
      </c>
      <c r="AB5" s="62">
        <f t="shared" si="6"/>
        <v>2</v>
      </c>
      <c r="AC5" s="87" t="s">
        <v>36</v>
      </c>
      <c r="AD5" s="88">
        <v>3</v>
      </c>
      <c r="AE5" s="65"/>
      <c r="AF5" s="66">
        <v>41</v>
      </c>
      <c r="AG5" s="66">
        <v>5</v>
      </c>
      <c r="AH5" s="66">
        <v>3</v>
      </c>
    </row>
    <row r="6" spans="1:34" ht="16.5" customHeight="1" thickBot="1">
      <c r="A6" s="67">
        <v>4</v>
      </c>
      <c r="B6" s="68" t="s">
        <v>37</v>
      </c>
      <c r="C6" s="68" t="s">
        <v>38</v>
      </c>
      <c r="D6" s="69">
        <v>5</v>
      </c>
      <c r="E6" s="70">
        <v>6</v>
      </c>
      <c r="F6" s="70">
        <v>7.5</v>
      </c>
      <c r="G6" s="71">
        <f t="shared" si="3"/>
        <v>6.166666666666667</v>
      </c>
      <c r="H6" s="72">
        <v>6</v>
      </c>
      <c r="I6" s="73">
        <v>4</v>
      </c>
      <c r="J6" s="74">
        <v>6</v>
      </c>
      <c r="K6" s="74">
        <v>5.5</v>
      </c>
      <c r="L6" s="75">
        <v>6</v>
      </c>
      <c r="M6" s="76">
        <f t="shared" si="0"/>
        <v>5.833333333333333</v>
      </c>
      <c r="N6" s="77">
        <f t="shared" si="4"/>
        <v>60.407407407407405</v>
      </c>
      <c r="O6" s="78">
        <v>5.5</v>
      </c>
      <c r="P6" s="79">
        <v>6</v>
      </c>
      <c r="Q6" s="80">
        <f t="shared" si="1"/>
        <v>5.75</v>
      </c>
      <c r="R6" s="87" t="s">
        <v>39</v>
      </c>
      <c r="S6" s="89">
        <v>6</v>
      </c>
      <c r="T6" s="82"/>
      <c r="U6" s="83"/>
      <c r="V6" s="84"/>
      <c r="W6" s="84"/>
      <c r="X6" s="84"/>
      <c r="Y6" s="85"/>
      <c r="Z6" s="86">
        <f t="shared" si="2"/>
        <v>27.87962962962963</v>
      </c>
      <c r="AA6" s="61">
        <f t="shared" si="5"/>
        <v>2</v>
      </c>
      <c r="AB6" s="62">
        <f t="shared" si="6"/>
        <v>2</v>
      </c>
      <c r="AC6" s="87" t="s">
        <v>39</v>
      </c>
      <c r="AD6" s="88">
        <v>11</v>
      </c>
      <c r="AE6" s="65"/>
      <c r="AF6" s="66">
        <v>48</v>
      </c>
      <c r="AG6" s="66">
        <v>6</v>
      </c>
      <c r="AH6" s="66">
        <v>4</v>
      </c>
    </row>
    <row r="7" spans="1:34" ht="16.5" customHeight="1" thickBot="1">
      <c r="A7" s="67">
        <v>5</v>
      </c>
      <c r="B7" s="68" t="s">
        <v>40</v>
      </c>
      <c r="C7" s="68" t="s">
        <v>41</v>
      </c>
      <c r="D7" s="69">
        <v>4.5</v>
      </c>
      <c r="E7" s="70">
        <v>6</v>
      </c>
      <c r="F7" s="70">
        <v>8</v>
      </c>
      <c r="G7" s="71">
        <f t="shared" si="3"/>
        <v>6.166666666666667</v>
      </c>
      <c r="H7" s="72">
        <v>6</v>
      </c>
      <c r="I7" s="73">
        <v>4.5</v>
      </c>
      <c r="J7" s="74">
        <v>5.5</v>
      </c>
      <c r="K7" s="74">
        <v>5</v>
      </c>
      <c r="L7" s="75">
        <v>6</v>
      </c>
      <c r="M7" s="76">
        <f t="shared" si="0"/>
        <v>5.5</v>
      </c>
      <c r="N7" s="77">
        <f t="shared" si="4"/>
        <v>59.555555555555557</v>
      </c>
      <c r="O7" s="78"/>
      <c r="P7" s="79"/>
      <c r="Q7" s="80" t="e">
        <f t="shared" si="1"/>
        <v>#DIV/0!</v>
      </c>
      <c r="R7" s="87" t="s">
        <v>42</v>
      </c>
      <c r="S7" s="89">
        <v>0</v>
      </c>
      <c r="T7" s="82"/>
      <c r="U7" s="83"/>
      <c r="V7" s="84"/>
      <c r="W7" s="84"/>
      <c r="X7" s="84"/>
      <c r="Y7" s="85"/>
      <c r="Z7" s="86" t="e">
        <f t="shared" si="2"/>
        <v>#DIV/0!</v>
      </c>
      <c r="AA7" s="61" t="e">
        <f t="shared" si="5"/>
        <v>#DIV/0!</v>
      </c>
      <c r="AB7" s="62" t="e">
        <f t="shared" si="6"/>
        <v>#DIV/0!</v>
      </c>
      <c r="AC7" s="87" t="s">
        <v>42</v>
      </c>
      <c r="AD7" s="88">
        <v>7</v>
      </c>
      <c r="AE7" s="65"/>
      <c r="AF7" s="66">
        <v>56</v>
      </c>
      <c r="AG7" s="66">
        <v>7</v>
      </c>
      <c r="AH7" s="66">
        <v>4</v>
      </c>
    </row>
    <row r="8" spans="1:34" ht="15.75" customHeight="1" thickBot="1">
      <c r="A8" s="67">
        <v>6</v>
      </c>
      <c r="B8" s="68" t="s">
        <v>43</v>
      </c>
      <c r="C8" s="68" t="s">
        <v>44</v>
      </c>
      <c r="D8" s="69">
        <v>4</v>
      </c>
      <c r="E8" s="70">
        <v>4</v>
      </c>
      <c r="F8" s="70">
        <v>5</v>
      </c>
      <c r="G8" s="71">
        <f t="shared" si="3"/>
        <v>4.333333333333333</v>
      </c>
      <c r="H8" s="72">
        <v>4.5</v>
      </c>
      <c r="I8" s="73">
        <v>2</v>
      </c>
      <c r="J8" s="74">
        <v>5.5</v>
      </c>
      <c r="K8" s="74">
        <v>4.5</v>
      </c>
      <c r="L8" s="75">
        <v>5.5</v>
      </c>
      <c r="M8" s="76">
        <f t="shared" si="0"/>
        <v>5.166666666666667</v>
      </c>
      <c r="N8" s="77">
        <f t="shared" si="4"/>
        <v>47.703703703703709</v>
      </c>
      <c r="O8" s="78">
        <v>5</v>
      </c>
      <c r="P8" s="79">
        <v>4</v>
      </c>
      <c r="Q8" s="80">
        <f t="shared" si="1"/>
        <v>4.5</v>
      </c>
      <c r="R8" s="87" t="s">
        <v>45</v>
      </c>
      <c r="S8" s="81">
        <v>4.5</v>
      </c>
      <c r="T8" s="82"/>
      <c r="U8" s="83"/>
      <c r="V8" s="84"/>
      <c r="W8" s="84"/>
      <c r="X8" s="84"/>
      <c r="Y8" s="85"/>
      <c r="Z8" s="86">
        <f t="shared" si="2"/>
        <v>21.925925925925927</v>
      </c>
      <c r="AA8" s="61">
        <f t="shared" si="5"/>
        <v>2</v>
      </c>
      <c r="AB8" s="62">
        <f t="shared" si="6"/>
        <v>2</v>
      </c>
      <c r="AC8" s="87" t="s">
        <v>45</v>
      </c>
      <c r="AD8" s="88">
        <v>10</v>
      </c>
      <c r="AE8" s="65"/>
      <c r="AF8" s="66">
        <v>65</v>
      </c>
      <c r="AG8" s="66">
        <v>8</v>
      </c>
      <c r="AH8" s="66">
        <v>5</v>
      </c>
    </row>
    <row r="9" spans="1:34" ht="16.5" customHeight="1" thickBot="1">
      <c r="A9" s="67">
        <v>7</v>
      </c>
      <c r="B9" s="68" t="s">
        <v>46</v>
      </c>
      <c r="C9" s="68" t="s">
        <v>47</v>
      </c>
      <c r="D9" s="69">
        <v>5</v>
      </c>
      <c r="E9" s="70">
        <v>5.5</v>
      </c>
      <c r="F9" s="70">
        <v>7.5</v>
      </c>
      <c r="G9" s="71">
        <f t="shared" si="3"/>
        <v>6</v>
      </c>
      <c r="H9" s="72">
        <v>6</v>
      </c>
      <c r="I9" s="73">
        <v>7.5</v>
      </c>
      <c r="J9" s="74">
        <v>5.5</v>
      </c>
      <c r="K9" s="74">
        <v>5</v>
      </c>
      <c r="L9" s="75">
        <v>6.5</v>
      </c>
      <c r="M9" s="76">
        <f t="shared" si="0"/>
        <v>5.666666666666667</v>
      </c>
      <c r="N9" s="77">
        <f t="shared" si="4"/>
        <v>66.481481481481481</v>
      </c>
      <c r="O9" s="78">
        <v>6</v>
      </c>
      <c r="P9" s="79">
        <v>4.5</v>
      </c>
      <c r="Q9" s="80">
        <f t="shared" si="1"/>
        <v>5.25</v>
      </c>
      <c r="R9" s="87" t="s">
        <v>48</v>
      </c>
      <c r="S9" s="81">
        <v>5.5</v>
      </c>
      <c r="T9" s="82"/>
      <c r="U9" s="83"/>
      <c r="V9" s="84"/>
      <c r="W9" s="84"/>
      <c r="X9" s="84"/>
      <c r="Y9" s="85"/>
      <c r="Z9" s="86">
        <f t="shared" si="2"/>
        <v>28.287037037037038</v>
      </c>
      <c r="AA9" s="61">
        <f t="shared" si="5"/>
        <v>2</v>
      </c>
      <c r="AB9" s="62">
        <f t="shared" si="6"/>
        <v>2</v>
      </c>
      <c r="AC9" s="87" t="s">
        <v>48</v>
      </c>
      <c r="AD9" s="88">
        <v>8</v>
      </c>
      <c r="AE9" s="65"/>
      <c r="AF9" s="66">
        <v>73</v>
      </c>
      <c r="AG9" s="66">
        <v>9</v>
      </c>
      <c r="AH9" s="66">
        <v>5</v>
      </c>
    </row>
    <row r="10" spans="1:34" ht="16.5" customHeight="1" thickBot="1">
      <c r="A10" s="67">
        <v>8</v>
      </c>
      <c r="B10" s="68" t="s">
        <v>49</v>
      </c>
      <c r="C10" s="68" t="s">
        <v>50</v>
      </c>
      <c r="D10" s="69">
        <v>5.5</v>
      </c>
      <c r="E10" s="70">
        <v>7.5</v>
      </c>
      <c r="F10" s="70">
        <v>8</v>
      </c>
      <c r="G10" s="71">
        <f t="shared" si="3"/>
        <v>7</v>
      </c>
      <c r="H10" s="72">
        <v>7</v>
      </c>
      <c r="I10" s="73">
        <v>7.5</v>
      </c>
      <c r="J10" s="74">
        <v>6</v>
      </c>
      <c r="K10" s="74">
        <v>5.5</v>
      </c>
      <c r="L10" s="75">
        <v>6.5</v>
      </c>
      <c r="M10" s="76">
        <f t="shared" si="0"/>
        <v>6</v>
      </c>
      <c r="N10" s="77">
        <f t="shared" si="4"/>
        <v>71.666666666666657</v>
      </c>
      <c r="O10" s="78">
        <v>6.5</v>
      </c>
      <c r="P10" s="79">
        <v>8.5</v>
      </c>
      <c r="Q10" s="80">
        <f t="shared" si="1"/>
        <v>7.5</v>
      </c>
      <c r="R10" s="87" t="s">
        <v>51</v>
      </c>
      <c r="S10" s="81">
        <v>7.5</v>
      </c>
      <c r="T10" s="82"/>
      <c r="U10" s="83"/>
      <c r="V10" s="84"/>
      <c r="W10" s="84"/>
      <c r="X10" s="84"/>
      <c r="Y10" s="85"/>
      <c r="Z10" s="86">
        <f t="shared" si="2"/>
        <v>34.583333333333329</v>
      </c>
      <c r="AA10" s="61">
        <f t="shared" si="5"/>
        <v>4</v>
      </c>
      <c r="AB10" s="62">
        <f t="shared" si="6"/>
        <v>3</v>
      </c>
      <c r="AC10" s="87" t="s">
        <v>51</v>
      </c>
      <c r="AD10" s="88">
        <v>7</v>
      </c>
      <c r="AE10" s="65"/>
      <c r="AF10" s="66">
        <v>80</v>
      </c>
      <c r="AG10" s="66">
        <v>10</v>
      </c>
      <c r="AH10" s="66">
        <v>5</v>
      </c>
    </row>
    <row r="11" spans="1:34" ht="16.5" customHeight="1" thickBot="1">
      <c r="A11" s="67">
        <v>9</v>
      </c>
      <c r="B11" s="68" t="s">
        <v>52</v>
      </c>
      <c r="C11" s="68" t="s">
        <v>53</v>
      </c>
      <c r="D11" s="69">
        <v>5</v>
      </c>
      <c r="E11" s="70">
        <v>5</v>
      </c>
      <c r="F11" s="70">
        <v>6.5</v>
      </c>
      <c r="G11" s="71">
        <f t="shared" si="3"/>
        <v>5.5</v>
      </c>
      <c r="H11" s="72">
        <v>5.5</v>
      </c>
      <c r="I11" s="73">
        <v>6</v>
      </c>
      <c r="J11" s="74">
        <v>5.5</v>
      </c>
      <c r="K11" s="74">
        <v>4.5</v>
      </c>
      <c r="L11" s="75">
        <v>6.5</v>
      </c>
      <c r="M11" s="76">
        <f t="shared" si="0"/>
        <v>5.5</v>
      </c>
      <c r="N11" s="77">
        <f t="shared" si="4"/>
        <v>60.888888888888886</v>
      </c>
      <c r="O11" s="78">
        <v>5.5</v>
      </c>
      <c r="P11" s="79">
        <v>4.5</v>
      </c>
      <c r="Q11" s="80">
        <f t="shared" si="1"/>
        <v>5</v>
      </c>
      <c r="R11" s="290" t="s">
        <v>54</v>
      </c>
      <c r="S11" s="89">
        <v>5</v>
      </c>
      <c r="T11" s="82"/>
      <c r="U11" s="83"/>
      <c r="V11" s="84"/>
      <c r="W11" s="84"/>
      <c r="X11" s="84"/>
      <c r="Y11" s="85"/>
      <c r="Z11" s="86">
        <f t="shared" si="2"/>
        <v>26.333333333333332</v>
      </c>
      <c r="AA11" s="61">
        <f t="shared" si="5"/>
        <v>2</v>
      </c>
      <c r="AB11" s="62">
        <f t="shared" si="6"/>
        <v>2</v>
      </c>
      <c r="AC11" s="290" t="s">
        <v>54</v>
      </c>
      <c r="AD11" s="88">
        <v>14</v>
      </c>
      <c r="AE11" s="90"/>
      <c r="AF11" s="91"/>
      <c r="AG11" s="91"/>
      <c r="AH11" s="91"/>
    </row>
    <row r="12" spans="1:34" ht="16.5" customHeight="1" thickBot="1">
      <c r="A12" s="67">
        <v>10</v>
      </c>
      <c r="B12" s="68" t="s">
        <v>55</v>
      </c>
      <c r="C12" s="68" t="s">
        <v>56</v>
      </c>
      <c r="D12" s="69">
        <v>5.5</v>
      </c>
      <c r="E12" s="70">
        <v>5.5</v>
      </c>
      <c r="F12" s="70">
        <v>7</v>
      </c>
      <c r="G12" s="71">
        <f t="shared" si="3"/>
        <v>6</v>
      </c>
      <c r="H12" s="72">
        <v>6</v>
      </c>
      <c r="I12" s="73">
        <v>7.5</v>
      </c>
      <c r="J12" s="74">
        <v>6</v>
      </c>
      <c r="K12" s="74">
        <v>6</v>
      </c>
      <c r="L12" s="75">
        <v>6.5</v>
      </c>
      <c r="M12" s="76">
        <f t="shared" si="0"/>
        <v>6.166666666666667</v>
      </c>
      <c r="N12" s="77">
        <f t="shared" si="4"/>
        <v>69.259259259259267</v>
      </c>
      <c r="O12" s="78">
        <v>6</v>
      </c>
      <c r="P12" s="79">
        <v>6.5</v>
      </c>
      <c r="Q12" s="80">
        <f t="shared" si="1"/>
        <v>6.25</v>
      </c>
      <c r="R12" s="87" t="s">
        <v>57</v>
      </c>
      <c r="S12" s="81">
        <v>6.5</v>
      </c>
      <c r="T12" s="82"/>
      <c r="U12" s="83"/>
      <c r="V12" s="84"/>
      <c r="W12" s="84"/>
      <c r="X12" s="84"/>
      <c r="Y12" s="85"/>
      <c r="Z12" s="86">
        <f t="shared" si="2"/>
        <v>31.203703703703706</v>
      </c>
      <c r="AA12" s="61">
        <f t="shared" si="5"/>
        <v>2</v>
      </c>
      <c r="AB12" s="62">
        <f t="shared" si="6"/>
        <v>2</v>
      </c>
      <c r="AC12" s="87" t="s">
        <v>57</v>
      </c>
      <c r="AD12" s="88">
        <v>13</v>
      </c>
      <c r="AE12" s="90"/>
      <c r="AF12" s="92"/>
      <c r="AG12" s="92"/>
      <c r="AH12" s="92"/>
    </row>
    <row r="13" spans="1:34" ht="16.5" customHeight="1" thickBot="1">
      <c r="A13" s="67">
        <v>11</v>
      </c>
      <c r="B13" s="93" t="s">
        <v>58</v>
      </c>
      <c r="C13" s="66"/>
      <c r="D13" s="94"/>
      <c r="E13" s="95"/>
      <c r="F13" s="95"/>
      <c r="G13" s="96"/>
      <c r="H13" s="97"/>
      <c r="I13" s="98"/>
      <c r="J13" s="99">
        <v>3.5</v>
      </c>
      <c r="K13" s="99">
        <v>8.5</v>
      </c>
      <c r="L13" s="100">
        <v>6</v>
      </c>
      <c r="M13" s="101"/>
      <c r="N13" s="102"/>
      <c r="O13" s="78">
        <v>4</v>
      </c>
      <c r="P13" s="79">
        <v>4</v>
      </c>
      <c r="Q13" s="103">
        <v>4</v>
      </c>
      <c r="R13" s="101">
        <v>0</v>
      </c>
      <c r="S13" s="89">
        <v>4</v>
      </c>
      <c r="T13" s="104"/>
      <c r="U13" s="105"/>
      <c r="V13" s="95"/>
      <c r="W13" s="95"/>
      <c r="X13" s="95"/>
      <c r="Y13" s="106"/>
      <c r="Z13" s="105"/>
      <c r="AA13" s="61" t="b">
        <f t="shared" si="5"/>
        <v>0</v>
      </c>
      <c r="AB13" s="62" t="e">
        <f t="shared" si="6"/>
        <v>#N/A</v>
      </c>
      <c r="AC13" s="101">
        <v>0</v>
      </c>
      <c r="AD13" s="107"/>
      <c r="AE13" s="90"/>
      <c r="AF13" s="92"/>
      <c r="AG13" s="92"/>
      <c r="AH13" s="92"/>
    </row>
    <row r="14" spans="1:34" ht="16.5" customHeight="1" thickBot="1">
      <c r="A14" s="67">
        <v>12</v>
      </c>
      <c r="B14" s="68" t="s">
        <v>59</v>
      </c>
      <c r="C14" s="68" t="s">
        <v>60</v>
      </c>
      <c r="D14" s="69"/>
      <c r="E14" s="70"/>
      <c r="F14" s="70"/>
      <c r="G14" s="71">
        <f t="shared" ref="G14:G77" si="7">IFERROR(AVERAGE(D14:F14),)</f>
        <v>0</v>
      </c>
      <c r="H14" s="72"/>
      <c r="I14" s="73"/>
      <c r="J14" s="74">
        <v>3</v>
      </c>
      <c r="K14" s="74">
        <v>3.5</v>
      </c>
      <c r="L14" s="75">
        <v>5</v>
      </c>
      <c r="M14" s="76">
        <f t="shared" ref="M14:M77" si="8">AVERAGE(J14:L14)</f>
        <v>3.8333333333333335</v>
      </c>
      <c r="N14" s="77">
        <f t="shared" ref="N14:N34" si="9">H14*30/9+2*I14+M14*50/9</f>
        <v>21.296296296296298</v>
      </c>
      <c r="O14" s="78">
        <v>5</v>
      </c>
      <c r="P14" s="79">
        <v>4.5</v>
      </c>
      <c r="Q14" s="80">
        <f t="shared" ref="Q14:Q58" si="10">AVERAGE(O14:P14)</f>
        <v>4.75</v>
      </c>
      <c r="R14" s="87" t="s">
        <v>61</v>
      </c>
      <c r="S14" s="89">
        <v>5</v>
      </c>
      <c r="T14" s="82"/>
      <c r="U14" s="83"/>
      <c r="V14" s="84"/>
      <c r="W14" s="84"/>
      <c r="X14" s="84"/>
      <c r="Y14" s="85"/>
      <c r="Z14" s="86">
        <f t="shared" ref="Z14:Z77" si="11">0.25*N14+0.15*T14*10+20/9*Q14+40/9*Y14</f>
        <v>15.87962962962963</v>
      </c>
      <c r="AA14" s="61">
        <f t="shared" si="5"/>
        <v>2</v>
      </c>
      <c r="AB14" s="62">
        <f t="shared" si="6"/>
        <v>2</v>
      </c>
      <c r="AC14" s="87" t="s">
        <v>61</v>
      </c>
      <c r="AD14" s="88">
        <v>15</v>
      </c>
      <c r="AE14" s="90"/>
      <c r="AF14" s="92"/>
      <c r="AG14" s="92"/>
      <c r="AH14" s="92"/>
    </row>
    <row r="15" spans="1:34" ht="16.5" customHeight="1" thickBot="1">
      <c r="A15" s="67">
        <v>13</v>
      </c>
      <c r="B15" s="68" t="s">
        <v>62</v>
      </c>
      <c r="C15" s="68" t="s">
        <v>63</v>
      </c>
      <c r="D15" s="69">
        <v>5.5</v>
      </c>
      <c r="E15" s="70">
        <v>5</v>
      </c>
      <c r="F15" s="70">
        <v>7</v>
      </c>
      <c r="G15" s="71">
        <f t="shared" si="7"/>
        <v>5.833333333333333</v>
      </c>
      <c r="H15" s="72">
        <v>6</v>
      </c>
      <c r="I15" s="73">
        <v>7.5</v>
      </c>
      <c r="J15" s="74">
        <v>6.5</v>
      </c>
      <c r="K15" s="74">
        <v>5.5</v>
      </c>
      <c r="L15" s="75">
        <v>6</v>
      </c>
      <c r="M15" s="76">
        <f t="shared" si="8"/>
        <v>6</v>
      </c>
      <c r="N15" s="77">
        <f t="shared" si="9"/>
        <v>68.333333333333343</v>
      </c>
      <c r="O15" s="78">
        <v>6</v>
      </c>
      <c r="P15" s="79">
        <v>7</v>
      </c>
      <c r="Q15" s="80">
        <f t="shared" si="10"/>
        <v>6.5</v>
      </c>
      <c r="R15" s="87" t="s">
        <v>64</v>
      </c>
      <c r="S15" s="81">
        <v>6.5</v>
      </c>
      <c r="T15" s="82"/>
      <c r="U15" s="83"/>
      <c r="V15" s="84"/>
      <c r="W15" s="84"/>
      <c r="X15" s="84"/>
      <c r="Y15" s="85"/>
      <c r="Z15" s="86">
        <f t="shared" si="11"/>
        <v>31.527777777777779</v>
      </c>
      <c r="AA15" s="61">
        <f t="shared" si="5"/>
        <v>2</v>
      </c>
      <c r="AB15" s="62">
        <f t="shared" si="6"/>
        <v>2</v>
      </c>
      <c r="AC15" s="87" t="s">
        <v>64</v>
      </c>
      <c r="AD15" s="88">
        <v>7</v>
      </c>
      <c r="AE15" s="90"/>
      <c r="AF15" s="92"/>
      <c r="AG15" s="92"/>
      <c r="AH15" s="92"/>
    </row>
    <row r="16" spans="1:34" ht="16.5" customHeight="1" thickBot="1">
      <c r="A16" s="67">
        <v>14</v>
      </c>
      <c r="B16" s="68" t="s">
        <v>65</v>
      </c>
      <c r="C16" s="68" t="s">
        <v>66</v>
      </c>
      <c r="D16" s="69">
        <v>5</v>
      </c>
      <c r="E16" s="70">
        <v>6</v>
      </c>
      <c r="F16" s="70">
        <v>7.5</v>
      </c>
      <c r="G16" s="71">
        <f t="shared" si="7"/>
        <v>6.166666666666667</v>
      </c>
      <c r="H16" s="72">
        <v>6</v>
      </c>
      <c r="I16" s="73">
        <v>3</v>
      </c>
      <c r="J16" s="74">
        <v>5</v>
      </c>
      <c r="K16" s="74">
        <v>9</v>
      </c>
      <c r="L16" s="75">
        <v>2</v>
      </c>
      <c r="M16" s="76">
        <f t="shared" si="8"/>
        <v>5.333333333333333</v>
      </c>
      <c r="N16" s="77">
        <f t="shared" si="9"/>
        <v>55.629629629629626</v>
      </c>
      <c r="O16" s="78">
        <v>5</v>
      </c>
      <c r="P16" s="79">
        <v>5.5</v>
      </c>
      <c r="Q16" s="80">
        <f t="shared" si="10"/>
        <v>5.25</v>
      </c>
      <c r="R16" s="87" t="s">
        <v>67</v>
      </c>
      <c r="S16" s="81">
        <v>5.5</v>
      </c>
      <c r="T16" s="82"/>
      <c r="U16" s="83"/>
      <c r="V16" s="84"/>
      <c r="W16" s="84"/>
      <c r="X16" s="84"/>
      <c r="Y16" s="85"/>
      <c r="Z16" s="86">
        <f t="shared" si="11"/>
        <v>25.574074074074076</v>
      </c>
      <c r="AA16" s="61">
        <f t="shared" si="5"/>
        <v>2</v>
      </c>
      <c r="AB16" s="62">
        <f t="shared" si="6"/>
        <v>2</v>
      </c>
      <c r="AC16" s="87" t="s">
        <v>67</v>
      </c>
      <c r="AD16" s="88">
        <v>3</v>
      </c>
      <c r="AE16" s="90"/>
      <c r="AF16" s="92"/>
      <c r="AG16" s="92"/>
      <c r="AH16" s="92"/>
    </row>
    <row r="17" spans="1:34" ht="16.5" customHeight="1" thickBot="1">
      <c r="A17" s="67">
        <v>15</v>
      </c>
      <c r="B17" s="68" t="s">
        <v>68</v>
      </c>
      <c r="C17" s="68" t="s">
        <v>69</v>
      </c>
      <c r="D17" s="69">
        <v>6.5</v>
      </c>
      <c r="E17" s="70">
        <v>7</v>
      </c>
      <c r="F17" s="70">
        <v>7</v>
      </c>
      <c r="G17" s="71">
        <f t="shared" si="7"/>
        <v>6.833333333333333</v>
      </c>
      <c r="H17" s="72">
        <v>7</v>
      </c>
      <c r="I17" s="73">
        <v>0</v>
      </c>
      <c r="J17" s="74">
        <v>6.5</v>
      </c>
      <c r="K17" s="74">
        <v>5.5</v>
      </c>
      <c r="L17" s="75">
        <v>6.5</v>
      </c>
      <c r="M17" s="76">
        <f t="shared" si="8"/>
        <v>6.166666666666667</v>
      </c>
      <c r="N17" s="77">
        <f t="shared" si="9"/>
        <v>57.592592592592595</v>
      </c>
      <c r="O17" s="78">
        <v>6.5</v>
      </c>
      <c r="P17" s="79">
        <v>7.5</v>
      </c>
      <c r="Q17" s="80">
        <f t="shared" si="10"/>
        <v>7</v>
      </c>
      <c r="R17" s="87" t="s">
        <v>70</v>
      </c>
      <c r="S17" s="89">
        <v>7</v>
      </c>
      <c r="T17" s="82"/>
      <c r="U17" s="83"/>
      <c r="V17" s="84"/>
      <c r="W17" s="84"/>
      <c r="X17" s="84"/>
      <c r="Y17" s="85"/>
      <c r="Z17" s="86">
        <f t="shared" si="11"/>
        <v>29.953703703703706</v>
      </c>
      <c r="AA17" s="61">
        <f t="shared" si="5"/>
        <v>2</v>
      </c>
      <c r="AB17" s="62">
        <f t="shared" si="6"/>
        <v>2</v>
      </c>
      <c r="AC17" s="87" t="s">
        <v>70</v>
      </c>
      <c r="AD17" s="88">
        <v>14</v>
      </c>
      <c r="AE17" s="90"/>
      <c r="AF17" s="92"/>
      <c r="AG17" s="92"/>
      <c r="AH17" s="92"/>
    </row>
    <row r="18" spans="1:34" ht="16.5" customHeight="1" thickBot="1">
      <c r="A18" s="67">
        <v>16</v>
      </c>
      <c r="B18" s="68" t="s">
        <v>71</v>
      </c>
      <c r="C18" s="68" t="s">
        <v>72</v>
      </c>
      <c r="D18" s="69">
        <v>6</v>
      </c>
      <c r="E18" s="70">
        <v>6</v>
      </c>
      <c r="F18" s="70">
        <v>6</v>
      </c>
      <c r="G18" s="71">
        <f t="shared" si="7"/>
        <v>6</v>
      </c>
      <c r="H18" s="72">
        <v>6</v>
      </c>
      <c r="I18" s="73">
        <v>8</v>
      </c>
      <c r="J18" s="74">
        <v>6</v>
      </c>
      <c r="K18" s="74">
        <v>5.5</v>
      </c>
      <c r="L18" s="75">
        <v>2</v>
      </c>
      <c r="M18" s="76">
        <f t="shared" si="8"/>
        <v>4.5</v>
      </c>
      <c r="N18" s="77">
        <f t="shared" si="9"/>
        <v>61</v>
      </c>
      <c r="O18" s="78">
        <v>5.5</v>
      </c>
      <c r="P18" s="79">
        <v>7</v>
      </c>
      <c r="Q18" s="80">
        <f t="shared" si="10"/>
        <v>6.25</v>
      </c>
      <c r="R18" s="87" t="s">
        <v>73</v>
      </c>
      <c r="S18" s="81">
        <v>6.5</v>
      </c>
      <c r="T18" s="82"/>
      <c r="U18" s="83"/>
      <c r="V18" s="84"/>
      <c r="W18" s="84"/>
      <c r="X18" s="84"/>
      <c r="Y18" s="85"/>
      <c r="Z18" s="86">
        <f t="shared" si="11"/>
        <v>29.138888888888889</v>
      </c>
      <c r="AA18" s="61">
        <f t="shared" si="5"/>
        <v>2</v>
      </c>
      <c r="AB18" s="62">
        <f t="shared" si="6"/>
        <v>2</v>
      </c>
      <c r="AC18" s="87" t="s">
        <v>73</v>
      </c>
      <c r="AD18" s="88">
        <v>12</v>
      </c>
      <c r="AE18" s="90"/>
      <c r="AF18" s="92"/>
      <c r="AG18" s="92"/>
      <c r="AH18" s="92"/>
    </row>
    <row r="19" spans="1:34" ht="16.5" customHeight="1" thickBot="1">
      <c r="A19" s="67">
        <v>17</v>
      </c>
      <c r="B19" s="68" t="s">
        <v>74</v>
      </c>
      <c r="C19" s="68" t="s">
        <v>75</v>
      </c>
      <c r="D19" s="69">
        <v>3.5</v>
      </c>
      <c r="E19" s="70">
        <v>3.5</v>
      </c>
      <c r="F19" s="70">
        <v>5.5</v>
      </c>
      <c r="G19" s="71">
        <f t="shared" si="7"/>
        <v>4.166666666666667</v>
      </c>
      <c r="H19" s="72">
        <v>4</v>
      </c>
      <c r="I19" s="73">
        <v>0</v>
      </c>
      <c r="J19" s="74">
        <v>5</v>
      </c>
      <c r="K19" s="74">
        <v>4.5</v>
      </c>
      <c r="L19" s="75">
        <v>6.5</v>
      </c>
      <c r="M19" s="76">
        <f t="shared" si="8"/>
        <v>5.333333333333333</v>
      </c>
      <c r="N19" s="77">
        <f t="shared" si="9"/>
        <v>42.962962962962962</v>
      </c>
      <c r="O19" s="78"/>
      <c r="P19" s="79"/>
      <c r="Q19" s="80" t="e">
        <f t="shared" si="10"/>
        <v>#DIV/0!</v>
      </c>
      <c r="R19" s="87" t="s">
        <v>76</v>
      </c>
      <c r="S19" s="89">
        <v>0</v>
      </c>
      <c r="T19" s="82"/>
      <c r="U19" s="83"/>
      <c r="V19" s="84"/>
      <c r="W19" s="84"/>
      <c r="X19" s="84"/>
      <c r="Y19" s="85"/>
      <c r="Z19" s="86" t="e">
        <f t="shared" si="11"/>
        <v>#DIV/0!</v>
      </c>
      <c r="AA19" s="61" t="e">
        <f t="shared" si="5"/>
        <v>#DIV/0!</v>
      </c>
      <c r="AB19" s="62" t="e">
        <f t="shared" si="6"/>
        <v>#DIV/0!</v>
      </c>
      <c r="AC19" s="87" t="s">
        <v>76</v>
      </c>
      <c r="AD19" s="88">
        <v>6</v>
      </c>
      <c r="AE19" s="90"/>
      <c r="AF19" s="92"/>
      <c r="AG19" s="92"/>
      <c r="AH19" s="92"/>
    </row>
    <row r="20" spans="1:34" ht="16.5" customHeight="1" thickBot="1">
      <c r="A20" s="67">
        <v>18</v>
      </c>
      <c r="B20" s="68" t="s">
        <v>77</v>
      </c>
      <c r="C20" s="68" t="s">
        <v>78</v>
      </c>
      <c r="D20" s="69">
        <v>3.5</v>
      </c>
      <c r="E20" s="70">
        <v>5</v>
      </c>
      <c r="F20" s="70">
        <v>5</v>
      </c>
      <c r="G20" s="71">
        <f t="shared" si="7"/>
        <v>4.5</v>
      </c>
      <c r="H20" s="72">
        <v>4.5</v>
      </c>
      <c r="I20" s="73">
        <v>6</v>
      </c>
      <c r="J20" s="74">
        <v>4</v>
      </c>
      <c r="K20" s="74">
        <v>4</v>
      </c>
      <c r="L20" s="75">
        <v>6</v>
      </c>
      <c r="M20" s="76">
        <f t="shared" si="8"/>
        <v>4.666666666666667</v>
      </c>
      <c r="N20" s="77">
        <f t="shared" si="9"/>
        <v>52.925925925925924</v>
      </c>
      <c r="O20" s="78">
        <v>4.5</v>
      </c>
      <c r="P20" s="79">
        <v>4.5</v>
      </c>
      <c r="Q20" s="80">
        <f t="shared" si="10"/>
        <v>4.5</v>
      </c>
      <c r="R20" s="87" t="s">
        <v>79</v>
      </c>
      <c r="S20" s="81">
        <v>4.5</v>
      </c>
      <c r="T20" s="82"/>
      <c r="U20" s="83"/>
      <c r="V20" s="84"/>
      <c r="W20" s="84"/>
      <c r="X20" s="84"/>
      <c r="Y20" s="85"/>
      <c r="Z20" s="86">
        <f t="shared" si="11"/>
        <v>23.231481481481481</v>
      </c>
      <c r="AA20" s="61">
        <f t="shared" si="5"/>
        <v>2</v>
      </c>
      <c r="AB20" s="62">
        <f t="shared" si="6"/>
        <v>2</v>
      </c>
      <c r="AC20" s="87" t="s">
        <v>79</v>
      </c>
      <c r="AD20" s="88">
        <v>9</v>
      </c>
      <c r="AE20" s="90"/>
      <c r="AF20" s="92"/>
      <c r="AG20" s="92"/>
      <c r="AH20" s="92"/>
    </row>
    <row r="21" spans="1:34" ht="16.5" customHeight="1" thickBot="1">
      <c r="A21" s="67">
        <v>19</v>
      </c>
      <c r="B21" s="68" t="s">
        <v>80</v>
      </c>
      <c r="C21" s="68" t="s">
        <v>81</v>
      </c>
      <c r="D21" s="69">
        <v>4.5</v>
      </c>
      <c r="E21" s="70">
        <v>5</v>
      </c>
      <c r="F21" s="70">
        <v>5.5</v>
      </c>
      <c r="G21" s="71">
        <f t="shared" si="7"/>
        <v>5</v>
      </c>
      <c r="H21" s="72">
        <v>5</v>
      </c>
      <c r="I21" s="73">
        <v>6</v>
      </c>
      <c r="J21" s="74">
        <v>4</v>
      </c>
      <c r="K21" s="74">
        <v>3.5</v>
      </c>
      <c r="L21" s="75">
        <v>6</v>
      </c>
      <c r="M21" s="76">
        <f t="shared" si="8"/>
        <v>4.5</v>
      </c>
      <c r="N21" s="77">
        <f t="shared" si="9"/>
        <v>53.666666666666671</v>
      </c>
      <c r="O21" s="78">
        <v>4.5</v>
      </c>
      <c r="P21" s="79">
        <v>3.5</v>
      </c>
      <c r="Q21" s="80">
        <f t="shared" si="10"/>
        <v>4</v>
      </c>
      <c r="R21" s="87" t="s">
        <v>82</v>
      </c>
      <c r="S21" s="89">
        <v>4</v>
      </c>
      <c r="T21" s="82"/>
      <c r="U21" s="83"/>
      <c r="V21" s="84"/>
      <c r="W21" s="84"/>
      <c r="X21" s="84"/>
      <c r="Y21" s="85"/>
      <c r="Z21" s="86">
        <f t="shared" si="11"/>
        <v>22.305555555555557</v>
      </c>
      <c r="AA21" s="61">
        <f t="shared" si="5"/>
        <v>2</v>
      </c>
      <c r="AB21" s="62">
        <f t="shared" si="6"/>
        <v>2</v>
      </c>
      <c r="AC21" s="87" t="s">
        <v>82</v>
      </c>
      <c r="AD21" s="88">
        <v>9</v>
      </c>
      <c r="AE21" s="90"/>
      <c r="AF21" s="92"/>
      <c r="AG21" s="92"/>
      <c r="AH21" s="92"/>
    </row>
    <row r="22" spans="1:34" ht="16.5" customHeight="1" thickBot="1">
      <c r="A22" s="67">
        <v>20</v>
      </c>
      <c r="B22" s="68" t="s">
        <v>83</v>
      </c>
      <c r="C22" s="68" t="s">
        <v>84</v>
      </c>
      <c r="D22" s="69">
        <v>6.5</v>
      </c>
      <c r="E22" s="70">
        <v>8</v>
      </c>
      <c r="F22" s="70">
        <v>8</v>
      </c>
      <c r="G22" s="71">
        <f t="shared" si="7"/>
        <v>7.5</v>
      </c>
      <c r="H22" s="72">
        <v>7.5</v>
      </c>
      <c r="I22" s="73">
        <v>9.5</v>
      </c>
      <c r="J22" s="74">
        <v>7.5</v>
      </c>
      <c r="K22" s="74">
        <v>7</v>
      </c>
      <c r="L22" s="75">
        <v>6.5</v>
      </c>
      <c r="M22" s="76">
        <f t="shared" si="8"/>
        <v>7</v>
      </c>
      <c r="N22" s="77">
        <f t="shared" si="9"/>
        <v>82.888888888888886</v>
      </c>
      <c r="O22" s="78">
        <v>7.5</v>
      </c>
      <c r="P22" s="79">
        <v>9</v>
      </c>
      <c r="Q22" s="80">
        <f t="shared" si="10"/>
        <v>8.25</v>
      </c>
      <c r="R22" s="87" t="s">
        <v>85</v>
      </c>
      <c r="S22" s="81">
        <v>8.5</v>
      </c>
      <c r="T22" s="82"/>
      <c r="U22" s="83"/>
      <c r="V22" s="84"/>
      <c r="W22" s="84"/>
      <c r="X22" s="84"/>
      <c r="Y22" s="85"/>
      <c r="Z22" s="86">
        <f t="shared" si="11"/>
        <v>39.055555555555557</v>
      </c>
      <c r="AA22" s="61">
        <f t="shared" si="5"/>
        <v>4</v>
      </c>
      <c r="AB22" s="62">
        <f t="shared" si="6"/>
        <v>3</v>
      </c>
      <c r="AC22" s="87" t="s">
        <v>85</v>
      </c>
      <c r="AD22" s="88">
        <v>4</v>
      </c>
      <c r="AE22" s="90"/>
      <c r="AF22" s="92"/>
      <c r="AG22" s="92"/>
      <c r="AH22" s="92"/>
    </row>
    <row r="23" spans="1:34" ht="16.5" customHeight="1" thickBot="1">
      <c r="A23" s="67">
        <v>21</v>
      </c>
      <c r="B23" s="68" t="s">
        <v>86</v>
      </c>
      <c r="C23" s="68" t="s">
        <v>87</v>
      </c>
      <c r="D23" s="69"/>
      <c r="E23" s="70"/>
      <c r="F23" s="70"/>
      <c r="G23" s="71">
        <f t="shared" si="7"/>
        <v>0</v>
      </c>
      <c r="H23" s="72"/>
      <c r="I23" s="73">
        <v>0</v>
      </c>
      <c r="J23" s="74"/>
      <c r="K23" s="74"/>
      <c r="L23" s="75"/>
      <c r="M23" s="76" t="e">
        <f t="shared" si="8"/>
        <v>#DIV/0!</v>
      </c>
      <c r="N23" s="77" t="e">
        <f t="shared" si="9"/>
        <v>#DIV/0!</v>
      </c>
      <c r="O23" s="78"/>
      <c r="P23" s="79"/>
      <c r="Q23" s="80" t="e">
        <f t="shared" si="10"/>
        <v>#DIV/0!</v>
      </c>
      <c r="R23" s="87" t="s">
        <v>88</v>
      </c>
      <c r="S23" s="89">
        <v>0</v>
      </c>
      <c r="T23" s="82"/>
      <c r="U23" s="83"/>
      <c r="V23" s="84"/>
      <c r="W23" s="84"/>
      <c r="X23" s="84"/>
      <c r="Y23" s="85"/>
      <c r="Z23" s="86" t="e">
        <f t="shared" si="11"/>
        <v>#DIV/0!</v>
      </c>
      <c r="AA23" s="61" t="e">
        <f t="shared" si="5"/>
        <v>#DIV/0!</v>
      </c>
      <c r="AB23" s="62" t="e">
        <f t="shared" si="6"/>
        <v>#DIV/0!</v>
      </c>
      <c r="AC23" s="87" t="s">
        <v>88</v>
      </c>
      <c r="AD23" s="88">
        <v>7</v>
      </c>
      <c r="AE23" s="90"/>
      <c r="AF23" s="92"/>
      <c r="AG23" s="92"/>
      <c r="AH23" s="92"/>
    </row>
    <row r="24" spans="1:34" ht="16.5" customHeight="1" thickBot="1">
      <c r="A24" s="67">
        <v>22</v>
      </c>
      <c r="B24" s="68" t="s">
        <v>89</v>
      </c>
      <c r="C24" s="68" t="s">
        <v>90</v>
      </c>
      <c r="D24" s="69">
        <v>5</v>
      </c>
      <c r="E24" s="70">
        <v>5.5</v>
      </c>
      <c r="F24" s="70">
        <v>6.5</v>
      </c>
      <c r="G24" s="71">
        <f t="shared" si="7"/>
        <v>5.666666666666667</v>
      </c>
      <c r="H24" s="72">
        <v>5.5</v>
      </c>
      <c r="I24" s="73">
        <v>0</v>
      </c>
      <c r="J24" s="74">
        <v>3.5</v>
      </c>
      <c r="K24" s="74">
        <v>4.5</v>
      </c>
      <c r="L24" s="75">
        <v>6</v>
      </c>
      <c r="M24" s="76">
        <f t="shared" si="8"/>
        <v>4.666666666666667</v>
      </c>
      <c r="N24" s="77">
        <f t="shared" si="9"/>
        <v>44.25925925925926</v>
      </c>
      <c r="O24" s="78">
        <v>4.5</v>
      </c>
      <c r="P24" s="79">
        <v>3.5</v>
      </c>
      <c r="Q24" s="80">
        <f t="shared" si="10"/>
        <v>4</v>
      </c>
      <c r="R24" s="87" t="s">
        <v>91</v>
      </c>
      <c r="S24" s="89">
        <v>4</v>
      </c>
      <c r="T24" s="82"/>
      <c r="U24" s="83"/>
      <c r="V24" s="84"/>
      <c r="W24" s="84"/>
      <c r="X24" s="84"/>
      <c r="Y24" s="85"/>
      <c r="Z24" s="86">
        <f t="shared" si="11"/>
        <v>19.953703703703702</v>
      </c>
      <c r="AA24" s="61">
        <f t="shared" si="5"/>
        <v>2</v>
      </c>
      <c r="AB24" s="62">
        <f t="shared" si="6"/>
        <v>2</v>
      </c>
      <c r="AC24" s="87" t="s">
        <v>91</v>
      </c>
      <c r="AD24" s="88">
        <v>6</v>
      </c>
      <c r="AE24" s="90"/>
      <c r="AF24" s="92"/>
      <c r="AG24" s="92"/>
      <c r="AH24" s="92"/>
    </row>
    <row r="25" spans="1:34" ht="16.5" customHeight="1" thickBot="1">
      <c r="A25" s="67">
        <v>23</v>
      </c>
      <c r="B25" s="68" t="s">
        <v>92</v>
      </c>
      <c r="C25" s="68" t="s">
        <v>93</v>
      </c>
      <c r="D25" s="69">
        <v>4.5</v>
      </c>
      <c r="E25" s="70">
        <v>5</v>
      </c>
      <c r="F25" s="70">
        <v>7</v>
      </c>
      <c r="G25" s="71">
        <f t="shared" si="7"/>
        <v>5.5</v>
      </c>
      <c r="H25" s="72">
        <v>5.5</v>
      </c>
      <c r="I25" s="73">
        <v>5</v>
      </c>
      <c r="J25" s="74">
        <v>5.5</v>
      </c>
      <c r="K25" s="74">
        <v>4.5</v>
      </c>
      <c r="L25" s="75">
        <v>6.5</v>
      </c>
      <c r="M25" s="76">
        <f t="shared" si="8"/>
        <v>5.5</v>
      </c>
      <c r="N25" s="77">
        <f t="shared" si="9"/>
        <v>58.888888888888886</v>
      </c>
      <c r="O25" s="78">
        <v>5</v>
      </c>
      <c r="P25" s="79">
        <v>3.5</v>
      </c>
      <c r="Q25" s="80">
        <f t="shared" si="10"/>
        <v>4.25</v>
      </c>
      <c r="R25" s="87" t="s">
        <v>94</v>
      </c>
      <c r="S25" s="81">
        <v>4.5</v>
      </c>
      <c r="T25" s="82"/>
      <c r="U25" s="83"/>
      <c r="V25" s="84"/>
      <c r="W25" s="84"/>
      <c r="X25" s="84"/>
      <c r="Y25" s="85"/>
      <c r="Z25" s="86">
        <f t="shared" si="11"/>
        <v>24.166666666666664</v>
      </c>
      <c r="AA25" s="61">
        <f t="shared" si="5"/>
        <v>2</v>
      </c>
      <c r="AB25" s="62">
        <f t="shared" si="6"/>
        <v>2</v>
      </c>
      <c r="AC25" s="87" t="s">
        <v>94</v>
      </c>
      <c r="AD25" s="88">
        <v>14</v>
      </c>
      <c r="AE25" s="90"/>
      <c r="AF25" s="92"/>
      <c r="AG25" s="92"/>
      <c r="AH25" s="92"/>
    </row>
    <row r="26" spans="1:34" ht="16.5" customHeight="1" thickBot="1">
      <c r="A26" s="67">
        <v>24</v>
      </c>
      <c r="B26" s="68" t="s">
        <v>95</v>
      </c>
      <c r="C26" s="68" t="s">
        <v>96</v>
      </c>
      <c r="D26" s="69"/>
      <c r="E26" s="70"/>
      <c r="F26" s="70"/>
      <c r="G26" s="71">
        <f t="shared" si="7"/>
        <v>0</v>
      </c>
      <c r="H26" s="72"/>
      <c r="I26" s="73">
        <v>7</v>
      </c>
      <c r="J26" s="74">
        <v>5.5</v>
      </c>
      <c r="K26" s="74">
        <v>5</v>
      </c>
      <c r="L26" s="75">
        <v>7</v>
      </c>
      <c r="M26" s="76">
        <f t="shared" si="8"/>
        <v>5.833333333333333</v>
      </c>
      <c r="N26" s="77">
        <f t="shared" si="9"/>
        <v>46.407407407407405</v>
      </c>
      <c r="O26" s="78">
        <v>6</v>
      </c>
      <c r="P26" s="79">
        <v>5.5</v>
      </c>
      <c r="Q26" s="80">
        <f t="shared" si="10"/>
        <v>5.75</v>
      </c>
      <c r="R26" s="87" t="s">
        <v>97</v>
      </c>
      <c r="S26" s="89">
        <v>6</v>
      </c>
      <c r="T26" s="82"/>
      <c r="U26" s="83"/>
      <c r="V26" s="84"/>
      <c r="W26" s="84"/>
      <c r="X26" s="84"/>
      <c r="Y26" s="85"/>
      <c r="Z26" s="86">
        <f t="shared" si="11"/>
        <v>24.37962962962963</v>
      </c>
      <c r="AA26" s="61">
        <f t="shared" si="5"/>
        <v>2</v>
      </c>
      <c r="AB26" s="62">
        <f t="shared" si="6"/>
        <v>2</v>
      </c>
      <c r="AC26" s="87" t="s">
        <v>97</v>
      </c>
      <c r="AD26" s="88">
        <v>10</v>
      </c>
      <c r="AE26" s="90"/>
      <c r="AF26" s="92"/>
      <c r="AG26" s="92"/>
      <c r="AH26" s="92"/>
    </row>
    <row r="27" spans="1:34" ht="16.5" customHeight="1" thickBot="1">
      <c r="A27" s="67">
        <v>25</v>
      </c>
      <c r="B27" s="68" t="s">
        <v>98</v>
      </c>
      <c r="C27" s="68" t="s">
        <v>99</v>
      </c>
      <c r="D27" s="69">
        <v>7</v>
      </c>
      <c r="E27" s="70">
        <v>6</v>
      </c>
      <c r="F27" s="70">
        <v>7.5</v>
      </c>
      <c r="G27" s="71">
        <f t="shared" si="7"/>
        <v>6.833333333333333</v>
      </c>
      <c r="H27" s="72">
        <v>7</v>
      </c>
      <c r="I27" s="73">
        <v>8</v>
      </c>
      <c r="J27" s="74">
        <v>6.5</v>
      </c>
      <c r="K27" s="74">
        <v>5</v>
      </c>
      <c r="L27" s="75">
        <v>6.5</v>
      </c>
      <c r="M27" s="76">
        <f t="shared" si="8"/>
        <v>6</v>
      </c>
      <c r="N27" s="77">
        <f t="shared" si="9"/>
        <v>72.666666666666657</v>
      </c>
      <c r="O27" s="78">
        <v>5.5</v>
      </c>
      <c r="P27" s="79">
        <v>6</v>
      </c>
      <c r="Q27" s="80">
        <f t="shared" si="10"/>
        <v>5.75</v>
      </c>
      <c r="R27" s="87" t="s">
        <v>100</v>
      </c>
      <c r="S27" s="89">
        <v>6</v>
      </c>
      <c r="T27" s="82"/>
      <c r="U27" s="83"/>
      <c r="V27" s="84"/>
      <c r="W27" s="84"/>
      <c r="X27" s="84"/>
      <c r="Y27" s="85"/>
      <c r="Z27" s="86">
        <f t="shared" si="11"/>
        <v>30.944444444444443</v>
      </c>
      <c r="AA27" s="61">
        <f t="shared" si="5"/>
        <v>2</v>
      </c>
      <c r="AB27" s="62">
        <f t="shared" si="6"/>
        <v>2</v>
      </c>
      <c r="AC27" s="87" t="s">
        <v>100</v>
      </c>
      <c r="AD27" s="88">
        <v>11</v>
      </c>
      <c r="AE27" s="90"/>
      <c r="AF27" s="92"/>
      <c r="AG27" s="92"/>
      <c r="AH27" s="92"/>
    </row>
    <row r="28" spans="1:34" ht="16.5" customHeight="1" thickBot="1">
      <c r="A28" s="67">
        <v>26</v>
      </c>
      <c r="B28" s="68" t="s">
        <v>101</v>
      </c>
      <c r="C28" s="68" t="s">
        <v>102</v>
      </c>
      <c r="D28" s="69">
        <v>6.5</v>
      </c>
      <c r="E28" s="70">
        <v>7</v>
      </c>
      <c r="F28" s="70">
        <v>8</v>
      </c>
      <c r="G28" s="71">
        <f t="shared" si="7"/>
        <v>7.166666666666667</v>
      </c>
      <c r="H28" s="72">
        <v>7</v>
      </c>
      <c r="I28" s="73">
        <v>8.5</v>
      </c>
      <c r="J28" s="74">
        <v>6.5</v>
      </c>
      <c r="K28" s="74">
        <v>6</v>
      </c>
      <c r="L28" s="75">
        <v>6</v>
      </c>
      <c r="M28" s="76">
        <f t="shared" si="8"/>
        <v>6.166666666666667</v>
      </c>
      <c r="N28" s="77">
        <f t="shared" si="9"/>
        <v>74.592592592592595</v>
      </c>
      <c r="O28" s="78">
        <v>6</v>
      </c>
      <c r="P28" s="79">
        <v>8.5</v>
      </c>
      <c r="Q28" s="80">
        <f t="shared" si="10"/>
        <v>7.25</v>
      </c>
      <c r="R28" s="87" t="s">
        <v>103</v>
      </c>
      <c r="S28" s="81">
        <v>7.5</v>
      </c>
      <c r="T28" s="82"/>
      <c r="U28" s="83"/>
      <c r="V28" s="84"/>
      <c r="W28" s="84"/>
      <c r="X28" s="84"/>
      <c r="Y28" s="85"/>
      <c r="Z28" s="86">
        <f t="shared" si="11"/>
        <v>34.75925925925926</v>
      </c>
      <c r="AA28" s="61">
        <f t="shared" si="5"/>
        <v>4</v>
      </c>
      <c r="AB28" s="62">
        <f t="shared" si="6"/>
        <v>3</v>
      </c>
      <c r="AC28" s="87" t="s">
        <v>103</v>
      </c>
      <c r="AD28" s="88">
        <v>4</v>
      </c>
      <c r="AE28" s="90"/>
      <c r="AF28" s="92"/>
      <c r="AG28" s="92"/>
      <c r="AH28" s="92"/>
    </row>
    <row r="29" spans="1:34" ht="16.5" customHeight="1" thickBot="1">
      <c r="A29" s="67">
        <v>27</v>
      </c>
      <c r="B29" s="68" t="s">
        <v>104</v>
      </c>
      <c r="C29" s="68" t="s">
        <v>105</v>
      </c>
      <c r="D29" s="69">
        <v>6</v>
      </c>
      <c r="E29" s="70">
        <v>6.5</v>
      </c>
      <c r="F29" s="70">
        <v>6.5</v>
      </c>
      <c r="G29" s="71">
        <f t="shared" si="7"/>
        <v>6.333333333333333</v>
      </c>
      <c r="H29" s="72">
        <v>6.5</v>
      </c>
      <c r="I29" s="73">
        <v>6.5</v>
      </c>
      <c r="J29" s="74">
        <v>6.5</v>
      </c>
      <c r="K29" s="74">
        <v>5.5</v>
      </c>
      <c r="L29" s="75">
        <v>6</v>
      </c>
      <c r="M29" s="76">
        <f t="shared" si="8"/>
        <v>6</v>
      </c>
      <c r="N29" s="77">
        <f t="shared" si="9"/>
        <v>68</v>
      </c>
      <c r="O29" s="78">
        <v>6</v>
      </c>
      <c r="P29" s="79">
        <v>5</v>
      </c>
      <c r="Q29" s="80">
        <f t="shared" si="10"/>
        <v>5.5</v>
      </c>
      <c r="R29" s="87" t="s">
        <v>106</v>
      </c>
      <c r="S29" s="81">
        <v>5.5</v>
      </c>
      <c r="T29" s="82"/>
      <c r="U29" s="83"/>
      <c r="V29" s="84"/>
      <c r="W29" s="84"/>
      <c r="X29" s="84"/>
      <c r="Y29" s="85"/>
      <c r="Z29" s="86">
        <f t="shared" si="11"/>
        <v>29.222222222222221</v>
      </c>
      <c r="AA29" s="61">
        <f t="shared" si="5"/>
        <v>2</v>
      </c>
      <c r="AB29" s="62">
        <f t="shared" si="6"/>
        <v>2</v>
      </c>
      <c r="AC29" s="87" t="s">
        <v>106</v>
      </c>
      <c r="AD29" s="88">
        <v>10</v>
      </c>
      <c r="AE29" s="90"/>
      <c r="AF29" s="92"/>
      <c r="AG29" s="92"/>
      <c r="AH29" s="92"/>
    </row>
    <row r="30" spans="1:34" ht="16.5" customHeight="1" thickBot="1">
      <c r="A30" s="67">
        <v>28</v>
      </c>
      <c r="B30" s="68" t="s">
        <v>107</v>
      </c>
      <c r="C30" s="68" t="s">
        <v>108</v>
      </c>
      <c r="D30" s="69">
        <v>5.5</v>
      </c>
      <c r="E30" s="70">
        <v>6</v>
      </c>
      <c r="F30" s="70">
        <v>7.5</v>
      </c>
      <c r="G30" s="71">
        <f t="shared" si="7"/>
        <v>6.333333333333333</v>
      </c>
      <c r="H30" s="72">
        <v>6.5</v>
      </c>
      <c r="I30" s="73">
        <v>8</v>
      </c>
      <c r="J30" s="74">
        <v>6</v>
      </c>
      <c r="K30" s="74">
        <v>5.5</v>
      </c>
      <c r="L30" s="75">
        <v>6.5</v>
      </c>
      <c r="M30" s="76">
        <f t="shared" si="8"/>
        <v>6</v>
      </c>
      <c r="N30" s="77">
        <f t="shared" si="9"/>
        <v>71</v>
      </c>
      <c r="O30" s="78">
        <v>6</v>
      </c>
      <c r="P30" s="79">
        <v>8</v>
      </c>
      <c r="Q30" s="80">
        <f t="shared" si="10"/>
        <v>7</v>
      </c>
      <c r="R30" s="87" t="s">
        <v>109</v>
      </c>
      <c r="S30" s="89">
        <v>7</v>
      </c>
      <c r="T30" s="82"/>
      <c r="U30" s="83"/>
      <c r="V30" s="84"/>
      <c r="W30" s="84"/>
      <c r="X30" s="84"/>
      <c r="Y30" s="85"/>
      <c r="Z30" s="86">
        <f t="shared" si="11"/>
        <v>33.305555555555557</v>
      </c>
      <c r="AA30" s="61">
        <f t="shared" si="5"/>
        <v>2</v>
      </c>
      <c r="AB30" s="62">
        <f t="shared" si="6"/>
        <v>2</v>
      </c>
      <c r="AC30" s="87" t="s">
        <v>109</v>
      </c>
      <c r="AD30" s="88">
        <v>2</v>
      </c>
      <c r="AE30" s="90"/>
      <c r="AF30" s="92"/>
      <c r="AG30" s="92"/>
      <c r="AH30" s="92"/>
    </row>
    <row r="31" spans="1:34" ht="16.5" customHeight="1" thickBot="1">
      <c r="A31" s="67">
        <v>29</v>
      </c>
      <c r="B31" s="68" t="s">
        <v>110</v>
      </c>
      <c r="C31" s="68" t="s">
        <v>111</v>
      </c>
      <c r="D31" s="69">
        <v>7</v>
      </c>
      <c r="E31" s="70">
        <v>5.5</v>
      </c>
      <c r="F31" s="70">
        <v>7.5</v>
      </c>
      <c r="G31" s="71">
        <f t="shared" si="7"/>
        <v>6.666666666666667</v>
      </c>
      <c r="H31" s="72">
        <v>6.5</v>
      </c>
      <c r="I31" s="73">
        <v>5</v>
      </c>
      <c r="J31" s="74">
        <v>6.5</v>
      </c>
      <c r="K31" s="74">
        <v>5</v>
      </c>
      <c r="L31" s="75">
        <v>4</v>
      </c>
      <c r="M31" s="76">
        <f t="shared" si="8"/>
        <v>5.166666666666667</v>
      </c>
      <c r="N31" s="77">
        <f t="shared" si="9"/>
        <v>60.370370370370381</v>
      </c>
      <c r="O31" s="78">
        <v>7.5</v>
      </c>
      <c r="P31" s="79">
        <v>6.5</v>
      </c>
      <c r="Q31" s="80">
        <f t="shared" si="10"/>
        <v>7</v>
      </c>
      <c r="R31" s="87" t="s">
        <v>112</v>
      </c>
      <c r="S31" s="89">
        <v>7</v>
      </c>
      <c r="T31" s="82"/>
      <c r="U31" s="83"/>
      <c r="V31" s="84"/>
      <c r="W31" s="84"/>
      <c r="X31" s="84"/>
      <c r="Y31" s="85"/>
      <c r="Z31" s="86">
        <f t="shared" si="11"/>
        <v>30.648148148148152</v>
      </c>
      <c r="AA31" s="61">
        <f t="shared" si="5"/>
        <v>2</v>
      </c>
      <c r="AB31" s="62">
        <f t="shared" si="6"/>
        <v>2</v>
      </c>
      <c r="AC31" s="87" t="s">
        <v>112</v>
      </c>
      <c r="AD31" s="108" t="s">
        <v>113</v>
      </c>
      <c r="AE31" s="90"/>
      <c r="AF31" s="92"/>
      <c r="AG31" s="92"/>
      <c r="AH31" s="92"/>
    </row>
    <row r="32" spans="1:34" ht="16.5" customHeight="1" thickBot="1">
      <c r="A32" s="67">
        <v>30</v>
      </c>
      <c r="B32" s="68" t="s">
        <v>114</v>
      </c>
      <c r="C32" s="68" t="s">
        <v>115</v>
      </c>
      <c r="D32" s="69">
        <v>3</v>
      </c>
      <c r="E32" s="70">
        <v>3.5</v>
      </c>
      <c r="F32" s="70">
        <v>5.5</v>
      </c>
      <c r="G32" s="71">
        <f t="shared" si="7"/>
        <v>4</v>
      </c>
      <c r="H32" s="72">
        <v>4</v>
      </c>
      <c r="I32" s="73">
        <v>4</v>
      </c>
      <c r="J32" s="74">
        <v>5</v>
      </c>
      <c r="K32" s="74">
        <v>4</v>
      </c>
      <c r="L32" s="75">
        <v>5.5</v>
      </c>
      <c r="M32" s="76">
        <f t="shared" si="8"/>
        <v>4.833333333333333</v>
      </c>
      <c r="N32" s="77">
        <f t="shared" si="9"/>
        <v>48.18518518518519</v>
      </c>
      <c r="O32" s="78">
        <v>5</v>
      </c>
      <c r="P32" s="79">
        <v>3</v>
      </c>
      <c r="Q32" s="80">
        <f t="shared" si="10"/>
        <v>4</v>
      </c>
      <c r="R32" s="87" t="s">
        <v>116</v>
      </c>
      <c r="S32" s="89">
        <v>4</v>
      </c>
      <c r="T32" s="82"/>
      <c r="U32" s="83"/>
      <c r="V32" s="84"/>
      <c r="W32" s="84"/>
      <c r="X32" s="84"/>
      <c r="Y32" s="85"/>
      <c r="Z32" s="86">
        <f t="shared" si="11"/>
        <v>20.935185185185187</v>
      </c>
      <c r="AA32" s="61">
        <f t="shared" si="5"/>
        <v>2</v>
      </c>
      <c r="AB32" s="62">
        <f t="shared" si="6"/>
        <v>2</v>
      </c>
      <c r="AC32" s="87" t="s">
        <v>116</v>
      </c>
      <c r="AD32" s="88">
        <v>9</v>
      </c>
      <c r="AE32" s="90"/>
      <c r="AF32" s="92"/>
      <c r="AG32" s="92"/>
      <c r="AH32" s="92"/>
    </row>
    <row r="33" spans="1:34" ht="16.5" customHeight="1" thickBot="1">
      <c r="A33" s="67">
        <v>31</v>
      </c>
      <c r="B33" s="68" t="s">
        <v>117</v>
      </c>
      <c r="C33" s="68" t="s">
        <v>118</v>
      </c>
      <c r="D33" s="69"/>
      <c r="E33" s="70"/>
      <c r="F33" s="70"/>
      <c r="G33" s="71">
        <f t="shared" si="7"/>
        <v>0</v>
      </c>
      <c r="H33" s="72"/>
      <c r="I33" s="73"/>
      <c r="J33" s="74"/>
      <c r="K33" s="74"/>
      <c r="L33" s="75"/>
      <c r="M33" s="76" t="e">
        <f t="shared" si="8"/>
        <v>#DIV/0!</v>
      </c>
      <c r="N33" s="77" t="e">
        <f t="shared" si="9"/>
        <v>#DIV/0!</v>
      </c>
      <c r="O33" s="78"/>
      <c r="P33" s="79"/>
      <c r="Q33" s="80" t="e">
        <f t="shared" si="10"/>
        <v>#DIV/0!</v>
      </c>
      <c r="R33" s="87" t="s">
        <v>119</v>
      </c>
      <c r="S33" s="89">
        <v>0</v>
      </c>
      <c r="T33" s="82"/>
      <c r="U33" s="83"/>
      <c r="V33" s="84"/>
      <c r="W33" s="84"/>
      <c r="X33" s="84"/>
      <c r="Y33" s="85"/>
      <c r="Z33" s="86" t="e">
        <f t="shared" si="11"/>
        <v>#DIV/0!</v>
      </c>
      <c r="AA33" s="61" t="e">
        <f t="shared" si="5"/>
        <v>#DIV/0!</v>
      </c>
      <c r="AB33" s="62" t="e">
        <f t="shared" si="6"/>
        <v>#DIV/0!</v>
      </c>
      <c r="AC33" s="87" t="s">
        <v>119</v>
      </c>
      <c r="AD33" s="108" t="s">
        <v>120</v>
      </c>
      <c r="AE33" s="109" t="s">
        <v>121</v>
      </c>
      <c r="AF33" s="92"/>
      <c r="AG33" s="92"/>
      <c r="AH33" s="92"/>
    </row>
    <row r="34" spans="1:34" ht="16.5" customHeight="1" thickBot="1">
      <c r="A34" s="67">
        <v>32</v>
      </c>
      <c r="B34" s="68" t="s">
        <v>122</v>
      </c>
      <c r="C34" s="68" t="s">
        <v>123</v>
      </c>
      <c r="D34" s="69">
        <v>5.5</v>
      </c>
      <c r="E34" s="70">
        <v>5</v>
      </c>
      <c r="F34" s="70">
        <v>7.5</v>
      </c>
      <c r="G34" s="71">
        <f t="shared" si="7"/>
        <v>6</v>
      </c>
      <c r="H34" s="72">
        <v>6</v>
      </c>
      <c r="I34" s="73">
        <v>0</v>
      </c>
      <c r="J34" s="74">
        <v>6</v>
      </c>
      <c r="K34" s="74">
        <v>5.5</v>
      </c>
      <c r="L34" s="75">
        <v>7</v>
      </c>
      <c r="M34" s="76">
        <f t="shared" si="8"/>
        <v>6.166666666666667</v>
      </c>
      <c r="N34" s="77">
        <f t="shared" si="9"/>
        <v>54.259259259259267</v>
      </c>
      <c r="O34" s="78">
        <v>6</v>
      </c>
      <c r="P34" s="79">
        <v>5</v>
      </c>
      <c r="Q34" s="80">
        <f t="shared" si="10"/>
        <v>5.5</v>
      </c>
      <c r="R34" s="87" t="s">
        <v>124</v>
      </c>
      <c r="S34" s="81">
        <v>5.5</v>
      </c>
      <c r="T34" s="82"/>
      <c r="U34" s="83"/>
      <c r="V34" s="84"/>
      <c r="W34" s="84"/>
      <c r="X34" s="84"/>
      <c r="Y34" s="85"/>
      <c r="Z34" s="86">
        <f t="shared" si="11"/>
        <v>25.787037037037038</v>
      </c>
      <c r="AA34" s="61">
        <f t="shared" si="5"/>
        <v>2</v>
      </c>
      <c r="AB34" s="62">
        <f t="shared" si="6"/>
        <v>2</v>
      </c>
      <c r="AC34" s="87" t="s">
        <v>124</v>
      </c>
      <c r="AD34" s="88">
        <v>16</v>
      </c>
      <c r="AE34" s="90"/>
      <c r="AF34" s="92"/>
      <c r="AG34" s="92"/>
      <c r="AH34" s="92"/>
    </row>
    <row r="35" spans="1:34" ht="16.5" customHeight="1" thickBot="1">
      <c r="A35" s="67">
        <v>33</v>
      </c>
      <c r="B35" s="68" t="s">
        <v>125</v>
      </c>
      <c r="C35" s="68" t="s">
        <v>126</v>
      </c>
      <c r="D35" s="69"/>
      <c r="E35" s="70"/>
      <c r="F35" s="70"/>
      <c r="G35" s="71">
        <f t="shared" si="7"/>
        <v>0</v>
      </c>
      <c r="H35" s="72"/>
      <c r="I35" s="73">
        <v>5.5</v>
      </c>
      <c r="J35" s="74">
        <v>5</v>
      </c>
      <c r="K35" s="74">
        <v>6.5</v>
      </c>
      <c r="L35" s="75">
        <v>6</v>
      </c>
      <c r="M35" s="76">
        <f t="shared" si="8"/>
        <v>5.833333333333333</v>
      </c>
      <c r="N35" s="77">
        <f>(H35*30/9+2*I35+M35*50/9)*1.15</f>
        <v>49.918518518518511</v>
      </c>
      <c r="O35" s="78">
        <v>5.5</v>
      </c>
      <c r="P35" s="79">
        <v>6.5</v>
      </c>
      <c r="Q35" s="80">
        <f t="shared" si="10"/>
        <v>6</v>
      </c>
      <c r="R35" s="87" t="s">
        <v>127</v>
      </c>
      <c r="S35" s="89">
        <v>6</v>
      </c>
      <c r="T35" s="82"/>
      <c r="U35" s="83"/>
      <c r="V35" s="84"/>
      <c r="W35" s="84"/>
      <c r="X35" s="84"/>
      <c r="Y35" s="85"/>
      <c r="Z35" s="86">
        <f t="shared" si="11"/>
        <v>25.812962962962963</v>
      </c>
      <c r="AA35" s="61">
        <f t="shared" si="5"/>
        <v>2</v>
      </c>
      <c r="AB35" s="62">
        <f t="shared" si="6"/>
        <v>2</v>
      </c>
      <c r="AC35" s="87" t="s">
        <v>127</v>
      </c>
      <c r="AD35" s="88">
        <v>8</v>
      </c>
      <c r="AE35" s="90"/>
      <c r="AF35" s="92"/>
      <c r="AG35" s="92"/>
      <c r="AH35" s="92"/>
    </row>
    <row r="36" spans="1:34" ht="16.5" customHeight="1" thickBot="1">
      <c r="A36" s="67">
        <v>34</v>
      </c>
      <c r="B36" s="68" t="s">
        <v>128</v>
      </c>
      <c r="C36" s="68" t="s">
        <v>129</v>
      </c>
      <c r="D36" s="69">
        <v>5.5</v>
      </c>
      <c r="E36" s="70">
        <v>5.5</v>
      </c>
      <c r="F36" s="70">
        <v>7</v>
      </c>
      <c r="G36" s="71">
        <f t="shared" si="7"/>
        <v>6</v>
      </c>
      <c r="H36" s="72">
        <v>6</v>
      </c>
      <c r="I36" s="73">
        <v>7</v>
      </c>
      <c r="J36" s="74">
        <v>6</v>
      </c>
      <c r="K36" s="74">
        <v>5.5</v>
      </c>
      <c r="L36" s="75">
        <v>6</v>
      </c>
      <c r="M36" s="76">
        <f t="shared" si="8"/>
        <v>5.833333333333333</v>
      </c>
      <c r="N36" s="77">
        <f>H36*30/9+2*I36+M36*50/9</f>
        <v>66.407407407407405</v>
      </c>
      <c r="O36" s="78">
        <v>5.5</v>
      </c>
      <c r="P36" s="79">
        <v>6.5</v>
      </c>
      <c r="Q36" s="80">
        <f t="shared" si="10"/>
        <v>6</v>
      </c>
      <c r="R36" s="87" t="s">
        <v>130</v>
      </c>
      <c r="S36" s="89">
        <v>6</v>
      </c>
      <c r="T36" s="82"/>
      <c r="U36" s="83"/>
      <c r="V36" s="84"/>
      <c r="W36" s="84"/>
      <c r="X36" s="84"/>
      <c r="Y36" s="85"/>
      <c r="Z36" s="86">
        <f t="shared" si="11"/>
        <v>29.935185185185183</v>
      </c>
      <c r="AA36" s="61">
        <f t="shared" si="5"/>
        <v>2</v>
      </c>
      <c r="AB36" s="62">
        <f t="shared" si="6"/>
        <v>2</v>
      </c>
      <c r="AC36" s="87" t="s">
        <v>130</v>
      </c>
      <c r="AD36" s="88">
        <v>2</v>
      </c>
      <c r="AE36" s="90"/>
      <c r="AF36" s="92"/>
      <c r="AG36" s="92"/>
      <c r="AH36" s="92"/>
    </row>
    <row r="37" spans="1:34" ht="16.5" customHeight="1" thickBot="1">
      <c r="A37" s="67">
        <v>35</v>
      </c>
      <c r="B37" s="68" t="s">
        <v>131</v>
      </c>
      <c r="C37" s="68" t="s">
        <v>132</v>
      </c>
      <c r="D37" s="69"/>
      <c r="E37" s="70"/>
      <c r="F37" s="70"/>
      <c r="G37" s="71">
        <f t="shared" si="7"/>
        <v>0</v>
      </c>
      <c r="H37" s="72"/>
      <c r="I37" s="73">
        <v>5</v>
      </c>
      <c r="J37" s="74">
        <v>4.5</v>
      </c>
      <c r="K37" s="74">
        <v>6</v>
      </c>
      <c r="L37" s="75">
        <v>4</v>
      </c>
      <c r="M37" s="76">
        <f t="shared" si="8"/>
        <v>4.833333333333333</v>
      </c>
      <c r="N37" s="77">
        <f>(H37*30/9+2*I37+M37*50/9)*1.15</f>
        <v>42.379629629629619</v>
      </c>
      <c r="O37" s="78">
        <v>5.5</v>
      </c>
      <c r="P37" s="79">
        <v>4.5</v>
      </c>
      <c r="Q37" s="80">
        <f t="shared" si="10"/>
        <v>5</v>
      </c>
      <c r="R37" s="87" t="s">
        <v>133</v>
      </c>
      <c r="S37" s="89">
        <v>5</v>
      </c>
      <c r="T37" s="82"/>
      <c r="U37" s="83"/>
      <c r="V37" s="84"/>
      <c r="W37" s="84"/>
      <c r="X37" s="84"/>
      <c r="Y37" s="85"/>
      <c r="Z37" s="86">
        <f t="shared" si="11"/>
        <v>21.706018518518515</v>
      </c>
      <c r="AA37" s="61">
        <f t="shared" si="5"/>
        <v>2</v>
      </c>
      <c r="AB37" s="62">
        <f t="shared" si="6"/>
        <v>2</v>
      </c>
      <c r="AC37" s="87" t="s">
        <v>133</v>
      </c>
      <c r="AD37" s="88">
        <v>15</v>
      </c>
      <c r="AE37" s="90"/>
      <c r="AF37" s="92"/>
      <c r="AG37" s="92"/>
      <c r="AH37" s="92"/>
    </row>
    <row r="38" spans="1:34" ht="16.5" customHeight="1" thickBot="1">
      <c r="A38" s="67">
        <v>36</v>
      </c>
      <c r="B38" s="68" t="s">
        <v>134</v>
      </c>
      <c r="C38" s="68" t="s">
        <v>135</v>
      </c>
      <c r="D38" s="69">
        <v>4.5</v>
      </c>
      <c r="E38" s="70">
        <v>5.5</v>
      </c>
      <c r="F38" s="70">
        <v>7</v>
      </c>
      <c r="G38" s="71">
        <f t="shared" si="7"/>
        <v>5.666666666666667</v>
      </c>
      <c r="H38" s="72">
        <v>5.5</v>
      </c>
      <c r="I38" s="73">
        <v>3</v>
      </c>
      <c r="J38" s="74">
        <v>5.5</v>
      </c>
      <c r="K38" s="74">
        <v>5.5</v>
      </c>
      <c r="L38" s="75">
        <v>2</v>
      </c>
      <c r="M38" s="76">
        <f t="shared" si="8"/>
        <v>4.333333333333333</v>
      </c>
      <c r="N38" s="77">
        <f t="shared" ref="N38:N101" si="12">H38*30/9+2*I38+M38*50/9</f>
        <v>48.407407407407405</v>
      </c>
      <c r="O38" s="78">
        <v>6</v>
      </c>
      <c r="P38" s="79">
        <v>6</v>
      </c>
      <c r="Q38" s="80">
        <f t="shared" si="10"/>
        <v>6</v>
      </c>
      <c r="R38" s="87" t="s">
        <v>136</v>
      </c>
      <c r="S38" s="89">
        <v>6</v>
      </c>
      <c r="T38" s="82"/>
      <c r="U38" s="83"/>
      <c r="V38" s="84"/>
      <c r="W38" s="84"/>
      <c r="X38" s="84"/>
      <c r="Y38" s="85"/>
      <c r="Z38" s="86">
        <f t="shared" si="11"/>
        <v>25.435185185185183</v>
      </c>
      <c r="AA38" s="61">
        <f t="shared" si="5"/>
        <v>2</v>
      </c>
      <c r="AB38" s="62">
        <f t="shared" si="6"/>
        <v>2</v>
      </c>
      <c r="AC38" s="87" t="s">
        <v>136</v>
      </c>
      <c r="AD38" s="88">
        <v>11</v>
      </c>
      <c r="AE38" s="90"/>
      <c r="AF38" s="92"/>
      <c r="AG38" s="92"/>
      <c r="AH38" s="92"/>
    </row>
    <row r="39" spans="1:34" ht="16.5" customHeight="1" thickBot="1">
      <c r="A39" s="67">
        <v>37</v>
      </c>
      <c r="B39" s="68" t="s">
        <v>137</v>
      </c>
      <c r="C39" s="68" t="s">
        <v>138</v>
      </c>
      <c r="D39" s="69">
        <v>6</v>
      </c>
      <c r="E39" s="70">
        <v>6.5</v>
      </c>
      <c r="F39" s="70">
        <v>8</v>
      </c>
      <c r="G39" s="71">
        <f t="shared" si="7"/>
        <v>6.833333333333333</v>
      </c>
      <c r="H39" s="72">
        <v>7</v>
      </c>
      <c r="I39" s="73">
        <v>6</v>
      </c>
      <c r="J39" s="74">
        <v>6</v>
      </c>
      <c r="K39" s="74">
        <v>6</v>
      </c>
      <c r="L39" s="75">
        <v>6</v>
      </c>
      <c r="M39" s="76">
        <f t="shared" si="8"/>
        <v>6</v>
      </c>
      <c r="N39" s="77">
        <f t="shared" si="12"/>
        <v>68.666666666666657</v>
      </c>
      <c r="O39" s="78">
        <v>5.5</v>
      </c>
      <c r="P39" s="79">
        <v>6.5</v>
      </c>
      <c r="Q39" s="80">
        <f t="shared" si="10"/>
        <v>6</v>
      </c>
      <c r="R39" s="87" t="s">
        <v>139</v>
      </c>
      <c r="S39" s="89">
        <v>6</v>
      </c>
      <c r="T39" s="82"/>
      <c r="U39" s="83"/>
      <c r="V39" s="84"/>
      <c r="W39" s="84"/>
      <c r="X39" s="84"/>
      <c r="Y39" s="85"/>
      <c r="Z39" s="86">
        <f t="shared" si="11"/>
        <v>30.5</v>
      </c>
      <c r="AA39" s="61">
        <f t="shared" si="5"/>
        <v>2</v>
      </c>
      <c r="AB39" s="62">
        <f t="shared" si="6"/>
        <v>2</v>
      </c>
      <c r="AC39" s="87" t="s">
        <v>139</v>
      </c>
      <c r="AD39" s="88">
        <v>7</v>
      </c>
      <c r="AE39" s="90"/>
      <c r="AF39" s="92"/>
      <c r="AG39" s="92"/>
      <c r="AH39" s="92"/>
    </row>
    <row r="40" spans="1:34" ht="16.5" customHeight="1" thickBot="1">
      <c r="A40" s="67">
        <v>38</v>
      </c>
      <c r="B40" s="68" t="s">
        <v>140</v>
      </c>
      <c r="C40" s="68" t="s">
        <v>141</v>
      </c>
      <c r="D40" s="69">
        <v>4.5</v>
      </c>
      <c r="E40" s="70">
        <v>5.5</v>
      </c>
      <c r="F40" s="70">
        <v>6.5</v>
      </c>
      <c r="G40" s="71">
        <f t="shared" si="7"/>
        <v>5.5</v>
      </c>
      <c r="H40" s="72">
        <v>5.5</v>
      </c>
      <c r="I40" s="73">
        <v>7.5</v>
      </c>
      <c r="J40" s="74">
        <v>5.5</v>
      </c>
      <c r="K40" s="74">
        <v>5</v>
      </c>
      <c r="L40" s="75">
        <v>7</v>
      </c>
      <c r="M40" s="76">
        <f t="shared" si="8"/>
        <v>5.833333333333333</v>
      </c>
      <c r="N40" s="77">
        <f t="shared" si="12"/>
        <v>65.740740740740733</v>
      </c>
      <c r="O40" s="78">
        <v>6</v>
      </c>
      <c r="P40" s="79">
        <v>6.5</v>
      </c>
      <c r="Q40" s="80">
        <f t="shared" si="10"/>
        <v>6.25</v>
      </c>
      <c r="R40" s="87" t="s">
        <v>142</v>
      </c>
      <c r="S40" s="81">
        <v>6.5</v>
      </c>
      <c r="T40" s="82"/>
      <c r="U40" s="83"/>
      <c r="V40" s="84"/>
      <c r="W40" s="84"/>
      <c r="X40" s="84"/>
      <c r="Y40" s="85"/>
      <c r="Z40" s="86">
        <f t="shared" si="11"/>
        <v>30.324074074074073</v>
      </c>
      <c r="AA40" s="61">
        <f t="shared" si="5"/>
        <v>2</v>
      </c>
      <c r="AB40" s="62">
        <f t="shared" si="6"/>
        <v>2</v>
      </c>
      <c r="AC40" s="87" t="s">
        <v>142</v>
      </c>
      <c r="AD40" s="88">
        <v>6</v>
      </c>
      <c r="AE40" s="90"/>
      <c r="AF40" s="92"/>
      <c r="AG40" s="92"/>
      <c r="AH40" s="92"/>
    </row>
    <row r="41" spans="1:34" ht="16.5" customHeight="1" thickBot="1">
      <c r="A41" s="67">
        <v>39</v>
      </c>
      <c r="B41" s="68" t="s">
        <v>143</v>
      </c>
      <c r="C41" s="68" t="s">
        <v>144</v>
      </c>
      <c r="D41" s="69">
        <v>5.5</v>
      </c>
      <c r="E41" s="70">
        <v>7</v>
      </c>
      <c r="F41" s="70">
        <v>8</v>
      </c>
      <c r="G41" s="71">
        <f t="shared" si="7"/>
        <v>6.833333333333333</v>
      </c>
      <c r="H41" s="72">
        <v>7</v>
      </c>
      <c r="I41" s="73">
        <v>7</v>
      </c>
      <c r="J41" s="74">
        <v>6.5</v>
      </c>
      <c r="K41" s="74">
        <v>6.5</v>
      </c>
      <c r="L41" s="75">
        <v>7</v>
      </c>
      <c r="M41" s="76">
        <f t="shared" si="8"/>
        <v>6.666666666666667</v>
      </c>
      <c r="N41" s="77">
        <f t="shared" si="12"/>
        <v>74.370370370370367</v>
      </c>
      <c r="O41" s="78">
        <v>7.5</v>
      </c>
      <c r="P41" s="79">
        <v>7</v>
      </c>
      <c r="Q41" s="80">
        <f t="shared" si="10"/>
        <v>7.25</v>
      </c>
      <c r="R41" s="87" t="s">
        <v>145</v>
      </c>
      <c r="S41" s="81">
        <v>7.5</v>
      </c>
      <c r="T41" s="82"/>
      <c r="U41" s="83"/>
      <c r="V41" s="84"/>
      <c r="W41" s="84"/>
      <c r="X41" s="84"/>
      <c r="Y41" s="85"/>
      <c r="Z41" s="86">
        <f t="shared" si="11"/>
        <v>34.703703703703702</v>
      </c>
      <c r="AA41" s="61">
        <f t="shared" si="5"/>
        <v>4</v>
      </c>
      <c r="AB41" s="62">
        <f t="shared" si="6"/>
        <v>3</v>
      </c>
      <c r="AC41" s="87" t="s">
        <v>145</v>
      </c>
      <c r="AD41" s="88">
        <v>1</v>
      </c>
      <c r="AE41" s="90"/>
      <c r="AF41" s="92"/>
      <c r="AG41" s="92"/>
      <c r="AH41" s="92"/>
    </row>
    <row r="42" spans="1:34" ht="16.5" customHeight="1" thickBot="1">
      <c r="A42" s="67">
        <v>40</v>
      </c>
      <c r="B42" s="68" t="s">
        <v>146</v>
      </c>
      <c r="C42" s="68" t="s">
        <v>147</v>
      </c>
      <c r="D42" s="69">
        <v>5.5</v>
      </c>
      <c r="E42" s="70">
        <v>6</v>
      </c>
      <c r="F42" s="70">
        <v>5.8</v>
      </c>
      <c r="G42" s="71">
        <f t="shared" si="7"/>
        <v>5.7666666666666666</v>
      </c>
      <c r="H42" s="72">
        <v>6</v>
      </c>
      <c r="I42" s="73">
        <v>6.5</v>
      </c>
      <c r="J42" s="74">
        <v>6.5</v>
      </c>
      <c r="K42" s="74">
        <v>5.5</v>
      </c>
      <c r="L42" s="75">
        <v>7</v>
      </c>
      <c r="M42" s="76">
        <f t="shared" si="8"/>
        <v>6.333333333333333</v>
      </c>
      <c r="N42" s="77">
        <f t="shared" si="12"/>
        <v>68.18518518518519</v>
      </c>
      <c r="O42" s="78">
        <v>6.5</v>
      </c>
      <c r="P42" s="79">
        <v>7.5</v>
      </c>
      <c r="Q42" s="80">
        <f t="shared" si="10"/>
        <v>7</v>
      </c>
      <c r="R42" s="87" t="s">
        <v>148</v>
      </c>
      <c r="S42" s="89">
        <v>7</v>
      </c>
      <c r="T42" s="82"/>
      <c r="U42" s="83"/>
      <c r="V42" s="84"/>
      <c r="W42" s="84"/>
      <c r="X42" s="84"/>
      <c r="Y42" s="85"/>
      <c r="Z42" s="86">
        <f t="shared" si="11"/>
        <v>32.601851851851855</v>
      </c>
      <c r="AA42" s="61">
        <f t="shared" si="5"/>
        <v>2</v>
      </c>
      <c r="AB42" s="62">
        <f t="shared" si="6"/>
        <v>2</v>
      </c>
      <c r="AC42" s="87" t="s">
        <v>148</v>
      </c>
      <c r="AD42" s="88">
        <v>10</v>
      </c>
      <c r="AE42" s="90"/>
      <c r="AF42" s="92"/>
      <c r="AG42" s="92"/>
      <c r="AH42" s="92"/>
    </row>
    <row r="43" spans="1:34" ht="16.5" customHeight="1" thickBot="1">
      <c r="A43" s="67">
        <v>41</v>
      </c>
      <c r="B43" s="68" t="s">
        <v>149</v>
      </c>
      <c r="C43" s="68" t="s">
        <v>150</v>
      </c>
      <c r="D43" s="69">
        <v>4.5</v>
      </c>
      <c r="E43" s="70">
        <v>6</v>
      </c>
      <c r="F43" s="70">
        <v>7</v>
      </c>
      <c r="G43" s="71">
        <f t="shared" si="7"/>
        <v>5.833333333333333</v>
      </c>
      <c r="H43" s="72">
        <v>6</v>
      </c>
      <c r="I43" s="98">
        <v>6.5</v>
      </c>
      <c r="J43" s="99">
        <v>6</v>
      </c>
      <c r="K43" s="99">
        <v>5.5</v>
      </c>
      <c r="L43" s="100">
        <v>6</v>
      </c>
      <c r="M43" s="76">
        <f t="shared" si="8"/>
        <v>5.833333333333333</v>
      </c>
      <c r="N43" s="77">
        <f t="shared" si="12"/>
        <v>65.407407407407405</v>
      </c>
      <c r="O43" s="78">
        <v>5.5</v>
      </c>
      <c r="P43" s="79">
        <v>5.5</v>
      </c>
      <c r="Q43" s="80">
        <f t="shared" si="10"/>
        <v>5.5</v>
      </c>
      <c r="R43" s="87" t="s">
        <v>151</v>
      </c>
      <c r="S43" s="81">
        <v>5.5</v>
      </c>
      <c r="T43" s="104"/>
      <c r="U43" s="83"/>
      <c r="V43" s="84"/>
      <c r="W43" s="84"/>
      <c r="X43" s="84"/>
      <c r="Y43" s="85"/>
      <c r="Z43" s="86">
        <f t="shared" si="11"/>
        <v>28.574074074074076</v>
      </c>
      <c r="AA43" s="61">
        <f t="shared" si="5"/>
        <v>2</v>
      </c>
      <c r="AB43" s="62">
        <f t="shared" si="6"/>
        <v>2</v>
      </c>
      <c r="AC43" s="87" t="s">
        <v>151</v>
      </c>
      <c r="AD43" s="88">
        <v>16</v>
      </c>
      <c r="AE43" s="90"/>
      <c r="AF43" s="92"/>
      <c r="AG43" s="92"/>
      <c r="AH43" s="92"/>
    </row>
    <row r="44" spans="1:34" ht="16.5" customHeight="1" thickBot="1">
      <c r="A44" s="67">
        <v>42</v>
      </c>
      <c r="B44" s="68" t="s">
        <v>152</v>
      </c>
      <c r="C44" s="68" t="s">
        <v>153</v>
      </c>
      <c r="D44" s="69">
        <v>4</v>
      </c>
      <c r="E44" s="70">
        <v>6.5</v>
      </c>
      <c r="F44" s="70">
        <v>8</v>
      </c>
      <c r="G44" s="71">
        <f t="shared" si="7"/>
        <v>6.166666666666667</v>
      </c>
      <c r="H44" s="72">
        <v>6</v>
      </c>
      <c r="I44" s="98">
        <v>7</v>
      </c>
      <c r="J44" s="99">
        <v>5.5</v>
      </c>
      <c r="K44" s="99">
        <v>5</v>
      </c>
      <c r="L44" s="100">
        <v>6.5</v>
      </c>
      <c r="M44" s="76">
        <f t="shared" si="8"/>
        <v>5.666666666666667</v>
      </c>
      <c r="N44" s="77">
        <f t="shared" si="12"/>
        <v>65.481481481481481</v>
      </c>
      <c r="O44" s="78">
        <v>5</v>
      </c>
      <c r="P44" s="79">
        <v>6.5</v>
      </c>
      <c r="Q44" s="80">
        <f t="shared" si="10"/>
        <v>5.75</v>
      </c>
      <c r="R44" s="87" t="s">
        <v>154</v>
      </c>
      <c r="S44" s="89">
        <v>6</v>
      </c>
      <c r="T44" s="104"/>
      <c r="U44" s="83"/>
      <c r="V44" s="84"/>
      <c r="W44" s="84"/>
      <c r="X44" s="84"/>
      <c r="Y44" s="85"/>
      <c r="Z44" s="86">
        <f t="shared" si="11"/>
        <v>29.148148148148149</v>
      </c>
      <c r="AA44" s="61">
        <f t="shared" si="5"/>
        <v>2</v>
      </c>
      <c r="AB44" s="62">
        <f t="shared" si="6"/>
        <v>2</v>
      </c>
      <c r="AC44" s="87" t="s">
        <v>154</v>
      </c>
      <c r="AD44" s="88">
        <v>9</v>
      </c>
      <c r="AE44" s="90"/>
      <c r="AF44" s="92"/>
      <c r="AG44" s="92"/>
      <c r="AH44" s="92"/>
    </row>
    <row r="45" spans="1:34" ht="16.5" customHeight="1" thickBot="1">
      <c r="A45" s="67">
        <v>43</v>
      </c>
      <c r="B45" s="68" t="s">
        <v>155</v>
      </c>
      <c r="C45" s="68" t="s">
        <v>156</v>
      </c>
      <c r="D45" s="69">
        <v>5</v>
      </c>
      <c r="E45" s="70">
        <v>5.5</v>
      </c>
      <c r="F45" s="70">
        <v>7.5</v>
      </c>
      <c r="G45" s="71">
        <f t="shared" si="7"/>
        <v>6</v>
      </c>
      <c r="H45" s="72">
        <v>6</v>
      </c>
      <c r="I45" s="98">
        <v>8</v>
      </c>
      <c r="J45" s="99">
        <v>6</v>
      </c>
      <c r="K45" s="99">
        <v>5.5</v>
      </c>
      <c r="L45" s="100">
        <v>6.5</v>
      </c>
      <c r="M45" s="76">
        <f t="shared" si="8"/>
        <v>6</v>
      </c>
      <c r="N45" s="77">
        <f t="shared" si="12"/>
        <v>69.333333333333343</v>
      </c>
      <c r="O45" s="78">
        <v>7</v>
      </c>
      <c r="P45" s="79">
        <v>7</v>
      </c>
      <c r="Q45" s="80">
        <f t="shared" si="10"/>
        <v>7</v>
      </c>
      <c r="R45" s="87" t="s">
        <v>157</v>
      </c>
      <c r="S45" s="89">
        <v>7</v>
      </c>
      <c r="T45" s="104"/>
      <c r="U45" s="83"/>
      <c r="V45" s="84"/>
      <c r="W45" s="84"/>
      <c r="X45" s="84"/>
      <c r="Y45" s="85"/>
      <c r="Z45" s="86">
        <f t="shared" si="11"/>
        <v>32.888888888888893</v>
      </c>
      <c r="AA45" s="61">
        <f t="shared" si="5"/>
        <v>2</v>
      </c>
      <c r="AB45" s="62">
        <f t="shared" si="6"/>
        <v>2</v>
      </c>
      <c r="AC45" s="87" t="s">
        <v>157</v>
      </c>
      <c r="AD45" s="88">
        <v>5</v>
      </c>
      <c r="AE45" s="90"/>
      <c r="AF45" s="92"/>
      <c r="AG45" s="92"/>
      <c r="AH45" s="92"/>
    </row>
    <row r="46" spans="1:34" ht="16.5" customHeight="1" thickBot="1">
      <c r="A46" s="67">
        <v>44</v>
      </c>
      <c r="B46" s="68" t="s">
        <v>158</v>
      </c>
      <c r="C46" s="68" t="s">
        <v>159</v>
      </c>
      <c r="D46" s="69">
        <v>6.5</v>
      </c>
      <c r="E46" s="70">
        <v>7.5</v>
      </c>
      <c r="F46" s="70">
        <v>7</v>
      </c>
      <c r="G46" s="71">
        <f t="shared" si="7"/>
        <v>7</v>
      </c>
      <c r="H46" s="72">
        <v>7</v>
      </c>
      <c r="I46" s="98">
        <v>7</v>
      </c>
      <c r="J46" s="99">
        <v>7</v>
      </c>
      <c r="K46" s="99">
        <v>5</v>
      </c>
      <c r="L46" s="100">
        <v>7</v>
      </c>
      <c r="M46" s="76">
        <f t="shared" si="8"/>
        <v>6.333333333333333</v>
      </c>
      <c r="N46" s="77">
        <f t="shared" si="12"/>
        <v>72.518518518518505</v>
      </c>
      <c r="O46" s="78">
        <v>7.5</v>
      </c>
      <c r="P46" s="79">
        <v>8.5</v>
      </c>
      <c r="Q46" s="80">
        <f t="shared" si="10"/>
        <v>8</v>
      </c>
      <c r="R46" s="87" t="s">
        <v>160</v>
      </c>
      <c r="S46" s="89">
        <v>8</v>
      </c>
      <c r="T46" s="104"/>
      <c r="U46" s="83"/>
      <c r="V46" s="84"/>
      <c r="W46" s="84"/>
      <c r="X46" s="84"/>
      <c r="Y46" s="85"/>
      <c r="Z46" s="86">
        <f t="shared" si="11"/>
        <v>35.907407407407405</v>
      </c>
      <c r="AA46" s="61">
        <f t="shared" si="5"/>
        <v>4</v>
      </c>
      <c r="AB46" s="62">
        <f t="shared" si="6"/>
        <v>3</v>
      </c>
      <c r="AC46" s="87" t="s">
        <v>160</v>
      </c>
      <c r="AD46" s="88">
        <v>1</v>
      </c>
      <c r="AE46" s="90"/>
      <c r="AF46" s="92"/>
      <c r="AG46" s="92"/>
      <c r="AH46" s="92"/>
    </row>
    <row r="47" spans="1:34" ht="16.5" customHeight="1" thickBot="1">
      <c r="A47" s="67">
        <v>45</v>
      </c>
      <c r="B47" s="68" t="s">
        <v>161</v>
      </c>
      <c r="C47" s="68" t="s">
        <v>162</v>
      </c>
      <c r="D47" s="69">
        <v>3</v>
      </c>
      <c r="E47" s="70">
        <v>5.5</v>
      </c>
      <c r="F47" s="70">
        <v>8</v>
      </c>
      <c r="G47" s="71">
        <f t="shared" si="7"/>
        <v>5.5</v>
      </c>
      <c r="H47" s="72">
        <v>5.5</v>
      </c>
      <c r="I47" s="98">
        <v>5</v>
      </c>
      <c r="J47" s="99">
        <v>5.5</v>
      </c>
      <c r="K47" s="99">
        <v>5</v>
      </c>
      <c r="L47" s="100">
        <v>6</v>
      </c>
      <c r="M47" s="76">
        <f t="shared" si="8"/>
        <v>5.5</v>
      </c>
      <c r="N47" s="77">
        <f t="shared" si="12"/>
        <v>58.888888888888886</v>
      </c>
      <c r="O47" s="78">
        <v>4.5</v>
      </c>
      <c r="P47" s="79">
        <v>7.5</v>
      </c>
      <c r="Q47" s="80">
        <f t="shared" si="10"/>
        <v>6</v>
      </c>
      <c r="R47" s="87" t="s">
        <v>163</v>
      </c>
      <c r="S47" s="89">
        <v>6</v>
      </c>
      <c r="T47" s="104"/>
      <c r="U47" s="83"/>
      <c r="V47" s="84"/>
      <c r="W47" s="84"/>
      <c r="X47" s="84"/>
      <c r="Y47" s="85"/>
      <c r="Z47" s="86">
        <f t="shared" si="11"/>
        <v>28.055555555555557</v>
      </c>
      <c r="AA47" s="61">
        <f t="shared" si="5"/>
        <v>2</v>
      </c>
      <c r="AB47" s="62">
        <f t="shared" si="6"/>
        <v>2</v>
      </c>
      <c r="AC47" s="87" t="s">
        <v>163</v>
      </c>
      <c r="AD47" s="88">
        <v>4</v>
      </c>
      <c r="AE47" s="90"/>
      <c r="AF47" s="92"/>
      <c r="AG47" s="92"/>
      <c r="AH47" s="92"/>
    </row>
    <row r="48" spans="1:34" ht="16.5" customHeight="1" thickBot="1">
      <c r="A48" s="67">
        <v>46</v>
      </c>
      <c r="B48" s="68" t="s">
        <v>164</v>
      </c>
      <c r="C48" s="68" t="s">
        <v>165</v>
      </c>
      <c r="D48" s="69"/>
      <c r="E48" s="70"/>
      <c r="F48" s="70"/>
      <c r="G48" s="71">
        <f t="shared" si="7"/>
        <v>0</v>
      </c>
      <c r="H48" s="72"/>
      <c r="I48" s="73">
        <v>0</v>
      </c>
      <c r="J48" s="74"/>
      <c r="K48" s="74"/>
      <c r="L48" s="75"/>
      <c r="M48" s="76" t="e">
        <f t="shared" si="8"/>
        <v>#DIV/0!</v>
      </c>
      <c r="N48" s="77" t="e">
        <f t="shared" si="12"/>
        <v>#DIV/0!</v>
      </c>
      <c r="O48" s="78"/>
      <c r="P48" s="79"/>
      <c r="Q48" s="80" t="e">
        <f t="shared" si="10"/>
        <v>#DIV/0!</v>
      </c>
      <c r="R48" s="87" t="s">
        <v>166</v>
      </c>
      <c r="S48" s="89">
        <v>0</v>
      </c>
      <c r="T48" s="82"/>
      <c r="U48" s="83"/>
      <c r="V48" s="84"/>
      <c r="W48" s="84"/>
      <c r="X48" s="84"/>
      <c r="Y48" s="85"/>
      <c r="Z48" s="86" t="e">
        <f t="shared" si="11"/>
        <v>#DIV/0!</v>
      </c>
      <c r="AA48" s="61" t="e">
        <f t="shared" si="5"/>
        <v>#DIV/0!</v>
      </c>
      <c r="AB48" s="62" t="e">
        <f t="shared" si="6"/>
        <v>#DIV/0!</v>
      </c>
      <c r="AC48" s="87" t="s">
        <v>166</v>
      </c>
      <c r="AD48" s="88">
        <v>4</v>
      </c>
      <c r="AE48" s="90"/>
      <c r="AF48" s="92"/>
      <c r="AG48" s="92"/>
      <c r="AH48" s="92"/>
    </row>
    <row r="49" spans="1:34" ht="16.5" customHeight="1" thickBot="1">
      <c r="A49" s="67">
        <v>47</v>
      </c>
      <c r="B49" s="68" t="s">
        <v>167</v>
      </c>
      <c r="C49" s="68" t="s">
        <v>168</v>
      </c>
      <c r="D49" s="69">
        <v>3.5</v>
      </c>
      <c r="E49" s="70">
        <v>4</v>
      </c>
      <c r="F49" s="70">
        <v>3.8</v>
      </c>
      <c r="G49" s="71">
        <f t="shared" si="7"/>
        <v>3.7666666666666671</v>
      </c>
      <c r="H49" s="72">
        <v>4</v>
      </c>
      <c r="I49" s="98">
        <v>5</v>
      </c>
      <c r="J49" s="99">
        <v>3</v>
      </c>
      <c r="K49" s="99">
        <v>5.5</v>
      </c>
      <c r="L49" s="100">
        <v>5</v>
      </c>
      <c r="M49" s="76">
        <f t="shared" si="8"/>
        <v>4.5</v>
      </c>
      <c r="N49" s="77">
        <f t="shared" si="12"/>
        <v>48.333333333333336</v>
      </c>
      <c r="O49" s="78">
        <v>4.5</v>
      </c>
      <c r="P49" s="79">
        <v>4</v>
      </c>
      <c r="Q49" s="80">
        <f t="shared" si="10"/>
        <v>4.25</v>
      </c>
      <c r="R49" s="87" t="s">
        <v>169</v>
      </c>
      <c r="S49" s="81">
        <v>4.5</v>
      </c>
      <c r="T49" s="104"/>
      <c r="U49" s="83"/>
      <c r="V49" s="84"/>
      <c r="W49" s="84"/>
      <c r="X49" s="84"/>
      <c r="Y49" s="85"/>
      <c r="Z49" s="86">
        <f t="shared" si="11"/>
        <v>21.527777777777779</v>
      </c>
      <c r="AA49" s="61">
        <f t="shared" si="5"/>
        <v>2</v>
      </c>
      <c r="AB49" s="62">
        <f t="shared" si="6"/>
        <v>2</v>
      </c>
      <c r="AC49" s="87" t="s">
        <v>169</v>
      </c>
      <c r="AD49" s="88">
        <v>5</v>
      </c>
      <c r="AE49" s="90"/>
      <c r="AF49" s="92"/>
      <c r="AG49" s="92"/>
      <c r="AH49" s="92"/>
    </row>
    <row r="50" spans="1:34" ht="16.5" customHeight="1" thickBot="1">
      <c r="A50" s="67">
        <v>48</v>
      </c>
      <c r="B50" s="68" t="s">
        <v>170</v>
      </c>
      <c r="C50" s="68" t="s">
        <v>171</v>
      </c>
      <c r="D50" s="69">
        <v>2</v>
      </c>
      <c r="E50" s="70">
        <v>4</v>
      </c>
      <c r="F50" s="70">
        <v>3</v>
      </c>
      <c r="G50" s="71">
        <f t="shared" si="7"/>
        <v>3</v>
      </c>
      <c r="H50" s="72">
        <v>3</v>
      </c>
      <c r="I50" s="98">
        <v>0</v>
      </c>
      <c r="J50" s="99">
        <v>3.5</v>
      </c>
      <c r="K50" s="99">
        <v>2</v>
      </c>
      <c r="L50" s="100">
        <v>4.5</v>
      </c>
      <c r="M50" s="76">
        <f t="shared" si="8"/>
        <v>3.3333333333333335</v>
      </c>
      <c r="N50" s="77">
        <f t="shared" si="12"/>
        <v>28.518518518518519</v>
      </c>
      <c r="O50" s="78">
        <v>4</v>
      </c>
      <c r="P50" s="79">
        <v>3.5</v>
      </c>
      <c r="Q50" s="80">
        <f t="shared" si="10"/>
        <v>3.75</v>
      </c>
      <c r="R50" s="87" t="s">
        <v>172</v>
      </c>
      <c r="S50" s="89">
        <v>4</v>
      </c>
      <c r="T50" s="104"/>
      <c r="U50" s="83"/>
      <c r="V50" s="84"/>
      <c r="W50" s="84"/>
      <c r="X50" s="84"/>
      <c r="Y50" s="85"/>
      <c r="Z50" s="86">
        <f t="shared" si="11"/>
        <v>15.462962962962964</v>
      </c>
      <c r="AA50" s="61">
        <f t="shared" si="5"/>
        <v>2</v>
      </c>
      <c r="AB50" s="62">
        <f t="shared" si="6"/>
        <v>2</v>
      </c>
      <c r="AC50" s="87" t="s">
        <v>172</v>
      </c>
      <c r="AD50" s="88">
        <v>13</v>
      </c>
      <c r="AE50" s="90"/>
      <c r="AF50" s="92"/>
      <c r="AG50" s="92"/>
      <c r="AH50" s="92"/>
    </row>
    <row r="51" spans="1:34" ht="16.5" customHeight="1" thickBot="1">
      <c r="A51" s="67">
        <v>49</v>
      </c>
      <c r="B51" s="68" t="s">
        <v>173</v>
      </c>
      <c r="C51" s="68" t="s">
        <v>174</v>
      </c>
      <c r="D51" s="69">
        <v>5</v>
      </c>
      <c r="E51" s="70">
        <v>6</v>
      </c>
      <c r="F51" s="70">
        <v>8</v>
      </c>
      <c r="G51" s="71">
        <f t="shared" si="7"/>
        <v>6.333333333333333</v>
      </c>
      <c r="H51" s="72">
        <v>6.5</v>
      </c>
      <c r="I51" s="73">
        <v>8</v>
      </c>
      <c r="J51" s="74">
        <v>5</v>
      </c>
      <c r="K51" s="74">
        <v>4.5</v>
      </c>
      <c r="L51" s="75">
        <v>6.5</v>
      </c>
      <c r="M51" s="76">
        <f t="shared" si="8"/>
        <v>5.333333333333333</v>
      </c>
      <c r="N51" s="77">
        <f t="shared" si="12"/>
        <v>67.296296296296305</v>
      </c>
      <c r="O51" s="78">
        <v>6</v>
      </c>
      <c r="P51" s="79">
        <v>6.5</v>
      </c>
      <c r="Q51" s="80">
        <f t="shared" si="10"/>
        <v>6.25</v>
      </c>
      <c r="R51" s="87" t="s">
        <v>175</v>
      </c>
      <c r="S51" s="81">
        <v>6.5</v>
      </c>
      <c r="T51" s="82"/>
      <c r="U51" s="83"/>
      <c r="V51" s="84"/>
      <c r="W51" s="84"/>
      <c r="X51" s="84"/>
      <c r="Y51" s="85"/>
      <c r="Z51" s="86">
        <f t="shared" si="11"/>
        <v>30.712962962962965</v>
      </c>
      <c r="AA51" s="61">
        <f t="shared" si="5"/>
        <v>2</v>
      </c>
      <c r="AB51" s="62">
        <f t="shared" si="6"/>
        <v>2</v>
      </c>
      <c r="AC51" s="87" t="s">
        <v>175</v>
      </c>
      <c r="AD51" s="88">
        <v>1</v>
      </c>
      <c r="AE51" s="90"/>
      <c r="AF51" s="92"/>
      <c r="AG51" s="92"/>
      <c r="AH51" s="92"/>
    </row>
    <row r="52" spans="1:34" ht="16.5" customHeight="1" thickBot="1">
      <c r="A52" s="67">
        <v>50</v>
      </c>
      <c r="B52" s="68" t="s">
        <v>176</v>
      </c>
      <c r="C52" s="68" t="s">
        <v>177</v>
      </c>
      <c r="D52" s="69">
        <v>7.5</v>
      </c>
      <c r="E52" s="70">
        <v>8</v>
      </c>
      <c r="F52" s="70">
        <v>8</v>
      </c>
      <c r="G52" s="71">
        <f t="shared" si="7"/>
        <v>7.833333333333333</v>
      </c>
      <c r="H52" s="72">
        <v>8</v>
      </c>
      <c r="I52" s="73">
        <v>8</v>
      </c>
      <c r="J52" s="74">
        <v>7.5</v>
      </c>
      <c r="K52" s="74">
        <v>6</v>
      </c>
      <c r="L52" s="75">
        <v>7</v>
      </c>
      <c r="M52" s="76">
        <f t="shared" si="8"/>
        <v>6.833333333333333</v>
      </c>
      <c r="N52" s="77">
        <f t="shared" si="12"/>
        <v>80.629629629629633</v>
      </c>
      <c r="O52" s="78">
        <v>7.5</v>
      </c>
      <c r="P52" s="79">
        <v>8.5</v>
      </c>
      <c r="Q52" s="80">
        <f t="shared" si="10"/>
        <v>8</v>
      </c>
      <c r="R52" s="87" t="s">
        <v>178</v>
      </c>
      <c r="S52" s="89">
        <v>8</v>
      </c>
      <c r="T52" s="82"/>
      <c r="U52" s="83"/>
      <c r="V52" s="84"/>
      <c r="W52" s="84"/>
      <c r="X52" s="84"/>
      <c r="Y52" s="85"/>
      <c r="Z52" s="86">
        <f t="shared" si="11"/>
        <v>37.93518518518519</v>
      </c>
      <c r="AA52" s="61">
        <f t="shared" si="5"/>
        <v>4</v>
      </c>
      <c r="AB52" s="62">
        <f t="shared" si="6"/>
        <v>3</v>
      </c>
      <c r="AC52" s="87" t="s">
        <v>178</v>
      </c>
      <c r="AD52" s="88">
        <v>1</v>
      </c>
      <c r="AE52" s="90"/>
      <c r="AF52" s="92"/>
      <c r="AG52" s="92"/>
      <c r="AH52" s="92"/>
    </row>
    <row r="53" spans="1:34" ht="16.5" customHeight="1" thickBot="1">
      <c r="A53" s="67">
        <v>51</v>
      </c>
      <c r="B53" s="68" t="s">
        <v>179</v>
      </c>
      <c r="C53" s="68" t="s">
        <v>180</v>
      </c>
      <c r="D53" s="69">
        <v>6</v>
      </c>
      <c r="E53" s="70">
        <v>5</v>
      </c>
      <c r="F53" s="70">
        <v>8</v>
      </c>
      <c r="G53" s="71">
        <f t="shared" si="7"/>
        <v>6.333333333333333</v>
      </c>
      <c r="H53" s="72">
        <v>6.5</v>
      </c>
      <c r="I53" s="73">
        <v>5</v>
      </c>
      <c r="J53" s="74">
        <v>6.5</v>
      </c>
      <c r="K53" s="74">
        <v>6</v>
      </c>
      <c r="L53" s="75">
        <v>7</v>
      </c>
      <c r="M53" s="76">
        <f t="shared" si="8"/>
        <v>6.5</v>
      </c>
      <c r="N53" s="77">
        <f t="shared" si="12"/>
        <v>67.777777777777786</v>
      </c>
      <c r="O53" s="78">
        <v>6.5</v>
      </c>
      <c r="P53" s="79">
        <v>5</v>
      </c>
      <c r="Q53" s="80">
        <f t="shared" si="10"/>
        <v>5.75</v>
      </c>
      <c r="R53" s="87" t="s">
        <v>181</v>
      </c>
      <c r="S53" s="89">
        <v>6</v>
      </c>
      <c r="T53" s="82"/>
      <c r="U53" s="83"/>
      <c r="V53" s="84"/>
      <c r="W53" s="84"/>
      <c r="X53" s="84"/>
      <c r="Y53" s="85"/>
      <c r="Z53" s="86">
        <f t="shared" si="11"/>
        <v>29.722222222222225</v>
      </c>
      <c r="AA53" s="61">
        <f t="shared" si="5"/>
        <v>2</v>
      </c>
      <c r="AB53" s="62">
        <f t="shared" si="6"/>
        <v>2</v>
      </c>
      <c r="AC53" s="87" t="s">
        <v>181</v>
      </c>
      <c r="AD53" s="88">
        <v>11</v>
      </c>
      <c r="AE53" s="90"/>
      <c r="AF53" s="92"/>
      <c r="AG53" s="92"/>
      <c r="AH53" s="92"/>
    </row>
    <row r="54" spans="1:34" ht="16.5" customHeight="1" thickBot="1">
      <c r="A54" s="67">
        <v>52</v>
      </c>
      <c r="B54" s="68" t="s">
        <v>182</v>
      </c>
      <c r="C54" s="68" t="s">
        <v>183</v>
      </c>
      <c r="D54" s="69">
        <v>5</v>
      </c>
      <c r="E54" s="70">
        <v>4.5</v>
      </c>
      <c r="F54" s="70">
        <v>7</v>
      </c>
      <c r="G54" s="71">
        <f t="shared" si="7"/>
        <v>5.5</v>
      </c>
      <c r="H54" s="72">
        <v>5.5</v>
      </c>
      <c r="I54" s="73">
        <v>8</v>
      </c>
      <c r="J54" s="74">
        <v>6</v>
      </c>
      <c r="K54" s="74">
        <v>5</v>
      </c>
      <c r="L54" s="75">
        <v>6.5</v>
      </c>
      <c r="M54" s="76">
        <f t="shared" si="8"/>
        <v>5.833333333333333</v>
      </c>
      <c r="N54" s="77">
        <f t="shared" si="12"/>
        <v>66.740740740740733</v>
      </c>
      <c r="O54" s="78">
        <v>6</v>
      </c>
      <c r="P54" s="79">
        <v>6.5</v>
      </c>
      <c r="Q54" s="80">
        <f t="shared" si="10"/>
        <v>6.25</v>
      </c>
      <c r="R54" s="87" t="s">
        <v>184</v>
      </c>
      <c r="S54" s="81">
        <v>6.5</v>
      </c>
      <c r="T54" s="82"/>
      <c r="U54" s="83"/>
      <c r="V54" s="84"/>
      <c r="W54" s="84"/>
      <c r="X54" s="84"/>
      <c r="Y54" s="85"/>
      <c r="Z54" s="86">
        <f t="shared" si="11"/>
        <v>30.574074074074073</v>
      </c>
      <c r="AA54" s="61">
        <f t="shared" si="5"/>
        <v>2</v>
      </c>
      <c r="AB54" s="62">
        <f t="shared" si="6"/>
        <v>2</v>
      </c>
      <c r="AC54" s="87" t="s">
        <v>184</v>
      </c>
      <c r="AD54" s="88">
        <v>13</v>
      </c>
      <c r="AE54" s="90"/>
      <c r="AF54" s="92"/>
      <c r="AG54" s="92"/>
      <c r="AH54" s="92"/>
    </row>
    <row r="55" spans="1:34" ht="16.5" customHeight="1" thickBot="1">
      <c r="A55" s="67">
        <v>53</v>
      </c>
      <c r="B55" s="68" t="s">
        <v>185</v>
      </c>
      <c r="C55" s="68" t="s">
        <v>186</v>
      </c>
      <c r="D55" s="69">
        <v>4</v>
      </c>
      <c r="E55" s="70">
        <v>4.5</v>
      </c>
      <c r="F55" s="70">
        <v>6</v>
      </c>
      <c r="G55" s="71">
        <f t="shared" si="7"/>
        <v>4.833333333333333</v>
      </c>
      <c r="H55" s="72">
        <v>5</v>
      </c>
      <c r="I55" s="73">
        <v>1</v>
      </c>
      <c r="J55" s="74">
        <v>4.5</v>
      </c>
      <c r="K55" s="74">
        <v>3.5</v>
      </c>
      <c r="L55" s="75">
        <v>4</v>
      </c>
      <c r="M55" s="76">
        <f t="shared" si="8"/>
        <v>4</v>
      </c>
      <c r="N55" s="77">
        <f t="shared" si="12"/>
        <v>40.888888888888886</v>
      </c>
      <c r="O55" s="78"/>
      <c r="P55" s="79"/>
      <c r="Q55" s="80" t="e">
        <f t="shared" si="10"/>
        <v>#DIV/0!</v>
      </c>
      <c r="R55" s="87" t="s">
        <v>187</v>
      </c>
      <c r="S55" s="89">
        <v>0</v>
      </c>
      <c r="T55" s="82"/>
      <c r="U55" s="83"/>
      <c r="V55" s="84"/>
      <c r="W55" s="84"/>
      <c r="X55" s="84"/>
      <c r="Y55" s="85"/>
      <c r="Z55" s="86" t="e">
        <f t="shared" si="11"/>
        <v>#DIV/0!</v>
      </c>
      <c r="AA55" s="61" t="e">
        <f t="shared" si="5"/>
        <v>#DIV/0!</v>
      </c>
      <c r="AB55" s="62" t="e">
        <f t="shared" si="6"/>
        <v>#DIV/0!</v>
      </c>
      <c r="AC55" s="87" t="s">
        <v>187</v>
      </c>
      <c r="AD55" s="88">
        <v>9</v>
      </c>
      <c r="AE55" s="90"/>
      <c r="AF55" s="92"/>
      <c r="AG55" s="92"/>
      <c r="AH55" s="92"/>
    </row>
    <row r="56" spans="1:34" ht="16.5" customHeight="1" thickBot="1">
      <c r="A56" s="67">
        <v>54</v>
      </c>
      <c r="B56" s="68" t="s">
        <v>188</v>
      </c>
      <c r="C56" s="68" t="s">
        <v>189</v>
      </c>
      <c r="D56" s="69">
        <v>4.5</v>
      </c>
      <c r="E56" s="70">
        <v>6.5</v>
      </c>
      <c r="F56" s="70">
        <v>7</v>
      </c>
      <c r="G56" s="71">
        <f t="shared" si="7"/>
        <v>6</v>
      </c>
      <c r="H56" s="72">
        <v>6</v>
      </c>
      <c r="I56" s="73">
        <v>5</v>
      </c>
      <c r="J56" s="74">
        <v>4.5</v>
      </c>
      <c r="K56" s="74">
        <v>4.5</v>
      </c>
      <c r="L56" s="75">
        <v>6</v>
      </c>
      <c r="M56" s="76">
        <f t="shared" si="8"/>
        <v>5</v>
      </c>
      <c r="N56" s="77">
        <f t="shared" si="12"/>
        <v>57.777777777777779</v>
      </c>
      <c r="O56" s="78">
        <v>5</v>
      </c>
      <c r="P56" s="79">
        <v>6</v>
      </c>
      <c r="Q56" s="80">
        <f t="shared" si="10"/>
        <v>5.5</v>
      </c>
      <c r="R56" s="87" t="s">
        <v>190</v>
      </c>
      <c r="S56" s="81">
        <v>5.5</v>
      </c>
      <c r="T56" s="82"/>
      <c r="U56" s="83"/>
      <c r="V56" s="84"/>
      <c r="W56" s="84"/>
      <c r="X56" s="84"/>
      <c r="Y56" s="85"/>
      <c r="Z56" s="86">
        <f t="shared" si="11"/>
        <v>26.666666666666668</v>
      </c>
      <c r="AA56" s="61">
        <f t="shared" si="5"/>
        <v>2</v>
      </c>
      <c r="AB56" s="62">
        <f t="shared" si="6"/>
        <v>2</v>
      </c>
      <c r="AC56" s="87" t="s">
        <v>190</v>
      </c>
      <c r="AD56" s="88">
        <v>13</v>
      </c>
      <c r="AE56" s="90"/>
      <c r="AF56" s="92"/>
      <c r="AG56" s="92"/>
      <c r="AH56" s="92"/>
    </row>
    <row r="57" spans="1:34" ht="16.5" customHeight="1" thickBot="1">
      <c r="A57" s="67">
        <v>55</v>
      </c>
      <c r="B57" s="68" t="s">
        <v>191</v>
      </c>
      <c r="C57" s="68" t="s">
        <v>192</v>
      </c>
      <c r="D57" s="69">
        <v>6</v>
      </c>
      <c r="E57" s="70">
        <v>6</v>
      </c>
      <c r="F57" s="70">
        <v>8</v>
      </c>
      <c r="G57" s="71">
        <f t="shared" si="7"/>
        <v>6.666666666666667</v>
      </c>
      <c r="H57" s="72">
        <v>7</v>
      </c>
      <c r="I57" s="73">
        <v>7</v>
      </c>
      <c r="J57" s="74">
        <v>6.5</v>
      </c>
      <c r="K57" s="74">
        <v>6.5</v>
      </c>
      <c r="L57" s="75">
        <v>7</v>
      </c>
      <c r="M57" s="76">
        <f t="shared" si="8"/>
        <v>6.666666666666667</v>
      </c>
      <c r="N57" s="77">
        <f t="shared" si="12"/>
        <v>74.370370370370367</v>
      </c>
      <c r="O57" s="78">
        <v>6</v>
      </c>
      <c r="P57" s="110">
        <v>5.5</v>
      </c>
      <c r="Q57" s="80">
        <f t="shared" si="10"/>
        <v>5.75</v>
      </c>
      <c r="R57" s="87" t="s">
        <v>193</v>
      </c>
      <c r="S57" s="89">
        <v>6</v>
      </c>
      <c r="T57" s="82"/>
      <c r="U57" s="83"/>
      <c r="V57" s="84"/>
      <c r="W57" s="84"/>
      <c r="X57" s="84"/>
      <c r="Y57" s="85"/>
      <c r="Z57" s="86">
        <f t="shared" si="11"/>
        <v>31.37037037037037</v>
      </c>
      <c r="AA57" s="61">
        <f t="shared" si="5"/>
        <v>2</v>
      </c>
      <c r="AB57" s="62">
        <f t="shared" si="6"/>
        <v>2</v>
      </c>
      <c r="AC57" s="87" t="s">
        <v>193</v>
      </c>
      <c r="AD57" s="88">
        <v>1</v>
      </c>
      <c r="AE57" s="90"/>
      <c r="AF57" s="92"/>
      <c r="AG57" s="92"/>
      <c r="AH57" s="92"/>
    </row>
    <row r="58" spans="1:34" ht="15.75" customHeight="1" thickBot="1">
      <c r="A58" s="67">
        <v>56</v>
      </c>
      <c r="B58" s="68" t="s">
        <v>194</v>
      </c>
      <c r="C58" s="68" t="s">
        <v>195</v>
      </c>
      <c r="D58" s="69">
        <v>5</v>
      </c>
      <c r="E58" s="70">
        <v>6</v>
      </c>
      <c r="F58" s="70">
        <v>7</v>
      </c>
      <c r="G58" s="71">
        <f t="shared" si="7"/>
        <v>6</v>
      </c>
      <c r="H58" s="72">
        <v>6</v>
      </c>
      <c r="I58" s="73">
        <v>7.5</v>
      </c>
      <c r="J58" s="74">
        <v>5.5</v>
      </c>
      <c r="K58" s="74">
        <v>5</v>
      </c>
      <c r="L58" s="75">
        <v>6.5</v>
      </c>
      <c r="M58" s="76">
        <f t="shared" si="8"/>
        <v>5.666666666666667</v>
      </c>
      <c r="N58" s="77">
        <f t="shared" si="12"/>
        <v>66.481481481481481</v>
      </c>
      <c r="O58" s="78">
        <v>7</v>
      </c>
      <c r="P58" s="79">
        <v>5.5</v>
      </c>
      <c r="Q58" s="80">
        <f t="shared" si="10"/>
        <v>6.25</v>
      </c>
      <c r="R58" s="87" t="s">
        <v>196</v>
      </c>
      <c r="S58" s="81">
        <v>6.5</v>
      </c>
      <c r="T58" s="82"/>
      <c r="U58" s="83"/>
      <c r="V58" s="84"/>
      <c r="W58" s="84"/>
      <c r="X58" s="84"/>
      <c r="Y58" s="85"/>
      <c r="Z58" s="86">
        <f t="shared" si="11"/>
        <v>30.50925925925926</v>
      </c>
      <c r="AA58" s="61">
        <f t="shared" si="5"/>
        <v>2</v>
      </c>
      <c r="AB58" s="62">
        <f t="shared" si="6"/>
        <v>2</v>
      </c>
      <c r="AC58" s="87" t="s">
        <v>196</v>
      </c>
      <c r="AD58" s="88">
        <v>13</v>
      </c>
      <c r="AE58" s="90"/>
      <c r="AF58" s="92"/>
      <c r="AG58" s="92"/>
      <c r="AH58" s="92"/>
    </row>
    <row r="59" spans="1:34" ht="16.5" customHeight="1" thickBot="1">
      <c r="A59" s="67">
        <v>57</v>
      </c>
      <c r="B59" s="68" t="s">
        <v>197</v>
      </c>
      <c r="C59" s="68" t="s">
        <v>198</v>
      </c>
      <c r="D59" s="69">
        <v>5</v>
      </c>
      <c r="E59" s="70">
        <v>6</v>
      </c>
      <c r="F59" s="70">
        <v>7.5</v>
      </c>
      <c r="G59" s="71">
        <f t="shared" si="7"/>
        <v>6.166666666666667</v>
      </c>
      <c r="H59" s="72">
        <v>6</v>
      </c>
      <c r="I59" s="73">
        <v>9</v>
      </c>
      <c r="J59" s="74">
        <v>6</v>
      </c>
      <c r="K59" s="74">
        <v>5.5</v>
      </c>
      <c r="L59" s="75">
        <v>6</v>
      </c>
      <c r="M59" s="76">
        <f t="shared" si="8"/>
        <v>5.833333333333333</v>
      </c>
      <c r="N59" s="77">
        <f t="shared" si="12"/>
        <v>70.407407407407405</v>
      </c>
      <c r="O59" s="78">
        <v>5.5</v>
      </c>
      <c r="P59" s="110">
        <v>6.5</v>
      </c>
      <c r="Q59" s="80">
        <v>6</v>
      </c>
      <c r="R59" s="87" t="s">
        <v>199</v>
      </c>
      <c r="S59" s="89">
        <v>6</v>
      </c>
      <c r="T59" s="82"/>
      <c r="U59" s="83"/>
      <c r="V59" s="84"/>
      <c r="W59" s="84"/>
      <c r="X59" s="84"/>
      <c r="Y59" s="85"/>
      <c r="Z59" s="86">
        <f t="shared" si="11"/>
        <v>30.935185185185183</v>
      </c>
      <c r="AA59" s="61">
        <f t="shared" si="5"/>
        <v>2</v>
      </c>
      <c r="AB59" s="62">
        <f t="shared" si="6"/>
        <v>2</v>
      </c>
      <c r="AC59" s="87" t="s">
        <v>199</v>
      </c>
      <c r="AD59" s="88">
        <v>5</v>
      </c>
      <c r="AE59" s="90"/>
      <c r="AF59" s="92"/>
      <c r="AG59" s="92"/>
      <c r="AH59" s="92"/>
    </row>
    <row r="60" spans="1:34" ht="16.5" customHeight="1" thickBot="1">
      <c r="A60" s="67">
        <v>58</v>
      </c>
      <c r="B60" s="68" t="s">
        <v>200</v>
      </c>
      <c r="C60" s="68" t="s">
        <v>201</v>
      </c>
      <c r="D60" s="69">
        <v>6.5</v>
      </c>
      <c r="E60" s="70">
        <v>7.5</v>
      </c>
      <c r="F60" s="70">
        <v>7</v>
      </c>
      <c r="G60" s="71">
        <f t="shared" si="7"/>
        <v>7</v>
      </c>
      <c r="H60" s="72">
        <v>7</v>
      </c>
      <c r="I60" s="73">
        <v>6</v>
      </c>
      <c r="J60" s="74">
        <v>6.5</v>
      </c>
      <c r="K60" s="74">
        <v>6.5</v>
      </c>
      <c r="L60" s="75">
        <v>6</v>
      </c>
      <c r="M60" s="76">
        <f t="shared" si="8"/>
        <v>6.333333333333333</v>
      </c>
      <c r="N60" s="77">
        <f t="shared" si="12"/>
        <v>70.518518518518505</v>
      </c>
      <c r="O60" s="78">
        <v>7</v>
      </c>
      <c r="P60" s="110">
        <v>7.5</v>
      </c>
      <c r="Q60" s="80">
        <f t="shared" ref="Q60:Q123" si="13">AVERAGE(O60:P60)</f>
        <v>7.25</v>
      </c>
      <c r="R60" s="87" t="s">
        <v>202</v>
      </c>
      <c r="S60" s="89">
        <v>7.5</v>
      </c>
      <c r="T60" s="82"/>
      <c r="U60" s="83"/>
      <c r="V60" s="84"/>
      <c r="W60" s="84"/>
      <c r="X60" s="84"/>
      <c r="Y60" s="85"/>
      <c r="Z60" s="86">
        <f t="shared" si="11"/>
        <v>33.740740740740733</v>
      </c>
      <c r="AA60" s="61">
        <f t="shared" si="5"/>
        <v>2</v>
      </c>
      <c r="AB60" s="62">
        <f t="shared" si="6"/>
        <v>2</v>
      </c>
      <c r="AC60" s="87" t="s">
        <v>202</v>
      </c>
      <c r="AD60" s="88">
        <v>10</v>
      </c>
      <c r="AE60" s="90"/>
      <c r="AF60" s="92"/>
      <c r="AG60" s="92"/>
      <c r="AH60" s="92"/>
    </row>
    <row r="61" spans="1:34" ht="16.5" customHeight="1" thickBot="1">
      <c r="A61" s="67">
        <v>59</v>
      </c>
      <c r="B61" s="68" t="s">
        <v>203</v>
      </c>
      <c r="C61" s="68" t="s">
        <v>204</v>
      </c>
      <c r="D61" s="69">
        <v>5.5</v>
      </c>
      <c r="E61" s="70">
        <v>4.5</v>
      </c>
      <c r="F61" s="70">
        <v>6.5</v>
      </c>
      <c r="G61" s="71">
        <f t="shared" si="7"/>
        <v>5.5</v>
      </c>
      <c r="H61" s="72">
        <v>5.5</v>
      </c>
      <c r="I61" s="73">
        <v>6.5</v>
      </c>
      <c r="J61" s="74">
        <v>5</v>
      </c>
      <c r="K61" s="74">
        <v>4</v>
      </c>
      <c r="L61" s="75">
        <v>5.5</v>
      </c>
      <c r="M61" s="76">
        <f t="shared" si="8"/>
        <v>4.833333333333333</v>
      </c>
      <c r="N61" s="77">
        <f t="shared" si="12"/>
        <v>58.185185185185183</v>
      </c>
      <c r="O61" s="78">
        <v>6.5</v>
      </c>
      <c r="P61" s="110">
        <v>5.5</v>
      </c>
      <c r="Q61" s="80">
        <f t="shared" si="13"/>
        <v>6</v>
      </c>
      <c r="R61" s="87" t="s">
        <v>205</v>
      </c>
      <c r="S61" s="89">
        <v>6</v>
      </c>
      <c r="T61" s="82"/>
      <c r="U61" s="83"/>
      <c r="V61" s="84"/>
      <c r="W61" s="84"/>
      <c r="X61" s="84"/>
      <c r="Y61" s="85"/>
      <c r="Z61" s="86">
        <f t="shared" si="11"/>
        <v>27.87962962962963</v>
      </c>
      <c r="AA61" s="61">
        <f t="shared" si="5"/>
        <v>2</v>
      </c>
      <c r="AB61" s="62">
        <f t="shared" si="6"/>
        <v>2</v>
      </c>
      <c r="AC61" s="87" t="s">
        <v>205</v>
      </c>
      <c r="AD61" s="88">
        <v>16</v>
      </c>
      <c r="AE61" s="90"/>
      <c r="AF61" s="92"/>
      <c r="AG61" s="92"/>
      <c r="AH61" s="92"/>
    </row>
    <row r="62" spans="1:34" ht="16.5" customHeight="1" thickBot="1">
      <c r="A62" s="67">
        <v>60</v>
      </c>
      <c r="B62" s="68" t="s">
        <v>206</v>
      </c>
      <c r="C62" s="68" t="s">
        <v>207</v>
      </c>
      <c r="D62" s="69">
        <v>6</v>
      </c>
      <c r="E62" s="70">
        <v>5</v>
      </c>
      <c r="F62" s="70">
        <v>7.5</v>
      </c>
      <c r="G62" s="71">
        <f t="shared" si="7"/>
        <v>6.166666666666667</v>
      </c>
      <c r="H62" s="72">
        <v>6</v>
      </c>
      <c r="I62" s="73">
        <v>8</v>
      </c>
      <c r="J62" s="74">
        <v>6</v>
      </c>
      <c r="K62" s="74">
        <v>5</v>
      </c>
      <c r="L62" s="75">
        <v>7</v>
      </c>
      <c r="M62" s="76">
        <f t="shared" si="8"/>
        <v>6</v>
      </c>
      <c r="N62" s="77">
        <f t="shared" si="12"/>
        <v>69.333333333333343</v>
      </c>
      <c r="O62" s="78">
        <v>6</v>
      </c>
      <c r="P62" s="79">
        <v>5</v>
      </c>
      <c r="Q62" s="80">
        <f t="shared" si="13"/>
        <v>5.5</v>
      </c>
      <c r="R62" s="87" t="s">
        <v>208</v>
      </c>
      <c r="S62" s="81">
        <v>5.5</v>
      </c>
      <c r="T62" s="82"/>
      <c r="U62" s="83"/>
      <c r="V62" s="84"/>
      <c r="W62" s="84"/>
      <c r="X62" s="84"/>
      <c r="Y62" s="85"/>
      <c r="Z62" s="86">
        <f t="shared" si="11"/>
        <v>29.555555555555557</v>
      </c>
      <c r="AA62" s="61">
        <f t="shared" si="5"/>
        <v>2</v>
      </c>
      <c r="AB62" s="62">
        <f t="shared" si="6"/>
        <v>2</v>
      </c>
      <c r="AC62" s="87" t="s">
        <v>208</v>
      </c>
      <c r="AD62" s="88">
        <v>2</v>
      </c>
      <c r="AE62" s="90"/>
      <c r="AF62" s="92"/>
      <c r="AG62" s="92"/>
      <c r="AH62" s="92"/>
    </row>
    <row r="63" spans="1:34" ht="16.5" customHeight="1" thickBot="1">
      <c r="A63" s="67">
        <v>61</v>
      </c>
      <c r="B63" s="68" t="s">
        <v>209</v>
      </c>
      <c r="C63" s="68" t="s">
        <v>210</v>
      </c>
      <c r="D63" s="69">
        <v>5</v>
      </c>
      <c r="E63" s="70">
        <v>4.5</v>
      </c>
      <c r="F63" s="70">
        <v>8</v>
      </c>
      <c r="G63" s="71">
        <f t="shared" si="7"/>
        <v>5.833333333333333</v>
      </c>
      <c r="H63" s="72">
        <v>6</v>
      </c>
      <c r="I63" s="73">
        <v>3</v>
      </c>
      <c r="J63" s="74">
        <v>4.5</v>
      </c>
      <c r="K63" s="74">
        <v>3.5</v>
      </c>
      <c r="L63" s="75">
        <v>4.5</v>
      </c>
      <c r="M63" s="76">
        <f t="shared" si="8"/>
        <v>4.166666666666667</v>
      </c>
      <c r="N63" s="77">
        <f t="shared" si="12"/>
        <v>49.148148148148152</v>
      </c>
      <c r="O63" s="78"/>
      <c r="P63" s="79"/>
      <c r="Q63" s="80" t="e">
        <f t="shared" si="13"/>
        <v>#DIV/0!</v>
      </c>
      <c r="R63" s="87" t="s">
        <v>211</v>
      </c>
      <c r="S63" s="89">
        <v>0</v>
      </c>
      <c r="T63" s="82"/>
      <c r="U63" s="83"/>
      <c r="V63" s="84"/>
      <c r="W63" s="84"/>
      <c r="X63" s="84"/>
      <c r="Y63" s="85"/>
      <c r="Z63" s="86" t="e">
        <f t="shared" si="11"/>
        <v>#DIV/0!</v>
      </c>
      <c r="AA63" s="61" t="e">
        <f t="shared" si="5"/>
        <v>#DIV/0!</v>
      </c>
      <c r="AB63" s="62" t="e">
        <f t="shared" si="6"/>
        <v>#DIV/0!</v>
      </c>
      <c r="AC63" s="87" t="s">
        <v>211</v>
      </c>
      <c r="AD63" s="88">
        <v>12</v>
      </c>
      <c r="AE63" s="90"/>
      <c r="AF63" s="92"/>
      <c r="AG63" s="92"/>
      <c r="AH63" s="92"/>
    </row>
    <row r="64" spans="1:34" ht="16.5" customHeight="1" thickBot="1">
      <c r="A64" s="67">
        <v>62</v>
      </c>
      <c r="B64" s="68" t="s">
        <v>212</v>
      </c>
      <c r="C64" s="68" t="s">
        <v>213</v>
      </c>
      <c r="D64" s="69">
        <v>6</v>
      </c>
      <c r="E64" s="70">
        <v>5</v>
      </c>
      <c r="F64" s="70">
        <v>8</v>
      </c>
      <c r="G64" s="71">
        <f t="shared" si="7"/>
        <v>6.333333333333333</v>
      </c>
      <c r="H64" s="72">
        <v>6.5</v>
      </c>
      <c r="I64" s="73">
        <v>9</v>
      </c>
      <c r="J64" s="74">
        <v>5.5</v>
      </c>
      <c r="K64" s="74">
        <v>5</v>
      </c>
      <c r="L64" s="75">
        <v>6.5</v>
      </c>
      <c r="M64" s="76">
        <f t="shared" si="8"/>
        <v>5.666666666666667</v>
      </c>
      <c r="N64" s="77">
        <f t="shared" si="12"/>
        <v>71.148148148148152</v>
      </c>
      <c r="O64" s="78">
        <v>6.5</v>
      </c>
      <c r="P64" s="79">
        <v>6</v>
      </c>
      <c r="Q64" s="80">
        <f t="shared" si="13"/>
        <v>6.25</v>
      </c>
      <c r="R64" s="87" t="s">
        <v>214</v>
      </c>
      <c r="S64" s="81">
        <v>6.5</v>
      </c>
      <c r="T64" s="82"/>
      <c r="U64" s="83"/>
      <c r="V64" s="84"/>
      <c r="W64" s="84"/>
      <c r="X64" s="84"/>
      <c r="Y64" s="85"/>
      <c r="Z64" s="86">
        <f t="shared" si="11"/>
        <v>31.675925925925927</v>
      </c>
      <c r="AA64" s="61">
        <f t="shared" si="5"/>
        <v>2</v>
      </c>
      <c r="AB64" s="62">
        <f t="shared" si="6"/>
        <v>2</v>
      </c>
      <c r="AC64" s="87" t="s">
        <v>214</v>
      </c>
      <c r="AD64" s="88">
        <v>5</v>
      </c>
      <c r="AE64" s="90"/>
      <c r="AF64" s="92"/>
      <c r="AG64" s="92"/>
      <c r="AH64" s="92"/>
    </row>
    <row r="65" spans="1:34" ht="16.5" customHeight="1" thickBot="1">
      <c r="A65" s="67">
        <v>63</v>
      </c>
      <c r="B65" s="68" t="s">
        <v>215</v>
      </c>
      <c r="C65" s="68" t="s">
        <v>216</v>
      </c>
      <c r="D65" s="69">
        <v>5</v>
      </c>
      <c r="E65" s="70">
        <v>5</v>
      </c>
      <c r="F65" s="70">
        <v>7.5</v>
      </c>
      <c r="G65" s="71">
        <f t="shared" si="7"/>
        <v>5.833333333333333</v>
      </c>
      <c r="H65" s="72">
        <v>6</v>
      </c>
      <c r="I65" s="98">
        <v>2</v>
      </c>
      <c r="J65" s="99">
        <v>5</v>
      </c>
      <c r="K65" s="99">
        <v>5</v>
      </c>
      <c r="L65" s="100">
        <v>6.5</v>
      </c>
      <c r="M65" s="76">
        <f t="shared" si="8"/>
        <v>5.5</v>
      </c>
      <c r="N65" s="77">
        <f t="shared" si="12"/>
        <v>54.555555555555557</v>
      </c>
      <c r="O65" s="78"/>
      <c r="P65" s="79"/>
      <c r="Q65" s="80" t="e">
        <f t="shared" si="13"/>
        <v>#DIV/0!</v>
      </c>
      <c r="R65" s="87" t="s">
        <v>217</v>
      </c>
      <c r="S65" s="89">
        <v>0</v>
      </c>
      <c r="T65" s="104"/>
      <c r="U65" s="83"/>
      <c r="V65" s="84"/>
      <c r="W65" s="84"/>
      <c r="X65" s="84"/>
      <c r="Y65" s="85"/>
      <c r="Z65" s="86" t="e">
        <f t="shared" si="11"/>
        <v>#DIV/0!</v>
      </c>
      <c r="AA65" s="61" t="e">
        <f t="shared" si="5"/>
        <v>#DIV/0!</v>
      </c>
      <c r="AB65" s="62" t="e">
        <f t="shared" si="6"/>
        <v>#DIV/0!</v>
      </c>
      <c r="AC65" s="87" t="s">
        <v>217</v>
      </c>
      <c r="AD65" s="88">
        <v>12</v>
      </c>
      <c r="AE65" s="90"/>
      <c r="AF65" s="92"/>
      <c r="AG65" s="92"/>
      <c r="AH65" s="92"/>
    </row>
    <row r="66" spans="1:34" ht="16.5" customHeight="1" thickBot="1">
      <c r="A66" s="67">
        <v>64</v>
      </c>
      <c r="B66" s="68" t="s">
        <v>218</v>
      </c>
      <c r="C66" s="68" t="s">
        <v>219</v>
      </c>
      <c r="D66" s="69">
        <v>6</v>
      </c>
      <c r="E66" s="70">
        <v>6</v>
      </c>
      <c r="F66" s="70">
        <v>7.5</v>
      </c>
      <c r="G66" s="71">
        <f t="shared" si="7"/>
        <v>6.5</v>
      </c>
      <c r="H66" s="72">
        <v>6.5</v>
      </c>
      <c r="I66" s="98">
        <v>7</v>
      </c>
      <c r="J66" s="99">
        <v>6</v>
      </c>
      <c r="K66" s="99">
        <v>5.5</v>
      </c>
      <c r="L66" s="100">
        <v>7</v>
      </c>
      <c r="M66" s="76">
        <f t="shared" si="8"/>
        <v>6.166666666666667</v>
      </c>
      <c r="N66" s="77">
        <f t="shared" si="12"/>
        <v>69.925925925925938</v>
      </c>
      <c r="O66" s="78">
        <v>5.5</v>
      </c>
      <c r="P66" s="79">
        <v>5</v>
      </c>
      <c r="Q66" s="80">
        <f t="shared" si="13"/>
        <v>5.25</v>
      </c>
      <c r="R66" s="87" t="s">
        <v>220</v>
      </c>
      <c r="S66" s="81">
        <v>5.5</v>
      </c>
      <c r="T66" s="104"/>
      <c r="U66" s="83"/>
      <c r="V66" s="84"/>
      <c r="W66" s="84"/>
      <c r="X66" s="84"/>
      <c r="Y66" s="85"/>
      <c r="Z66" s="86">
        <f t="shared" si="11"/>
        <v>29.148148148148152</v>
      </c>
      <c r="AA66" s="61">
        <f t="shared" si="5"/>
        <v>2</v>
      </c>
      <c r="AB66" s="62">
        <f t="shared" si="6"/>
        <v>2</v>
      </c>
      <c r="AC66" s="87" t="s">
        <v>220</v>
      </c>
      <c r="AD66" s="88">
        <v>1</v>
      </c>
      <c r="AE66" s="90"/>
      <c r="AF66" s="92"/>
      <c r="AG66" s="92"/>
      <c r="AH66" s="92"/>
    </row>
    <row r="67" spans="1:34" ht="16.5" customHeight="1" thickBot="1">
      <c r="A67" s="67">
        <v>65</v>
      </c>
      <c r="B67" s="68" t="s">
        <v>221</v>
      </c>
      <c r="C67" s="68" t="s">
        <v>222</v>
      </c>
      <c r="D67" s="69">
        <v>5.5</v>
      </c>
      <c r="E67" s="70">
        <v>5</v>
      </c>
      <c r="F67" s="70">
        <v>7.5</v>
      </c>
      <c r="G67" s="71">
        <f t="shared" si="7"/>
        <v>6</v>
      </c>
      <c r="H67" s="72">
        <v>6</v>
      </c>
      <c r="I67" s="98">
        <v>6</v>
      </c>
      <c r="J67" s="99">
        <v>6</v>
      </c>
      <c r="K67" s="99">
        <v>4</v>
      </c>
      <c r="L67" s="100">
        <v>6.5</v>
      </c>
      <c r="M67" s="76">
        <f t="shared" si="8"/>
        <v>5.5</v>
      </c>
      <c r="N67" s="77">
        <f t="shared" si="12"/>
        <v>62.555555555555557</v>
      </c>
      <c r="O67" s="78">
        <v>6.5</v>
      </c>
      <c r="P67" s="110">
        <v>4.5</v>
      </c>
      <c r="Q67" s="80">
        <f t="shared" si="13"/>
        <v>5.5</v>
      </c>
      <c r="R67" s="87" t="s">
        <v>223</v>
      </c>
      <c r="S67" s="89">
        <v>5.5</v>
      </c>
      <c r="T67" s="104"/>
      <c r="U67" s="83"/>
      <c r="V67" s="84"/>
      <c r="W67" s="84"/>
      <c r="X67" s="84"/>
      <c r="Y67" s="85"/>
      <c r="Z67" s="86">
        <f t="shared" si="11"/>
        <v>27.861111111111114</v>
      </c>
      <c r="AA67" s="61">
        <f t="shared" si="5"/>
        <v>2</v>
      </c>
      <c r="AB67" s="62">
        <f t="shared" si="6"/>
        <v>2</v>
      </c>
      <c r="AC67" s="87" t="s">
        <v>223</v>
      </c>
      <c r="AD67" s="88">
        <v>8</v>
      </c>
      <c r="AE67" s="90"/>
      <c r="AF67" s="92"/>
      <c r="AG67" s="92"/>
      <c r="AH67" s="92"/>
    </row>
    <row r="68" spans="1:34" ht="16.5" customHeight="1" thickBot="1">
      <c r="A68" s="67">
        <v>66</v>
      </c>
      <c r="B68" s="68" t="s">
        <v>224</v>
      </c>
      <c r="C68" s="68" t="s">
        <v>225</v>
      </c>
      <c r="D68" s="69">
        <v>5</v>
      </c>
      <c r="E68" s="70">
        <v>4</v>
      </c>
      <c r="F68" s="70">
        <v>6.5</v>
      </c>
      <c r="G68" s="71">
        <f t="shared" si="7"/>
        <v>5.166666666666667</v>
      </c>
      <c r="H68" s="72">
        <v>5</v>
      </c>
      <c r="I68" s="98">
        <v>5</v>
      </c>
      <c r="J68" s="99">
        <v>5.5</v>
      </c>
      <c r="K68" s="99">
        <v>4</v>
      </c>
      <c r="L68" s="100">
        <v>6.5</v>
      </c>
      <c r="M68" s="76">
        <f t="shared" si="8"/>
        <v>5.333333333333333</v>
      </c>
      <c r="N68" s="77">
        <f t="shared" si="12"/>
        <v>56.296296296296291</v>
      </c>
      <c r="O68" s="78"/>
      <c r="P68" s="79"/>
      <c r="Q68" s="80" t="e">
        <f t="shared" si="13"/>
        <v>#DIV/0!</v>
      </c>
      <c r="R68" s="87" t="s">
        <v>226</v>
      </c>
      <c r="S68" s="89">
        <v>0</v>
      </c>
      <c r="T68" s="104"/>
      <c r="U68" s="83"/>
      <c r="V68" s="84"/>
      <c r="W68" s="84"/>
      <c r="X68" s="84"/>
      <c r="Y68" s="85"/>
      <c r="Z68" s="86" t="e">
        <f t="shared" si="11"/>
        <v>#DIV/0!</v>
      </c>
      <c r="AA68" s="61" t="e">
        <f t="shared" ref="AA68:AA131" si="14">IF(Z68&gt;AF$10,AG$10,IF(Z68&gt;AF$9,AG$9,IF(Z68&gt;AF$8,AG$8,IF(Z68&gt;AF$7,AG$7,IF(Z68&gt;AF$6,AG$6,IF(Z68&gt;AF$5,AG$5,IF(Z68&gt;AF$4,AG$4,IF(Z68&gt;AF$3,AG$3,IF(Z68&gt;AF$2,AG$2)))))))))</f>
        <v>#DIV/0!</v>
      </c>
      <c r="AB68" s="62" t="e">
        <f t="shared" ref="AB68:AB131" si="15">VLOOKUP(AA68,AG$2:AH$10,2,FALSE)</f>
        <v>#DIV/0!</v>
      </c>
      <c r="AC68" s="87" t="s">
        <v>226</v>
      </c>
      <c r="AD68" s="88">
        <v>8</v>
      </c>
      <c r="AE68" s="90"/>
      <c r="AF68" s="92"/>
      <c r="AG68" s="92"/>
      <c r="AH68" s="92"/>
    </row>
    <row r="69" spans="1:34" ht="16.5" customHeight="1" thickBot="1">
      <c r="A69" s="67">
        <v>67</v>
      </c>
      <c r="B69" s="68" t="s">
        <v>227</v>
      </c>
      <c r="C69" s="68" t="s">
        <v>228</v>
      </c>
      <c r="D69" s="69">
        <v>5.5</v>
      </c>
      <c r="E69" s="70">
        <v>5.5</v>
      </c>
      <c r="F69" s="70">
        <v>7</v>
      </c>
      <c r="G69" s="71">
        <f t="shared" si="7"/>
        <v>6</v>
      </c>
      <c r="H69" s="72">
        <v>6</v>
      </c>
      <c r="I69" s="98">
        <v>6</v>
      </c>
      <c r="J69" s="99">
        <v>7</v>
      </c>
      <c r="K69" s="99">
        <v>4.5</v>
      </c>
      <c r="L69" s="100">
        <v>6</v>
      </c>
      <c r="M69" s="76">
        <f t="shared" si="8"/>
        <v>5.833333333333333</v>
      </c>
      <c r="N69" s="77">
        <f t="shared" si="12"/>
        <v>64.407407407407405</v>
      </c>
      <c r="O69" s="78">
        <v>5.5</v>
      </c>
      <c r="P69" s="110">
        <v>5.5</v>
      </c>
      <c r="Q69" s="80">
        <f t="shared" si="13"/>
        <v>5.5</v>
      </c>
      <c r="R69" s="87" t="s">
        <v>229</v>
      </c>
      <c r="S69" s="81">
        <v>5.5</v>
      </c>
      <c r="T69" s="104"/>
      <c r="U69" s="83"/>
      <c r="V69" s="84"/>
      <c r="W69" s="84"/>
      <c r="X69" s="84"/>
      <c r="Y69" s="85"/>
      <c r="Z69" s="86">
        <f t="shared" si="11"/>
        <v>28.324074074074076</v>
      </c>
      <c r="AA69" s="61">
        <f t="shared" si="14"/>
        <v>2</v>
      </c>
      <c r="AB69" s="62">
        <f t="shared" si="15"/>
        <v>2</v>
      </c>
      <c r="AC69" s="87" t="s">
        <v>229</v>
      </c>
      <c r="AD69" s="88">
        <v>16</v>
      </c>
      <c r="AE69" s="90"/>
      <c r="AF69" s="92"/>
      <c r="AG69" s="92"/>
      <c r="AH69" s="92"/>
    </row>
    <row r="70" spans="1:34" ht="16.5" customHeight="1" thickBot="1">
      <c r="A70" s="67">
        <v>68</v>
      </c>
      <c r="B70" s="68" t="s">
        <v>230</v>
      </c>
      <c r="C70" s="68" t="s">
        <v>231</v>
      </c>
      <c r="D70" s="69">
        <v>7.5</v>
      </c>
      <c r="E70" s="70">
        <v>7</v>
      </c>
      <c r="F70" s="70">
        <v>7.5</v>
      </c>
      <c r="G70" s="71">
        <f t="shared" si="7"/>
        <v>7.333333333333333</v>
      </c>
      <c r="H70" s="72">
        <v>7.5</v>
      </c>
      <c r="I70" s="73">
        <v>6</v>
      </c>
      <c r="J70" s="74">
        <v>5</v>
      </c>
      <c r="K70" s="74">
        <v>5</v>
      </c>
      <c r="L70" s="75">
        <v>6.5</v>
      </c>
      <c r="M70" s="76">
        <f t="shared" si="8"/>
        <v>5.5</v>
      </c>
      <c r="N70" s="77">
        <f t="shared" si="12"/>
        <v>67.555555555555557</v>
      </c>
      <c r="O70" s="78">
        <v>5</v>
      </c>
      <c r="P70" s="110">
        <v>5.5</v>
      </c>
      <c r="Q70" s="80">
        <f t="shared" si="13"/>
        <v>5.25</v>
      </c>
      <c r="R70" s="87" t="s">
        <v>232</v>
      </c>
      <c r="S70" s="89">
        <v>5.5</v>
      </c>
      <c r="T70" s="82"/>
      <c r="U70" s="83"/>
      <c r="V70" s="84"/>
      <c r="W70" s="84"/>
      <c r="X70" s="84"/>
      <c r="Y70" s="85"/>
      <c r="Z70" s="86">
        <f t="shared" si="11"/>
        <v>28.555555555555557</v>
      </c>
      <c r="AA70" s="61">
        <f t="shared" si="14"/>
        <v>2</v>
      </c>
      <c r="AB70" s="62">
        <f t="shared" si="15"/>
        <v>2</v>
      </c>
      <c r="AC70" s="87" t="s">
        <v>232</v>
      </c>
      <c r="AD70" s="88">
        <v>1</v>
      </c>
      <c r="AE70" s="90"/>
      <c r="AF70" s="92"/>
      <c r="AG70" s="92"/>
      <c r="AH70" s="92"/>
    </row>
    <row r="71" spans="1:34" ht="16.5" customHeight="1" thickBot="1">
      <c r="A71" s="67">
        <v>69</v>
      </c>
      <c r="B71" s="68" t="s">
        <v>233</v>
      </c>
      <c r="C71" s="68" t="s">
        <v>234</v>
      </c>
      <c r="D71" s="69">
        <v>4.5</v>
      </c>
      <c r="E71" s="70">
        <v>6</v>
      </c>
      <c r="F71" s="70">
        <v>6</v>
      </c>
      <c r="G71" s="71">
        <f t="shared" si="7"/>
        <v>5.5</v>
      </c>
      <c r="H71" s="72">
        <v>5.5</v>
      </c>
      <c r="I71" s="73">
        <v>0</v>
      </c>
      <c r="J71" s="74">
        <v>5.5</v>
      </c>
      <c r="K71" s="74">
        <v>4.5</v>
      </c>
      <c r="L71" s="75">
        <v>5</v>
      </c>
      <c r="M71" s="76">
        <f t="shared" si="8"/>
        <v>5</v>
      </c>
      <c r="N71" s="77">
        <f t="shared" si="12"/>
        <v>46.111111111111114</v>
      </c>
      <c r="O71" s="78"/>
      <c r="P71" s="79"/>
      <c r="Q71" s="80" t="e">
        <f t="shared" si="13"/>
        <v>#DIV/0!</v>
      </c>
      <c r="R71" s="87" t="s">
        <v>235</v>
      </c>
      <c r="S71" s="89">
        <v>0</v>
      </c>
      <c r="T71" s="82"/>
      <c r="U71" s="83"/>
      <c r="V71" s="84"/>
      <c r="W71" s="84"/>
      <c r="X71" s="84"/>
      <c r="Y71" s="85"/>
      <c r="Z71" s="86" t="e">
        <f t="shared" si="11"/>
        <v>#DIV/0!</v>
      </c>
      <c r="AA71" s="61" t="e">
        <f t="shared" si="14"/>
        <v>#DIV/0!</v>
      </c>
      <c r="AB71" s="62" t="e">
        <f t="shared" si="15"/>
        <v>#DIV/0!</v>
      </c>
      <c r="AC71" s="87" t="s">
        <v>235</v>
      </c>
      <c r="AD71" s="88">
        <v>12</v>
      </c>
      <c r="AE71" s="90"/>
      <c r="AF71" s="92"/>
      <c r="AG71" s="92"/>
      <c r="AH71" s="92"/>
    </row>
    <row r="72" spans="1:34" ht="16.5" customHeight="1" thickBot="1">
      <c r="A72" s="67">
        <v>70</v>
      </c>
      <c r="B72" s="68" t="s">
        <v>236</v>
      </c>
      <c r="C72" s="68" t="s">
        <v>237</v>
      </c>
      <c r="D72" s="69">
        <v>5</v>
      </c>
      <c r="E72" s="70">
        <v>5.5</v>
      </c>
      <c r="F72" s="70">
        <v>7</v>
      </c>
      <c r="G72" s="71">
        <f t="shared" si="7"/>
        <v>5.833333333333333</v>
      </c>
      <c r="H72" s="72">
        <v>6</v>
      </c>
      <c r="I72" s="73">
        <v>9</v>
      </c>
      <c r="J72" s="74">
        <v>5.5</v>
      </c>
      <c r="K72" s="74">
        <v>4.5</v>
      </c>
      <c r="L72" s="75">
        <v>6.5</v>
      </c>
      <c r="M72" s="76">
        <f t="shared" si="8"/>
        <v>5.5</v>
      </c>
      <c r="N72" s="77">
        <f t="shared" si="12"/>
        <v>68.555555555555557</v>
      </c>
      <c r="O72" s="78">
        <v>6</v>
      </c>
      <c r="P72" s="110">
        <v>5.5</v>
      </c>
      <c r="Q72" s="80">
        <f t="shared" si="13"/>
        <v>5.75</v>
      </c>
      <c r="R72" s="87" t="s">
        <v>238</v>
      </c>
      <c r="S72" s="89">
        <v>6</v>
      </c>
      <c r="T72" s="82"/>
      <c r="U72" s="83"/>
      <c r="V72" s="84"/>
      <c r="W72" s="84"/>
      <c r="X72" s="84"/>
      <c r="Y72" s="85"/>
      <c r="Z72" s="86">
        <f t="shared" si="11"/>
        <v>29.916666666666668</v>
      </c>
      <c r="AA72" s="61">
        <f t="shared" si="14"/>
        <v>2</v>
      </c>
      <c r="AB72" s="62">
        <f t="shared" si="15"/>
        <v>2</v>
      </c>
      <c r="AC72" s="87" t="s">
        <v>238</v>
      </c>
      <c r="AD72" s="88">
        <v>1</v>
      </c>
      <c r="AE72" s="90"/>
      <c r="AF72" s="92"/>
      <c r="AG72" s="92"/>
      <c r="AH72" s="92"/>
    </row>
    <row r="73" spans="1:34" ht="16.5" customHeight="1" thickBot="1">
      <c r="A73" s="67">
        <v>71</v>
      </c>
      <c r="B73" s="68" t="s">
        <v>239</v>
      </c>
      <c r="C73" s="68" t="s">
        <v>240</v>
      </c>
      <c r="D73" s="69">
        <v>7</v>
      </c>
      <c r="E73" s="70">
        <v>6.5</v>
      </c>
      <c r="F73" s="70">
        <v>8</v>
      </c>
      <c r="G73" s="71">
        <f t="shared" si="7"/>
        <v>7.166666666666667</v>
      </c>
      <c r="H73" s="72">
        <v>7</v>
      </c>
      <c r="I73" s="73">
        <v>5</v>
      </c>
      <c r="J73" s="74">
        <v>6.5</v>
      </c>
      <c r="K73" s="74">
        <v>6.5</v>
      </c>
      <c r="L73" s="75">
        <v>6.5</v>
      </c>
      <c r="M73" s="76">
        <f t="shared" si="8"/>
        <v>6.5</v>
      </c>
      <c r="N73" s="77">
        <f t="shared" si="12"/>
        <v>69.444444444444443</v>
      </c>
      <c r="O73" s="78">
        <v>7</v>
      </c>
      <c r="P73" s="110">
        <v>7.5</v>
      </c>
      <c r="Q73" s="80">
        <f t="shared" si="13"/>
        <v>7.25</v>
      </c>
      <c r="R73" s="87" t="s">
        <v>241</v>
      </c>
      <c r="S73" s="89">
        <v>7.5</v>
      </c>
      <c r="T73" s="82"/>
      <c r="U73" s="83"/>
      <c r="V73" s="84"/>
      <c r="W73" s="84"/>
      <c r="X73" s="84"/>
      <c r="Y73" s="85"/>
      <c r="Z73" s="86">
        <f t="shared" si="11"/>
        <v>33.472222222222221</v>
      </c>
      <c r="AA73" s="61">
        <f t="shared" si="14"/>
        <v>2</v>
      </c>
      <c r="AB73" s="62">
        <f t="shared" si="15"/>
        <v>2</v>
      </c>
      <c r="AC73" s="87" t="s">
        <v>241</v>
      </c>
      <c r="AD73" s="88">
        <v>11</v>
      </c>
      <c r="AE73" s="90"/>
      <c r="AF73" s="92"/>
      <c r="AG73" s="92"/>
      <c r="AH73" s="92"/>
    </row>
    <row r="74" spans="1:34" ht="16.5" customHeight="1" thickBot="1">
      <c r="A74" s="67">
        <v>72</v>
      </c>
      <c r="B74" s="68" t="s">
        <v>242</v>
      </c>
      <c r="C74" s="68" t="s">
        <v>243</v>
      </c>
      <c r="D74" s="69">
        <v>4.5</v>
      </c>
      <c r="E74" s="70">
        <v>5</v>
      </c>
      <c r="F74" s="70">
        <v>7</v>
      </c>
      <c r="G74" s="71">
        <f t="shared" si="7"/>
        <v>5.5</v>
      </c>
      <c r="H74" s="72">
        <v>5.5</v>
      </c>
      <c r="I74" s="73">
        <v>6</v>
      </c>
      <c r="J74" s="74">
        <v>3</v>
      </c>
      <c r="K74" s="74">
        <v>3.5</v>
      </c>
      <c r="L74" s="75">
        <v>5.5</v>
      </c>
      <c r="M74" s="76">
        <f t="shared" si="8"/>
        <v>4</v>
      </c>
      <c r="N74" s="77">
        <f t="shared" si="12"/>
        <v>52.555555555555557</v>
      </c>
      <c r="O74" s="78">
        <v>5</v>
      </c>
      <c r="P74" s="110">
        <v>3.5</v>
      </c>
      <c r="Q74" s="80">
        <f t="shared" si="13"/>
        <v>4.25</v>
      </c>
      <c r="R74" s="87" t="s">
        <v>244</v>
      </c>
      <c r="S74" s="89">
        <v>4.5</v>
      </c>
      <c r="T74" s="82"/>
      <c r="U74" s="83"/>
      <c r="V74" s="84"/>
      <c r="W74" s="84"/>
      <c r="X74" s="84"/>
      <c r="Y74" s="85"/>
      <c r="Z74" s="86">
        <f t="shared" si="11"/>
        <v>22.583333333333336</v>
      </c>
      <c r="AA74" s="61">
        <f t="shared" si="14"/>
        <v>2</v>
      </c>
      <c r="AB74" s="62">
        <f t="shared" si="15"/>
        <v>2</v>
      </c>
      <c r="AC74" s="87" t="s">
        <v>244</v>
      </c>
      <c r="AD74" s="88">
        <v>2</v>
      </c>
      <c r="AE74" s="90"/>
      <c r="AF74" s="92"/>
      <c r="AG74" s="92"/>
      <c r="AH74" s="92"/>
    </row>
    <row r="75" spans="1:34" ht="16.5" customHeight="1" thickBot="1">
      <c r="A75" s="67">
        <v>73</v>
      </c>
      <c r="B75" s="68" t="s">
        <v>245</v>
      </c>
      <c r="C75" s="68" t="s">
        <v>246</v>
      </c>
      <c r="D75" s="69">
        <v>5</v>
      </c>
      <c r="E75" s="70">
        <v>6</v>
      </c>
      <c r="F75" s="70">
        <v>7</v>
      </c>
      <c r="G75" s="71">
        <f t="shared" si="7"/>
        <v>6</v>
      </c>
      <c r="H75" s="72">
        <v>6</v>
      </c>
      <c r="I75" s="73">
        <v>10</v>
      </c>
      <c r="J75" s="74">
        <v>4</v>
      </c>
      <c r="K75" s="74">
        <v>4</v>
      </c>
      <c r="L75" s="75">
        <v>5.5</v>
      </c>
      <c r="M75" s="76">
        <f t="shared" si="8"/>
        <v>4.5</v>
      </c>
      <c r="N75" s="77">
        <f t="shared" si="12"/>
        <v>65</v>
      </c>
      <c r="O75" s="78">
        <v>6</v>
      </c>
      <c r="P75" s="110">
        <v>5.5</v>
      </c>
      <c r="Q75" s="80">
        <f t="shared" si="13"/>
        <v>5.75</v>
      </c>
      <c r="R75" s="87" t="s">
        <v>247</v>
      </c>
      <c r="S75" s="89">
        <v>6</v>
      </c>
      <c r="T75" s="82"/>
      <c r="U75" s="83"/>
      <c r="V75" s="84"/>
      <c r="W75" s="84"/>
      <c r="X75" s="84"/>
      <c r="Y75" s="85"/>
      <c r="Z75" s="86">
        <f t="shared" si="11"/>
        <v>29.027777777777779</v>
      </c>
      <c r="AA75" s="61">
        <f t="shared" si="14"/>
        <v>2</v>
      </c>
      <c r="AB75" s="62">
        <f t="shared" si="15"/>
        <v>2</v>
      </c>
      <c r="AC75" s="87" t="s">
        <v>247</v>
      </c>
      <c r="AD75" s="88">
        <v>3</v>
      </c>
      <c r="AE75" s="90"/>
      <c r="AF75" s="92"/>
      <c r="AG75" s="92"/>
      <c r="AH75" s="92"/>
    </row>
    <row r="76" spans="1:34" ht="16.5" customHeight="1" thickBot="1">
      <c r="A76" s="67">
        <v>74</v>
      </c>
      <c r="B76" s="68" t="s">
        <v>248</v>
      </c>
      <c r="C76" s="68" t="s">
        <v>249</v>
      </c>
      <c r="D76" s="69">
        <v>8</v>
      </c>
      <c r="E76" s="70">
        <v>6</v>
      </c>
      <c r="F76" s="70">
        <v>9</v>
      </c>
      <c r="G76" s="71">
        <f t="shared" si="7"/>
        <v>7.666666666666667</v>
      </c>
      <c r="H76" s="72">
        <v>7.5</v>
      </c>
      <c r="I76" s="73">
        <v>9</v>
      </c>
      <c r="J76" s="74">
        <v>5.5</v>
      </c>
      <c r="K76" s="74">
        <v>5</v>
      </c>
      <c r="L76" s="75">
        <v>6</v>
      </c>
      <c r="M76" s="76">
        <f t="shared" si="8"/>
        <v>5.5</v>
      </c>
      <c r="N76" s="77">
        <f t="shared" si="12"/>
        <v>73.555555555555557</v>
      </c>
      <c r="O76" s="78">
        <v>7.5</v>
      </c>
      <c r="P76" s="79">
        <v>8</v>
      </c>
      <c r="Q76" s="80">
        <f t="shared" si="13"/>
        <v>7.75</v>
      </c>
      <c r="R76" s="87" t="s">
        <v>250</v>
      </c>
      <c r="S76" s="89">
        <v>8</v>
      </c>
      <c r="T76" s="82"/>
      <c r="U76" s="83"/>
      <c r="V76" s="84"/>
      <c r="W76" s="84"/>
      <c r="X76" s="84"/>
      <c r="Y76" s="85"/>
      <c r="Z76" s="86">
        <f t="shared" si="11"/>
        <v>35.611111111111114</v>
      </c>
      <c r="AA76" s="61">
        <f t="shared" si="14"/>
        <v>4</v>
      </c>
      <c r="AB76" s="62">
        <f t="shared" si="15"/>
        <v>3</v>
      </c>
      <c r="AC76" s="87" t="s">
        <v>250</v>
      </c>
      <c r="AD76" s="108" t="s">
        <v>113</v>
      </c>
      <c r="AE76" s="90"/>
      <c r="AF76" s="92"/>
      <c r="AG76" s="92"/>
      <c r="AH76" s="92"/>
    </row>
    <row r="77" spans="1:34" ht="16.5" customHeight="1" thickBot="1">
      <c r="A77" s="67">
        <v>75</v>
      </c>
      <c r="B77" s="68" t="s">
        <v>251</v>
      </c>
      <c r="C77" s="68" t="s">
        <v>252</v>
      </c>
      <c r="D77" s="69">
        <v>6.5</v>
      </c>
      <c r="E77" s="70">
        <v>7</v>
      </c>
      <c r="F77" s="70">
        <v>7.5</v>
      </c>
      <c r="G77" s="71">
        <f t="shared" si="7"/>
        <v>7</v>
      </c>
      <c r="H77" s="72">
        <v>7</v>
      </c>
      <c r="I77" s="73">
        <v>9</v>
      </c>
      <c r="J77" s="74">
        <v>7.5</v>
      </c>
      <c r="K77" s="74">
        <v>5.5</v>
      </c>
      <c r="L77" s="75">
        <v>7.5</v>
      </c>
      <c r="M77" s="76">
        <f t="shared" si="8"/>
        <v>6.833333333333333</v>
      </c>
      <c r="N77" s="77">
        <f t="shared" si="12"/>
        <v>79.296296296296291</v>
      </c>
      <c r="O77" s="78"/>
      <c r="P77" s="79"/>
      <c r="Q77" s="80" t="e">
        <f t="shared" si="13"/>
        <v>#DIV/0!</v>
      </c>
      <c r="R77" s="87" t="s">
        <v>253</v>
      </c>
      <c r="S77" s="89">
        <v>0</v>
      </c>
      <c r="T77" s="82"/>
      <c r="U77" s="83"/>
      <c r="V77" s="84"/>
      <c r="W77" s="84"/>
      <c r="X77" s="84"/>
      <c r="Y77" s="85"/>
      <c r="Z77" s="86" t="e">
        <f t="shared" si="11"/>
        <v>#DIV/0!</v>
      </c>
      <c r="AA77" s="61" t="e">
        <f t="shared" si="14"/>
        <v>#DIV/0!</v>
      </c>
      <c r="AB77" s="62" t="e">
        <f t="shared" si="15"/>
        <v>#DIV/0!</v>
      </c>
      <c r="AC77" s="87" t="s">
        <v>253</v>
      </c>
      <c r="AD77" s="108" t="s">
        <v>113</v>
      </c>
      <c r="AE77" s="90"/>
      <c r="AF77" s="92"/>
      <c r="AG77" s="92"/>
      <c r="AH77" s="92"/>
    </row>
    <row r="78" spans="1:34" ht="16.5" customHeight="1" thickBot="1">
      <c r="A78" s="67">
        <v>76</v>
      </c>
      <c r="B78" s="68" t="s">
        <v>254</v>
      </c>
      <c r="C78" s="68" t="s">
        <v>255</v>
      </c>
      <c r="D78" s="69">
        <v>5</v>
      </c>
      <c r="E78" s="70">
        <v>5.5</v>
      </c>
      <c r="F78" s="70">
        <v>7</v>
      </c>
      <c r="G78" s="71">
        <f t="shared" ref="G78:G141" si="16">IFERROR(AVERAGE(D78:F78),)</f>
        <v>5.833333333333333</v>
      </c>
      <c r="H78" s="72">
        <v>6</v>
      </c>
      <c r="I78" s="73">
        <v>4</v>
      </c>
      <c r="J78" s="74">
        <v>4.5</v>
      </c>
      <c r="K78" s="74">
        <v>4</v>
      </c>
      <c r="L78" s="75">
        <v>6.5</v>
      </c>
      <c r="M78" s="76">
        <f t="shared" ref="M78:M141" si="17">AVERAGE(J78:L78)</f>
        <v>5</v>
      </c>
      <c r="N78" s="77">
        <f t="shared" si="12"/>
        <v>55.777777777777779</v>
      </c>
      <c r="O78" s="78">
        <v>5</v>
      </c>
      <c r="P78" s="110">
        <v>4.5</v>
      </c>
      <c r="Q78" s="80">
        <f t="shared" si="13"/>
        <v>4.75</v>
      </c>
      <c r="R78" s="87" t="s">
        <v>256</v>
      </c>
      <c r="S78" s="89">
        <v>5</v>
      </c>
      <c r="T78" s="82"/>
      <c r="U78" s="83"/>
      <c r="V78" s="84"/>
      <c r="W78" s="84"/>
      <c r="X78" s="84"/>
      <c r="Y78" s="85"/>
      <c r="Z78" s="86">
        <f t="shared" ref="Z78:Z141" si="18">0.25*N78+0.15*T78*10+20/9*Q78+40/9*Y78</f>
        <v>24.5</v>
      </c>
      <c r="AA78" s="61">
        <f t="shared" si="14"/>
        <v>2</v>
      </c>
      <c r="AB78" s="62">
        <f t="shared" si="15"/>
        <v>2</v>
      </c>
      <c r="AC78" s="87" t="s">
        <v>256</v>
      </c>
      <c r="AD78" s="88">
        <v>3</v>
      </c>
      <c r="AE78" s="90"/>
      <c r="AF78" s="92"/>
      <c r="AG78" s="92"/>
      <c r="AH78" s="92"/>
    </row>
    <row r="79" spans="1:34" ht="16.5" customHeight="1" thickBot="1">
      <c r="A79" s="67">
        <v>77</v>
      </c>
      <c r="B79" s="68" t="s">
        <v>257</v>
      </c>
      <c r="C79" s="68" t="s">
        <v>258</v>
      </c>
      <c r="D79" s="69">
        <v>4.5</v>
      </c>
      <c r="E79" s="70">
        <v>6</v>
      </c>
      <c r="F79" s="70">
        <v>6.5</v>
      </c>
      <c r="G79" s="71">
        <f t="shared" si="16"/>
        <v>5.666666666666667</v>
      </c>
      <c r="H79" s="72">
        <v>5.5</v>
      </c>
      <c r="I79" s="73">
        <v>4</v>
      </c>
      <c r="J79" s="74">
        <v>5</v>
      </c>
      <c r="K79" s="74">
        <v>5</v>
      </c>
      <c r="L79" s="75">
        <v>4.5</v>
      </c>
      <c r="M79" s="76">
        <f t="shared" si="17"/>
        <v>4.833333333333333</v>
      </c>
      <c r="N79" s="77">
        <f t="shared" si="12"/>
        <v>53.185185185185183</v>
      </c>
      <c r="O79" s="78">
        <v>7.5</v>
      </c>
      <c r="P79" s="79">
        <v>5</v>
      </c>
      <c r="Q79" s="80">
        <f t="shared" si="13"/>
        <v>6.25</v>
      </c>
      <c r="R79" s="87" t="s">
        <v>259</v>
      </c>
      <c r="S79" s="81">
        <v>6.5</v>
      </c>
      <c r="T79" s="82"/>
      <c r="U79" s="83"/>
      <c r="V79" s="84"/>
      <c r="W79" s="84"/>
      <c r="X79" s="84"/>
      <c r="Y79" s="85"/>
      <c r="Z79" s="86">
        <f t="shared" si="18"/>
        <v>27.185185185185183</v>
      </c>
      <c r="AA79" s="61">
        <f t="shared" si="14"/>
        <v>2</v>
      </c>
      <c r="AB79" s="62">
        <f t="shared" si="15"/>
        <v>2</v>
      </c>
      <c r="AC79" s="87" t="s">
        <v>259</v>
      </c>
      <c r="AD79" s="88">
        <v>9</v>
      </c>
      <c r="AE79" s="90"/>
      <c r="AF79" s="92"/>
      <c r="AG79" s="92"/>
      <c r="AH79" s="92"/>
    </row>
    <row r="80" spans="1:34" ht="16.5" customHeight="1" thickBot="1">
      <c r="A80" s="67">
        <v>78</v>
      </c>
      <c r="B80" s="68" t="s">
        <v>260</v>
      </c>
      <c r="C80" s="68" t="s">
        <v>261</v>
      </c>
      <c r="D80" s="69">
        <v>6.5</v>
      </c>
      <c r="E80" s="70">
        <v>5</v>
      </c>
      <c r="F80" s="70">
        <v>7</v>
      </c>
      <c r="G80" s="71">
        <f t="shared" si="16"/>
        <v>6.166666666666667</v>
      </c>
      <c r="H80" s="72">
        <v>6</v>
      </c>
      <c r="I80" s="73">
        <v>6.5</v>
      </c>
      <c r="J80" s="74">
        <v>5.5</v>
      </c>
      <c r="K80" s="74">
        <v>4.5</v>
      </c>
      <c r="L80" s="75">
        <v>6</v>
      </c>
      <c r="M80" s="76">
        <f t="shared" si="17"/>
        <v>5.333333333333333</v>
      </c>
      <c r="N80" s="77">
        <f t="shared" si="12"/>
        <v>62.629629629629626</v>
      </c>
      <c r="O80" s="78">
        <v>6</v>
      </c>
      <c r="P80" s="110">
        <v>5.5</v>
      </c>
      <c r="Q80" s="80">
        <f t="shared" si="13"/>
        <v>5.75</v>
      </c>
      <c r="R80" s="87" t="s">
        <v>262</v>
      </c>
      <c r="S80" s="89">
        <v>6</v>
      </c>
      <c r="T80" s="82"/>
      <c r="U80" s="83"/>
      <c r="V80" s="84"/>
      <c r="W80" s="84"/>
      <c r="X80" s="84"/>
      <c r="Y80" s="85"/>
      <c r="Z80" s="86">
        <f t="shared" si="18"/>
        <v>28.435185185185183</v>
      </c>
      <c r="AA80" s="61">
        <f t="shared" si="14"/>
        <v>2</v>
      </c>
      <c r="AB80" s="62">
        <f t="shared" si="15"/>
        <v>2</v>
      </c>
      <c r="AC80" s="87" t="s">
        <v>262</v>
      </c>
      <c r="AD80" s="88">
        <v>7</v>
      </c>
      <c r="AE80" s="90"/>
      <c r="AF80" s="92"/>
      <c r="AG80" s="92"/>
      <c r="AH80" s="92"/>
    </row>
    <row r="81" spans="1:34" ht="16.5" customHeight="1" thickBot="1">
      <c r="A81" s="67">
        <v>79</v>
      </c>
      <c r="B81" s="68" t="s">
        <v>263</v>
      </c>
      <c r="C81" s="68" t="s">
        <v>264</v>
      </c>
      <c r="D81" s="69">
        <v>7</v>
      </c>
      <c r="E81" s="70">
        <v>5.5</v>
      </c>
      <c r="F81" s="70">
        <v>9</v>
      </c>
      <c r="G81" s="71">
        <f t="shared" si="16"/>
        <v>7.166666666666667</v>
      </c>
      <c r="H81" s="72">
        <v>7</v>
      </c>
      <c r="I81" s="73">
        <v>8</v>
      </c>
      <c r="J81" s="74">
        <v>6</v>
      </c>
      <c r="K81" s="74">
        <v>8.5</v>
      </c>
      <c r="L81" s="75">
        <v>6.5</v>
      </c>
      <c r="M81" s="76">
        <f t="shared" si="17"/>
        <v>7</v>
      </c>
      <c r="N81" s="77">
        <f t="shared" si="12"/>
        <v>78.222222222222214</v>
      </c>
      <c r="O81" s="78">
        <v>6</v>
      </c>
      <c r="P81" s="79">
        <v>6</v>
      </c>
      <c r="Q81" s="80">
        <f t="shared" si="13"/>
        <v>6</v>
      </c>
      <c r="R81" s="87" t="s">
        <v>265</v>
      </c>
      <c r="S81" s="89">
        <v>6</v>
      </c>
      <c r="T81" s="82"/>
      <c r="U81" s="83"/>
      <c r="V81" s="84"/>
      <c r="W81" s="84"/>
      <c r="X81" s="84"/>
      <c r="Y81" s="85"/>
      <c r="Z81" s="86">
        <f t="shared" si="18"/>
        <v>32.888888888888886</v>
      </c>
      <c r="AA81" s="61">
        <f t="shared" si="14"/>
        <v>2</v>
      </c>
      <c r="AB81" s="62">
        <f t="shared" si="15"/>
        <v>2</v>
      </c>
      <c r="AC81" s="87" t="s">
        <v>265</v>
      </c>
      <c r="AD81" s="108" t="s">
        <v>113</v>
      </c>
      <c r="AE81" s="90"/>
      <c r="AF81" s="92"/>
      <c r="AG81" s="92"/>
      <c r="AH81" s="92"/>
    </row>
    <row r="82" spans="1:34" ht="16.5" customHeight="1" thickBot="1">
      <c r="A82" s="67">
        <v>80</v>
      </c>
      <c r="B82" s="68" t="s">
        <v>266</v>
      </c>
      <c r="C82" s="68" t="s">
        <v>267</v>
      </c>
      <c r="D82" s="69">
        <v>4.5</v>
      </c>
      <c r="E82" s="70">
        <v>6</v>
      </c>
      <c r="F82" s="70">
        <v>7</v>
      </c>
      <c r="G82" s="71">
        <f t="shared" si="16"/>
        <v>5.833333333333333</v>
      </c>
      <c r="H82" s="72">
        <v>6</v>
      </c>
      <c r="I82" s="73">
        <v>7</v>
      </c>
      <c r="J82" s="74">
        <v>5.5</v>
      </c>
      <c r="K82" s="74">
        <v>5.5</v>
      </c>
      <c r="L82" s="75">
        <v>5.5</v>
      </c>
      <c r="M82" s="76">
        <f t="shared" si="17"/>
        <v>5.5</v>
      </c>
      <c r="N82" s="77">
        <f t="shared" si="12"/>
        <v>64.555555555555557</v>
      </c>
      <c r="O82" s="78">
        <v>6.5</v>
      </c>
      <c r="P82" s="79">
        <v>5.5</v>
      </c>
      <c r="Q82" s="80">
        <f t="shared" si="13"/>
        <v>6</v>
      </c>
      <c r="R82" s="87" t="s">
        <v>268</v>
      </c>
      <c r="S82" s="89">
        <v>6</v>
      </c>
      <c r="T82" s="82"/>
      <c r="U82" s="83"/>
      <c r="V82" s="84"/>
      <c r="W82" s="84"/>
      <c r="X82" s="84"/>
      <c r="Y82" s="85"/>
      <c r="Z82" s="86">
        <f t="shared" si="18"/>
        <v>29.472222222222221</v>
      </c>
      <c r="AA82" s="61">
        <f t="shared" si="14"/>
        <v>2</v>
      </c>
      <c r="AB82" s="62">
        <f t="shared" si="15"/>
        <v>2</v>
      </c>
      <c r="AC82" s="87" t="s">
        <v>268</v>
      </c>
      <c r="AD82" s="88">
        <v>13</v>
      </c>
      <c r="AE82" s="90"/>
      <c r="AF82" s="92"/>
      <c r="AG82" s="92"/>
      <c r="AH82" s="92"/>
    </row>
    <row r="83" spans="1:34" ht="16.5" customHeight="1" thickBot="1">
      <c r="A83" s="67">
        <v>81</v>
      </c>
      <c r="B83" s="68" t="s">
        <v>269</v>
      </c>
      <c r="C83" s="68" t="s">
        <v>270</v>
      </c>
      <c r="D83" s="69">
        <v>6</v>
      </c>
      <c r="E83" s="70">
        <v>5.5</v>
      </c>
      <c r="F83" s="70">
        <v>6.5</v>
      </c>
      <c r="G83" s="71">
        <f t="shared" si="16"/>
        <v>6</v>
      </c>
      <c r="H83" s="72">
        <v>6</v>
      </c>
      <c r="I83" s="73">
        <v>0</v>
      </c>
      <c r="J83" s="74">
        <v>5.5</v>
      </c>
      <c r="K83" s="74">
        <v>5.5</v>
      </c>
      <c r="L83" s="75">
        <v>2</v>
      </c>
      <c r="M83" s="76">
        <f t="shared" si="17"/>
        <v>4.333333333333333</v>
      </c>
      <c r="N83" s="77">
        <f t="shared" si="12"/>
        <v>44.074074074074076</v>
      </c>
      <c r="O83" s="78"/>
      <c r="P83" s="79"/>
      <c r="Q83" s="80" t="e">
        <f t="shared" si="13"/>
        <v>#DIV/0!</v>
      </c>
      <c r="R83" s="87" t="s">
        <v>271</v>
      </c>
      <c r="S83" s="89">
        <v>0</v>
      </c>
      <c r="T83" s="82"/>
      <c r="U83" s="83"/>
      <c r="V83" s="84"/>
      <c r="W83" s="84"/>
      <c r="X83" s="84"/>
      <c r="Y83" s="85"/>
      <c r="Z83" s="86" t="e">
        <f t="shared" si="18"/>
        <v>#DIV/0!</v>
      </c>
      <c r="AA83" s="61" t="e">
        <f t="shared" si="14"/>
        <v>#DIV/0!</v>
      </c>
      <c r="AB83" s="62" t="e">
        <f t="shared" si="15"/>
        <v>#DIV/0!</v>
      </c>
      <c r="AC83" s="87" t="s">
        <v>271</v>
      </c>
      <c r="AD83" s="88">
        <v>16</v>
      </c>
      <c r="AE83" s="90"/>
      <c r="AF83" s="92"/>
      <c r="AG83" s="92"/>
      <c r="AH83" s="92"/>
    </row>
    <row r="84" spans="1:34" ht="16.5" customHeight="1" thickBot="1">
      <c r="A84" s="67">
        <v>82</v>
      </c>
      <c r="B84" s="68" t="s">
        <v>272</v>
      </c>
      <c r="C84" s="68" t="s">
        <v>273</v>
      </c>
      <c r="D84" s="69">
        <v>6.5</v>
      </c>
      <c r="E84" s="70">
        <v>6</v>
      </c>
      <c r="F84" s="70">
        <v>7.5</v>
      </c>
      <c r="G84" s="71">
        <f t="shared" si="16"/>
        <v>6.666666666666667</v>
      </c>
      <c r="H84" s="72">
        <v>6.5</v>
      </c>
      <c r="I84" s="73">
        <v>7</v>
      </c>
      <c r="J84" s="74">
        <v>6.5</v>
      </c>
      <c r="K84" s="74">
        <v>6</v>
      </c>
      <c r="L84" s="75">
        <v>7</v>
      </c>
      <c r="M84" s="76">
        <f t="shared" si="17"/>
        <v>6.5</v>
      </c>
      <c r="N84" s="77">
        <f t="shared" si="12"/>
        <v>71.777777777777786</v>
      </c>
      <c r="O84" s="78">
        <v>7.5</v>
      </c>
      <c r="P84" s="110">
        <v>7.5</v>
      </c>
      <c r="Q84" s="80">
        <f t="shared" si="13"/>
        <v>7.5</v>
      </c>
      <c r="R84" s="87" t="s">
        <v>274</v>
      </c>
      <c r="S84" s="81">
        <v>7.5</v>
      </c>
      <c r="T84" s="82"/>
      <c r="U84" s="83"/>
      <c r="V84" s="84"/>
      <c r="W84" s="84"/>
      <c r="X84" s="84"/>
      <c r="Y84" s="85"/>
      <c r="Z84" s="86">
        <f t="shared" si="18"/>
        <v>34.611111111111114</v>
      </c>
      <c r="AA84" s="61">
        <f t="shared" si="14"/>
        <v>4</v>
      </c>
      <c r="AB84" s="62">
        <f t="shared" si="15"/>
        <v>3</v>
      </c>
      <c r="AC84" s="87" t="s">
        <v>274</v>
      </c>
      <c r="AD84" s="88">
        <v>13</v>
      </c>
      <c r="AE84" s="90"/>
      <c r="AF84" s="92"/>
      <c r="AG84" s="92"/>
      <c r="AH84" s="92"/>
    </row>
    <row r="85" spans="1:34" ht="16.5" customHeight="1" thickBot="1">
      <c r="A85" s="67">
        <v>83</v>
      </c>
      <c r="B85" s="68" t="s">
        <v>275</v>
      </c>
      <c r="C85" s="68" t="s">
        <v>276</v>
      </c>
      <c r="D85" s="69">
        <v>6</v>
      </c>
      <c r="E85" s="70">
        <v>6</v>
      </c>
      <c r="F85" s="70">
        <v>6.5</v>
      </c>
      <c r="G85" s="71">
        <f t="shared" si="16"/>
        <v>6.166666666666667</v>
      </c>
      <c r="H85" s="72">
        <v>6</v>
      </c>
      <c r="I85" s="73">
        <v>0</v>
      </c>
      <c r="J85" s="74">
        <v>6</v>
      </c>
      <c r="K85" s="74">
        <v>5</v>
      </c>
      <c r="L85" s="75">
        <v>6.5</v>
      </c>
      <c r="M85" s="76">
        <f t="shared" si="17"/>
        <v>5.833333333333333</v>
      </c>
      <c r="N85" s="77">
        <f t="shared" si="12"/>
        <v>52.407407407407405</v>
      </c>
      <c r="O85" s="78">
        <v>6</v>
      </c>
      <c r="P85" s="79">
        <v>6</v>
      </c>
      <c r="Q85" s="80">
        <f t="shared" si="13"/>
        <v>6</v>
      </c>
      <c r="R85" s="87" t="s">
        <v>277</v>
      </c>
      <c r="S85" s="89">
        <v>6</v>
      </c>
      <c r="T85" s="82"/>
      <c r="U85" s="83"/>
      <c r="V85" s="84"/>
      <c r="W85" s="84"/>
      <c r="X85" s="84"/>
      <c r="Y85" s="85"/>
      <c r="Z85" s="86">
        <f t="shared" si="18"/>
        <v>26.435185185185183</v>
      </c>
      <c r="AA85" s="61">
        <f t="shared" si="14"/>
        <v>2</v>
      </c>
      <c r="AB85" s="62">
        <f t="shared" si="15"/>
        <v>2</v>
      </c>
      <c r="AC85" s="87" t="s">
        <v>277</v>
      </c>
      <c r="AD85" s="88">
        <v>6</v>
      </c>
      <c r="AE85" s="90"/>
      <c r="AF85" s="92"/>
      <c r="AG85" s="92"/>
      <c r="AH85" s="92"/>
    </row>
    <row r="86" spans="1:34" ht="16.5" customHeight="1" thickBot="1">
      <c r="A86" s="67">
        <v>84</v>
      </c>
      <c r="B86" s="68" t="s">
        <v>278</v>
      </c>
      <c r="C86" s="68" t="s">
        <v>279</v>
      </c>
      <c r="D86" s="69">
        <v>7.5</v>
      </c>
      <c r="E86" s="70">
        <v>5</v>
      </c>
      <c r="F86" s="70">
        <v>7</v>
      </c>
      <c r="G86" s="71">
        <f t="shared" si="16"/>
        <v>6.5</v>
      </c>
      <c r="H86" s="72">
        <v>6.5</v>
      </c>
      <c r="I86" s="73">
        <v>4</v>
      </c>
      <c r="J86" s="74">
        <v>6</v>
      </c>
      <c r="K86" s="74">
        <v>4</v>
      </c>
      <c r="L86" s="75">
        <v>6</v>
      </c>
      <c r="M86" s="76">
        <f t="shared" si="17"/>
        <v>5.333333333333333</v>
      </c>
      <c r="N86" s="77">
        <f t="shared" si="12"/>
        <v>59.296296296296291</v>
      </c>
      <c r="O86" s="78">
        <v>7</v>
      </c>
      <c r="P86" s="79">
        <v>6</v>
      </c>
      <c r="Q86" s="80">
        <f t="shared" si="13"/>
        <v>6.5</v>
      </c>
      <c r="R86" s="87" t="s">
        <v>280</v>
      </c>
      <c r="S86" s="81">
        <v>6.5</v>
      </c>
      <c r="T86" s="82"/>
      <c r="U86" s="83"/>
      <c r="V86" s="84"/>
      <c r="W86" s="84"/>
      <c r="X86" s="84"/>
      <c r="Y86" s="85"/>
      <c r="Z86" s="86">
        <f t="shared" si="18"/>
        <v>29.268518518518519</v>
      </c>
      <c r="AA86" s="61">
        <f t="shared" si="14"/>
        <v>2</v>
      </c>
      <c r="AB86" s="62">
        <f t="shared" si="15"/>
        <v>2</v>
      </c>
      <c r="AC86" s="87" t="s">
        <v>280</v>
      </c>
      <c r="AD86" s="88">
        <v>12</v>
      </c>
      <c r="AE86" s="90"/>
      <c r="AF86" s="92"/>
      <c r="AG86" s="92"/>
      <c r="AH86" s="92"/>
    </row>
    <row r="87" spans="1:34" ht="15.75" customHeight="1" thickBot="1">
      <c r="A87" s="67">
        <v>85</v>
      </c>
      <c r="B87" s="68" t="s">
        <v>281</v>
      </c>
      <c r="C87" s="68" t="s">
        <v>282</v>
      </c>
      <c r="D87" s="69">
        <v>6.5</v>
      </c>
      <c r="E87" s="70">
        <v>6.5</v>
      </c>
      <c r="F87" s="70">
        <v>6.5</v>
      </c>
      <c r="G87" s="71">
        <f t="shared" si="16"/>
        <v>6.5</v>
      </c>
      <c r="H87" s="72">
        <v>6.5</v>
      </c>
      <c r="I87" s="73">
        <v>0</v>
      </c>
      <c r="J87" s="74">
        <v>7</v>
      </c>
      <c r="K87" s="74">
        <v>5.5</v>
      </c>
      <c r="L87" s="75">
        <v>6.5</v>
      </c>
      <c r="M87" s="76">
        <f t="shared" si="17"/>
        <v>6.333333333333333</v>
      </c>
      <c r="N87" s="77">
        <f t="shared" si="12"/>
        <v>56.851851851851848</v>
      </c>
      <c r="O87" s="78">
        <v>7</v>
      </c>
      <c r="P87" s="79">
        <v>7</v>
      </c>
      <c r="Q87" s="80">
        <f t="shared" si="13"/>
        <v>7</v>
      </c>
      <c r="R87" s="87" t="s">
        <v>283</v>
      </c>
      <c r="S87" s="89">
        <v>7</v>
      </c>
      <c r="T87" s="82"/>
      <c r="U87" s="83"/>
      <c r="V87" s="84"/>
      <c r="W87" s="84"/>
      <c r="X87" s="84"/>
      <c r="Y87" s="85"/>
      <c r="Z87" s="86">
        <f t="shared" si="18"/>
        <v>29.768518518518519</v>
      </c>
      <c r="AA87" s="61">
        <f t="shared" si="14"/>
        <v>2</v>
      </c>
      <c r="AB87" s="62">
        <f t="shared" si="15"/>
        <v>2</v>
      </c>
      <c r="AC87" s="87" t="s">
        <v>283</v>
      </c>
      <c r="AD87" s="88">
        <v>8</v>
      </c>
      <c r="AE87" s="90"/>
      <c r="AF87" s="92"/>
      <c r="AG87" s="92"/>
      <c r="AH87" s="92"/>
    </row>
    <row r="88" spans="1:34" ht="16.5" customHeight="1" thickBot="1">
      <c r="A88" s="67">
        <v>86</v>
      </c>
      <c r="B88" s="68" t="s">
        <v>284</v>
      </c>
      <c r="C88" s="68" t="s">
        <v>285</v>
      </c>
      <c r="D88" s="69">
        <v>6</v>
      </c>
      <c r="E88" s="70">
        <v>5</v>
      </c>
      <c r="F88" s="70">
        <v>8</v>
      </c>
      <c r="G88" s="71">
        <f t="shared" si="16"/>
        <v>6.333333333333333</v>
      </c>
      <c r="H88" s="72">
        <v>6.5</v>
      </c>
      <c r="I88" s="98">
        <v>8</v>
      </c>
      <c r="J88" s="99">
        <v>6.5</v>
      </c>
      <c r="K88" s="99">
        <v>4.5</v>
      </c>
      <c r="L88" s="100">
        <v>6.5</v>
      </c>
      <c r="M88" s="76">
        <f t="shared" si="17"/>
        <v>5.833333333333333</v>
      </c>
      <c r="N88" s="77">
        <f t="shared" si="12"/>
        <v>70.074074074074076</v>
      </c>
      <c r="O88" s="78">
        <v>5.5</v>
      </c>
      <c r="P88" s="79">
        <v>6</v>
      </c>
      <c r="Q88" s="80">
        <f t="shared" si="13"/>
        <v>5.75</v>
      </c>
      <c r="R88" s="87" t="s">
        <v>286</v>
      </c>
      <c r="S88" s="89">
        <v>6</v>
      </c>
      <c r="T88" s="104"/>
      <c r="U88" s="83"/>
      <c r="V88" s="84"/>
      <c r="W88" s="84"/>
      <c r="X88" s="84"/>
      <c r="Y88" s="85"/>
      <c r="Z88" s="86">
        <f t="shared" si="18"/>
        <v>30.296296296296298</v>
      </c>
      <c r="AA88" s="61">
        <f t="shared" si="14"/>
        <v>2</v>
      </c>
      <c r="AB88" s="62">
        <f t="shared" si="15"/>
        <v>2</v>
      </c>
      <c r="AC88" s="87" t="s">
        <v>286</v>
      </c>
      <c r="AD88" s="88">
        <v>11</v>
      </c>
      <c r="AE88" s="90"/>
      <c r="AF88" s="92"/>
      <c r="AG88" s="92"/>
      <c r="AH88" s="92"/>
    </row>
    <row r="89" spans="1:34" ht="16.5" customHeight="1" thickBot="1">
      <c r="A89" s="67">
        <v>87</v>
      </c>
      <c r="B89" s="68" t="s">
        <v>287</v>
      </c>
      <c r="C89" s="68" t="s">
        <v>288</v>
      </c>
      <c r="D89" s="69">
        <v>5.5</v>
      </c>
      <c r="E89" s="70">
        <v>6.5</v>
      </c>
      <c r="F89" s="70">
        <v>7.5</v>
      </c>
      <c r="G89" s="71">
        <f t="shared" si="16"/>
        <v>6.5</v>
      </c>
      <c r="H89" s="72">
        <v>6.5</v>
      </c>
      <c r="I89" s="73">
        <v>7.5</v>
      </c>
      <c r="J89" s="74">
        <v>5.5</v>
      </c>
      <c r="K89" s="74">
        <v>5.5</v>
      </c>
      <c r="L89" s="75">
        <v>6.5</v>
      </c>
      <c r="M89" s="76">
        <f t="shared" si="17"/>
        <v>5.833333333333333</v>
      </c>
      <c r="N89" s="77">
        <f t="shared" si="12"/>
        <v>69.074074074074076</v>
      </c>
      <c r="O89" s="78">
        <v>6</v>
      </c>
      <c r="P89" s="79">
        <v>6</v>
      </c>
      <c r="Q89" s="80">
        <f t="shared" si="13"/>
        <v>6</v>
      </c>
      <c r="R89" s="87" t="s">
        <v>289</v>
      </c>
      <c r="S89" s="89">
        <v>6</v>
      </c>
      <c r="T89" s="82"/>
      <c r="U89" s="83"/>
      <c r="V89" s="84"/>
      <c r="W89" s="84"/>
      <c r="X89" s="84"/>
      <c r="Y89" s="85"/>
      <c r="Z89" s="86">
        <f t="shared" si="18"/>
        <v>30.601851851851855</v>
      </c>
      <c r="AA89" s="61">
        <f t="shared" si="14"/>
        <v>2</v>
      </c>
      <c r="AB89" s="62">
        <f t="shared" si="15"/>
        <v>2</v>
      </c>
      <c r="AC89" s="87" t="s">
        <v>289</v>
      </c>
      <c r="AD89" s="88">
        <v>13</v>
      </c>
      <c r="AE89" s="90"/>
      <c r="AF89" s="92"/>
      <c r="AG89" s="92"/>
      <c r="AH89" s="92"/>
    </row>
    <row r="90" spans="1:34" ht="16.5" customHeight="1" thickBot="1">
      <c r="A90" s="67">
        <v>88</v>
      </c>
      <c r="B90" s="68" t="s">
        <v>290</v>
      </c>
      <c r="C90" s="68" t="s">
        <v>291</v>
      </c>
      <c r="D90" s="69">
        <v>5.5</v>
      </c>
      <c r="E90" s="70">
        <v>5.5</v>
      </c>
      <c r="F90" s="70">
        <v>7</v>
      </c>
      <c r="G90" s="71">
        <f t="shared" si="16"/>
        <v>6</v>
      </c>
      <c r="H90" s="72">
        <v>6</v>
      </c>
      <c r="I90" s="73">
        <v>6</v>
      </c>
      <c r="J90" s="74">
        <v>5.5</v>
      </c>
      <c r="K90" s="74">
        <v>5</v>
      </c>
      <c r="L90" s="75">
        <v>6</v>
      </c>
      <c r="M90" s="76">
        <f t="shared" si="17"/>
        <v>5.5</v>
      </c>
      <c r="N90" s="77">
        <f t="shared" si="12"/>
        <v>62.555555555555557</v>
      </c>
      <c r="O90" s="78">
        <v>6</v>
      </c>
      <c r="P90" s="110">
        <v>5.5</v>
      </c>
      <c r="Q90" s="80">
        <f t="shared" si="13"/>
        <v>5.75</v>
      </c>
      <c r="R90" s="87" t="s">
        <v>292</v>
      </c>
      <c r="S90" s="89">
        <v>6</v>
      </c>
      <c r="T90" s="82"/>
      <c r="U90" s="83"/>
      <c r="V90" s="84"/>
      <c r="W90" s="84"/>
      <c r="X90" s="84"/>
      <c r="Y90" s="85"/>
      <c r="Z90" s="86">
        <f t="shared" si="18"/>
        <v>28.416666666666668</v>
      </c>
      <c r="AA90" s="61">
        <f t="shared" si="14"/>
        <v>2</v>
      </c>
      <c r="AB90" s="62">
        <f t="shared" si="15"/>
        <v>2</v>
      </c>
      <c r="AC90" s="87" t="s">
        <v>292</v>
      </c>
      <c r="AD90" s="88">
        <v>5</v>
      </c>
      <c r="AE90" s="90"/>
      <c r="AF90" s="92"/>
      <c r="AG90" s="92"/>
      <c r="AH90" s="92"/>
    </row>
    <row r="91" spans="1:34" ht="16.5" customHeight="1" thickBot="1">
      <c r="A91" s="67">
        <v>89</v>
      </c>
      <c r="B91" s="68" t="s">
        <v>293</v>
      </c>
      <c r="C91" s="68" t="s">
        <v>294</v>
      </c>
      <c r="D91" s="69">
        <v>6</v>
      </c>
      <c r="E91" s="70">
        <v>6</v>
      </c>
      <c r="F91" s="70">
        <v>7.5</v>
      </c>
      <c r="G91" s="71">
        <f t="shared" si="16"/>
        <v>6.5</v>
      </c>
      <c r="H91" s="72">
        <v>6.5</v>
      </c>
      <c r="I91" s="73">
        <v>9</v>
      </c>
      <c r="J91" s="74">
        <v>6</v>
      </c>
      <c r="K91" s="74">
        <v>4</v>
      </c>
      <c r="L91" s="75">
        <v>5.5</v>
      </c>
      <c r="M91" s="76">
        <f t="shared" si="17"/>
        <v>5.166666666666667</v>
      </c>
      <c r="N91" s="77">
        <f t="shared" si="12"/>
        <v>68.370370370370381</v>
      </c>
      <c r="O91" s="78">
        <v>7</v>
      </c>
      <c r="P91" s="79">
        <v>8</v>
      </c>
      <c r="Q91" s="80">
        <f t="shared" si="13"/>
        <v>7.5</v>
      </c>
      <c r="R91" s="87" t="s">
        <v>295</v>
      </c>
      <c r="S91" s="81">
        <v>7.5</v>
      </c>
      <c r="T91" s="82"/>
      <c r="U91" s="83"/>
      <c r="V91" s="84"/>
      <c r="W91" s="84"/>
      <c r="X91" s="84"/>
      <c r="Y91" s="85"/>
      <c r="Z91" s="86">
        <f t="shared" si="18"/>
        <v>33.759259259259267</v>
      </c>
      <c r="AA91" s="61">
        <f t="shared" si="14"/>
        <v>2</v>
      </c>
      <c r="AB91" s="62">
        <f t="shared" si="15"/>
        <v>2</v>
      </c>
      <c r="AC91" s="87" t="s">
        <v>295</v>
      </c>
      <c r="AD91" s="108" t="s">
        <v>113</v>
      </c>
      <c r="AE91" s="90"/>
      <c r="AF91" s="92"/>
      <c r="AG91" s="92"/>
      <c r="AH91" s="92"/>
    </row>
    <row r="92" spans="1:34" ht="16.5" customHeight="1" thickBot="1">
      <c r="A92" s="67">
        <v>90</v>
      </c>
      <c r="B92" s="68" t="s">
        <v>296</v>
      </c>
      <c r="C92" s="68" t="s">
        <v>297</v>
      </c>
      <c r="D92" s="69">
        <v>6</v>
      </c>
      <c r="E92" s="70">
        <v>5.5</v>
      </c>
      <c r="F92" s="70">
        <v>7.5</v>
      </c>
      <c r="G92" s="71">
        <f t="shared" si="16"/>
        <v>6.333333333333333</v>
      </c>
      <c r="H92" s="72">
        <v>6.5</v>
      </c>
      <c r="I92" s="73">
        <v>7</v>
      </c>
      <c r="J92" s="74">
        <v>4.5</v>
      </c>
      <c r="K92" s="74">
        <v>4</v>
      </c>
      <c r="L92" s="75">
        <v>6.5</v>
      </c>
      <c r="M92" s="76">
        <f t="shared" si="17"/>
        <v>5</v>
      </c>
      <c r="N92" s="77">
        <f t="shared" si="12"/>
        <v>63.44444444444445</v>
      </c>
      <c r="O92" s="78">
        <v>5.5</v>
      </c>
      <c r="P92" s="79">
        <v>5</v>
      </c>
      <c r="Q92" s="80">
        <f t="shared" si="13"/>
        <v>5.25</v>
      </c>
      <c r="R92" s="87" t="s">
        <v>298</v>
      </c>
      <c r="S92" s="81">
        <v>5.5</v>
      </c>
      <c r="T92" s="82"/>
      <c r="U92" s="83"/>
      <c r="V92" s="84"/>
      <c r="W92" s="84"/>
      <c r="X92" s="84"/>
      <c r="Y92" s="85"/>
      <c r="Z92" s="86">
        <f t="shared" si="18"/>
        <v>27.527777777777779</v>
      </c>
      <c r="AA92" s="61">
        <f t="shared" si="14"/>
        <v>2</v>
      </c>
      <c r="AB92" s="62">
        <f t="shared" si="15"/>
        <v>2</v>
      </c>
      <c r="AC92" s="87" t="s">
        <v>298</v>
      </c>
      <c r="AD92" s="88">
        <v>1</v>
      </c>
      <c r="AE92" s="90"/>
      <c r="AF92" s="92"/>
      <c r="AG92" s="92"/>
      <c r="AH92" s="92"/>
    </row>
    <row r="93" spans="1:34" ht="16.5" customHeight="1" thickBot="1">
      <c r="A93" s="67">
        <v>91</v>
      </c>
      <c r="B93" s="68" t="s">
        <v>299</v>
      </c>
      <c r="C93" s="68" t="s">
        <v>300</v>
      </c>
      <c r="D93" s="69">
        <v>6</v>
      </c>
      <c r="E93" s="70">
        <v>6</v>
      </c>
      <c r="F93" s="70">
        <v>7.5</v>
      </c>
      <c r="G93" s="71">
        <f t="shared" si="16"/>
        <v>6.5</v>
      </c>
      <c r="H93" s="72">
        <v>6.5</v>
      </c>
      <c r="I93" s="73">
        <v>5</v>
      </c>
      <c r="J93" s="74">
        <v>5.5</v>
      </c>
      <c r="K93" s="74">
        <v>5.5</v>
      </c>
      <c r="L93" s="75">
        <v>6.5</v>
      </c>
      <c r="M93" s="76">
        <f t="shared" si="17"/>
        <v>5.833333333333333</v>
      </c>
      <c r="N93" s="77">
        <f t="shared" si="12"/>
        <v>64.074074074074076</v>
      </c>
      <c r="O93" s="78">
        <v>6.5</v>
      </c>
      <c r="P93" s="79">
        <v>6</v>
      </c>
      <c r="Q93" s="80">
        <f t="shared" si="13"/>
        <v>6.25</v>
      </c>
      <c r="R93" s="87" t="s">
        <v>301</v>
      </c>
      <c r="S93" s="81">
        <v>6.5</v>
      </c>
      <c r="T93" s="82"/>
      <c r="U93" s="83"/>
      <c r="V93" s="84"/>
      <c r="W93" s="84"/>
      <c r="X93" s="84"/>
      <c r="Y93" s="85"/>
      <c r="Z93" s="86">
        <f t="shared" si="18"/>
        <v>29.907407407407408</v>
      </c>
      <c r="AA93" s="61">
        <f t="shared" si="14"/>
        <v>2</v>
      </c>
      <c r="AB93" s="62">
        <f t="shared" si="15"/>
        <v>2</v>
      </c>
      <c r="AC93" s="87" t="s">
        <v>301</v>
      </c>
      <c r="AD93" s="88">
        <v>5</v>
      </c>
      <c r="AE93" s="90"/>
      <c r="AF93" s="92"/>
      <c r="AG93" s="92"/>
      <c r="AH93" s="92"/>
    </row>
    <row r="94" spans="1:34" ht="16.5" customHeight="1" thickBot="1">
      <c r="A94" s="67">
        <v>92</v>
      </c>
      <c r="B94" s="68" t="s">
        <v>302</v>
      </c>
      <c r="C94" s="68" t="s">
        <v>303</v>
      </c>
      <c r="D94" s="69">
        <v>6</v>
      </c>
      <c r="E94" s="70">
        <v>6</v>
      </c>
      <c r="F94" s="70">
        <v>7</v>
      </c>
      <c r="G94" s="71">
        <f t="shared" si="16"/>
        <v>6.333333333333333</v>
      </c>
      <c r="H94" s="72">
        <v>6.5</v>
      </c>
      <c r="I94" s="73">
        <v>5</v>
      </c>
      <c r="J94" s="74">
        <v>6.5</v>
      </c>
      <c r="K94" s="74">
        <v>5</v>
      </c>
      <c r="L94" s="75">
        <v>6</v>
      </c>
      <c r="M94" s="76">
        <f t="shared" si="17"/>
        <v>5.833333333333333</v>
      </c>
      <c r="N94" s="77">
        <f t="shared" si="12"/>
        <v>64.074074074074076</v>
      </c>
      <c r="O94" s="78">
        <v>8</v>
      </c>
      <c r="P94" s="79">
        <v>8.5</v>
      </c>
      <c r="Q94" s="80">
        <f t="shared" si="13"/>
        <v>8.25</v>
      </c>
      <c r="R94" s="87" t="s">
        <v>304</v>
      </c>
      <c r="S94" s="81">
        <v>8.5</v>
      </c>
      <c r="T94" s="82"/>
      <c r="U94" s="83"/>
      <c r="V94" s="84"/>
      <c r="W94" s="84"/>
      <c r="X94" s="84"/>
      <c r="Y94" s="85"/>
      <c r="Z94" s="86">
        <f t="shared" si="18"/>
        <v>34.351851851851855</v>
      </c>
      <c r="AA94" s="61">
        <f t="shared" si="14"/>
        <v>4</v>
      </c>
      <c r="AB94" s="62">
        <f t="shared" si="15"/>
        <v>3</v>
      </c>
      <c r="AC94" s="87" t="s">
        <v>304</v>
      </c>
      <c r="AD94" s="108" t="s">
        <v>113</v>
      </c>
      <c r="AE94" s="90"/>
      <c r="AF94" s="92"/>
      <c r="AG94" s="92"/>
      <c r="AH94" s="92"/>
    </row>
    <row r="95" spans="1:34" ht="16.5" customHeight="1" thickBot="1">
      <c r="A95" s="67">
        <v>93</v>
      </c>
      <c r="B95" s="68" t="s">
        <v>305</v>
      </c>
      <c r="C95" s="68" t="s">
        <v>306</v>
      </c>
      <c r="D95" s="69">
        <v>5.5</v>
      </c>
      <c r="E95" s="70">
        <v>5</v>
      </c>
      <c r="F95" s="70">
        <v>8</v>
      </c>
      <c r="G95" s="71">
        <f t="shared" si="16"/>
        <v>6.166666666666667</v>
      </c>
      <c r="H95" s="72">
        <v>6</v>
      </c>
      <c r="I95" s="73">
        <v>5</v>
      </c>
      <c r="J95" s="74">
        <v>5.5</v>
      </c>
      <c r="K95" s="74">
        <v>4.5</v>
      </c>
      <c r="L95" s="75">
        <v>5</v>
      </c>
      <c r="M95" s="76">
        <f t="shared" si="17"/>
        <v>5</v>
      </c>
      <c r="N95" s="77">
        <f t="shared" si="12"/>
        <v>57.777777777777779</v>
      </c>
      <c r="O95" s="78">
        <v>7</v>
      </c>
      <c r="P95" s="110">
        <v>6.5</v>
      </c>
      <c r="Q95" s="80">
        <f t="shared" si="13"/>
        <v>6.75</v>
      </c>
      <c r="R95" s="87" t="s">
        <v>307</v>
      </c>
      <c r="S95" s="89">
        <v>7</v>
      </c>
      <c r="T95" s="82"/>
      <c r="U95" s="83"/>
      <c r="V95" s="84"/>
      <c r="W95" s="84"/>
      <c r="X95" s="84"/>
      <c r="Y95" s="85"/>
      <c r="Z95" s="86">
        <f t="shared" si="18"/>
        <v>29.444444444444443</v>
      </c>
      <c r="AA95" s="61">
        <f t="shared" si="14"/>
        <v>2</v>
      </c>
      <c r="AB95" s="62">
        <f t="shared" si="15"/>
        <v>2</v>
      </c>
      <c r="AC95" s="87" t="s">
        <v>307</v>
      </c>
      <c r="AD95" s="88">
        <v>3</v>
      </c>
      <c r="AE95" s="90"/>
      <c r="AF95" s="92"/>
      <c r="AG95" s="92"/>
      <c r="AH95" s="92"/>
    </row>
    <row r="96" spans="1:34" ht="16.5" customHeight="1" thickBot="1">
      <c r="A96" s="67">
        <v>94</v>
      </c>
      <c r="B96" s="68" t="s">
        <v>308</v>
      </c>
      <c r="C96" s="68" t="s">
        <v>309</v>
      </c>
      <c r="D96" s="69">
        <v>5</v>
      </c>
      <c r="E96" s="70">
        <v>5.5</v>
      </c>
      <c r="F96" s="70">
        <v>5</v>
      </c>
      <c r="G96" s="71">
        <f t="shared" si="16"/>
        <v>5.166666666666667</v>
      </c>
      <c r="H96" s="72">
        <v>5</v>
      </c>
      <c r="I96" s="98">
        <v>2</v>
      </c>
      <c r="J96" s="99">
        <v>4</v>
      </c>
      <c r="K96" s="99">
        <v>3</v>
      </c>
      <c r="L96" s="100">
        <v>6</v>
      </c>
      <c r="M96" s="76">
        <f t="shared" si="17"/>
        <v>4.333333333333333</v>
      </c>
      <c r="N96" s="77">
        <f t="shared" si="12"/>
        <v>44.74074074074074</v>
      </c>
      <c r="O96" s="78">
        <v>4.5</v>
      </c>
      <c r="P96" s="110">
        <v>3.5</v>
      </c>
      <c r="Q96" s="80">
        <f t="shared" si="13"/>
        <v>4</v>
      </c>
      <c r="R96" s="87" t="s">
        <v>310</v>
      </c>
      <c r="S96" s="89">
        <v>4</v>
      </c>
      <c r="T96" s="104"/>
      <c r="U96" s="83"/>
      <c r="V96" s="84"/>
      <c r="W96" s="84"/>
      <c r="X96" s="84"/>
      <c r="Y96" s="85"/>
      <c r="Z96" s="86">
        <f t="shared" si="18"/>
        <v>20.074074074074076</v>
      </c>
      <c r="AA96" s="61">
        <f t="shared" si="14"/>
        <v>2</v>
      </c>
      <c r="AB96" s="62">
        <f t="shared" si="15"/>
        <v>2</v>
      </c>
      <c r="AC96" s="87" t="s">
        <v>310</v>
      </c>
      <c r="AD96" s="88">
        <v>6</v>
      </c>
      <c r="AE96" s="90"/>
      <c r="AF96" s="92"/>
      <c r="AG96" s="92"/>
      <c r="AH96" s="92"/>
    </row>
    <row r="97" spans="1:34" ht="16.5" customHeight="1" thickBot="1">
      <c r="A97" s="67">
        <v>95</v>
      </c>
      <c r="B97" s="68" t="s">
        <v>311</v>
      </c>
      <c r="C97" s="68" t="s">
        <v>312</v>
      </c>
      <c r="D97" s="69">
        <v>6.5</v>
      </c>
      <c r="E97" s="70">
        <v>7</v>
      </c>
      <c r="F97" s="70">
        <v>8.5</v>
      </c>
      <c r="G97" s="71">
        <f t="shared" si="16"/>
        <v>7.333333333333333</v>
      </c>
      <c r="H97" s="72">
        <v>7.5</v>
      </c>
      <c r="I97" s="73">
        <v>8.5</v>
      </c>
      <c r="J97" s="74">
        <v>6</v>
      </c>
      <c r="K97" s="74">
        <v>5.5</v>
      </c>
      <c r="L97" s="75">
        <v>7</v>
      </c>
      <c r="M97" s="76">
        <f t="shared" si="17"/>
        <v>6.166666666666667</v>
      </c>
      <c r="N97" s="77">
        <f t="shared" si="12"/>
        <v>76.259259259259267</v>
      </c>
      <c r="O97" s="78">
        <v>6.5</v>
      </c>
      <c r="P97" s="79">
        <v>8</v>
      </c>
      <c r="Q97" s="80">
        <f t="shared" si="13"/>
        <v>7.25</v>
      </c>
      <c r="R97" s="87" t="s">
        <v>313</v>
      </c>
      <c r="S97" s="81">
        <v>7.5</v>
      </c>
      <c r="T97" s="82"/>
      <c r="U97" s="83"/>
      <c r="V97" s="84"/>
      <c r="W97" s="84"/>
      <c r="X97" s="84"/>
      <c r="Y97" s="85"/>
      <c r="Z97" s="86">
        <f t="shared" si="18"/>
        <v>35.175925925925924</v>
      </c>
      <c r="AA97" s="61">
        <f t="shared" si="14"/>
        <v>4</v>
      </c>
      <c r="AB97" s="62">
        <f t="shared" si="15"/>
        <v>3</v>
      </c>
      <c r="AC97" s="87" t="s">
        <v>313</v>
      </c>
      <c r="AD97" s="88">
        <v>4</v>
      </c>
      <c r="AE97" s="90"/>
      <c r="AF97" s="92"/>
      <c r="AG97" s="92"/>
      <c r="AH97" s="92"/>
    </row>
    <row r="98" spans="1:34" ht="16.5" customHeight="1" thickBot="1">
      <c r="A98" s="67">
        <v>96</v>
      </c>
      <c r="B98" s="68" t="s">
        <v>314</v>
      </c>
      <c r="C98" s="68" t="s">
        <v>315</v>
      </c>
      <c r="D98" s="69">
        <v>6</v>
      </c>
      <c r="E98" s="70">
        <v>6.3</v>
      </c>
      <c r="F98" s="70">
        <v>6.5</v>
      </c>
      <c r="G98" s="71">
        <f t="shared" si="16"/>
        <v>6.2666666666666666</v>
      </c>
      <c r="H98" s="72">
        <v>6.5</v>
      </c>
      <c r="I98" s="73">
        <v>0</v>
      </c>
      <c r="J98" s="74">
        <v>4.5</v>
      </c>
      <c r="K98" s="74">
        <v>3.5</v>
      </c>
      <c r="L98" s="75">
        <v>1.5</v>
      </c>
      <c r="M98" s="76">
        <f t="shared" si="17"/>
        <v>3.1666666666666665</v>
      </c>
      <c r="N98" s="77">
        <f t="shared" si="12"/>
        <v>39.25925925925926</v>
      </c>
      <c r="O98" s="78">
        <v>4.5</v>
      </c>
      <c r="P98" s="79">
        <v>2</v>
      </c>
      <c r="Q98" s="80">
        <f t="shared" si="13"/>
        <v>3.25</v>
      </c>
      <c r="R98" s="87" t="s">
        <v>316</v>
      </c>
      <c r="S98" s="81">
        <v>3.5</v>
      </c>
      <c r="T98" s="82"/>
      <c r="U98" s="83"/>
      <c r="V98" s="84"/>
      <c r="W98" s="84"/>
      <c r="X98" s="84"/>
      <c r="Y98" s="85"/>
      <c r="Z98" s="86">
        <f t="shared" si="18"/>
        <v>17.037037037037038</v>
      </c>
      <c r="AA98" s="61">
        <f t="shared" si="14"/>
        <v>2</v>
      </c>
      <c r="AB98" s="62">
        <f t="shared" si="15"/>
        <v>2</v>
      </c>
      <c r="AC98" s="87" t="s">
        <v>316</v>
      </c>
      <c r="AD98" s="108" t="s">
        <v>113</v>
      </c>
      <c r="AE98" s="90"/>
      <c r="AF98" s="92"/>
      <c r="AG98" s="92"/>
      <c r="AH98" s="92"/>
    </row>
    <row r="99" spans="1:34" ht="16.5" customHeight="1" thickBot="1">
      <c r="A99" s="67">
        <v>97</v>
      </c>
      <c r="B99" s="68" t="s">
        <v>317</v>
      </c>
      <c r="C99" s="68" t="s">
        <v>318</v>
      </c>
      <c r="D99" s="69">
        <v>5</v>
      </c>
      <c r="E99" s="70">
        <v>5.5</v>
      </c>
      <c r="F99" s="70">
        <v>7.5</v>
      </c>
      <c r="G99" s="71">
        <f t="shared" si="16"/>
        <v>6</v>
      </c>
      <c r="H99" s="72">
        <v>6</v>
      </c>
      <c r="I99" s="73">
        <v>7</v>
      </c>
      <c r="J99" s="74">
        <v>5</v>
      </c>
      <c r="K99" s="74">
        <v>5</v>
      </c>
      <c r="L99" s="75">
        <v>5.5</v>
      </c>
      <c r="M99" s="76">
        <f t="shared" si="17"/>
        <v>5.166666666666667</v>
      </c>
      <c r="N99" s="77">
        <f t="shared" si="12"/>
        <v>62.703703703703709</v>
      </c>
      <c r="O99" s="78">
        <v>6</v>
      </c>
      <c r="P99" s="79">
        <v>6</v>
      </c>
      <c r="Q99" s="80">
        <f t="shared" si="13"/>
        <v>6</v>
      </c>
      <c r="R99" s="87" t="s">
        <v>319</v>
      </c>
      <c r="S99" s="89">
        <v>6</v>
      </c>
      <c r="T99" s="82"/>
      <c r="U99" s="83"/>
      <c r="V99" s="84"/>
      <c r="W99" s="84"/>
      <c r="X99" s="84"/>
      <c r="Y99" s="85"/>
      <c r="Z99" s="86">
        <f t="shared" si="18"/>
        <v>29.00925925925926</v>
      </c>
      <c r="AA99" s="61">
        <f t="shared" si="14"/>
        <v>2</v>
      </c>
      <c r="AB99" s="62">
        <f t="shared" si="15"/>
        <v>2</v>
      </c>
      <c r="AC99" s="87" t="s">
        <v>319</v>
      </c>
      <c r="AD99" s="88">
        <v>10</v>
      </c>
      <c r="AE99" s="90"/>
      <c r="AF99" s="92"/>
      <c r="AG99" s="92"/>
      <c r="AH99" s="92"/>
    </row>
    <row r="100" spans="1:34" ht="16.5" customHeight="1" thickBot="1">
      <c r="A100" s="67">
        <v>98</v>
      </c>
      <c r="B100" s="68" t="s">
        <v>320</v>
      </c>
      <c r="C100" s="68" t="s">
        <v>321</v>
      </c>
      <c r="D100" s="111">
        <v>5</v>
      </c>
      <c r="E100" s="70">
        <v>5</v>
      </c>
      <c r="F100" s="70">
        <v>7</v>
      </c>
      <c r="G100" s="71">
        <f t="shared" si="16"/>
        <v>5.666666666666667</v>
      </c>
      <c r="H100" s="72">
        <v>5.5</v>
      </c>
      <c r="I100" s="73">
        <v>5</v>
      </c>
      <c r="J100" s="74">
        <v>4.5</v>
      </c>
      <c r="K100" s="74">
        <v>4.5</v>
      </c>
      <c r="L100" s="75">
        <v>6.5</v>
      </c>
      <c r="M100" s="76">
        <f t="shared" si="17"/>
        <v>5.166666666666667</v>
      </c>
      <c r="N100" s="77">
        <f t="shared" si="12"/>
        <v>57.037037037037038</v>
      </c>
      <c r="O100" s="78">
        <v>5.5</v>
      </c>
      <c r="P100" s="79">
        <v>6</v>
      </c>
      <c r="Q100" s="80">
        <f t="shared" si="13"/>
        <v>5.75</v>
      </c>
      <c r="R100" s="87" t="s">
        <v>322</v>
      </c>
      <c r="S100" s="89">
        <v>6</v>
      </c>
      <c r="T100" s="82"/>
      <c r="U100" s="83"/>
      <c r="V100" s="84"/>
      <c r="W100" s="84"/>
      <c r="X100" s="84"/>
      <c r="Y100" s="85"/>
      <c r="Z100" s="86">
        <f t="shared" si="18"/>
        <v>27.037037037037038</v>
      </c>
      <c r="AA100" s="61">
        <f t="shared" si="14"/>
        <v>2</v>
      </c>
      <c r="AB100" s="62">
        <f t="shared" si="15"/>
        <v>2</v>
      </c>
      <c r="AC100" s="87" t="s">
        <v>322</v>
      </c>
      <c r="AD100" s="88">
        <v>14</v>
      </c>
      <c r="AE100" s="90"/>
      <c r="AF100" s="92"/>
      <c r="AG100" s="92"/>
      <c r="AH100" s="92"/>
    </row>
    <row r="101" spans="1:34" ht="16.5" customHeight="1" thickBot="1">
      <c r="A101" s="67">
        <v>99</v>
      </c>
      <c r="B101" s="68" t="s">
        <v>323</v>
      </c>
      <c r="C101" s="68" t="s">
        <v>324</v>
      </c>
      <c r="D101" s="111">
        <v>5.5</v>
      </c>
      <c r="E101" s="70">
        <v>6</v>
      </c>
      <c r="F101" s="70">
        <v>7.5</v>
      </c>
      <c r="G101" s="71">
        <f t="shared" si="16"/>
        <v>6.333333333333333</v>
      </c>
      <c r="H101" s="72">
        <v>6.5</v>
      </c>
      <c r="I101" s="73">
        <v>3</v>
      </c>
      <c r="J101" s="74">
        <v>4.5</v>
      </c>
      <c r="K101" s="74">
        <v>4</v>
      </c>
      <c r="L101" s="75">
        <v>6</v>
      </c>
      <c r="M101" s="76">
        <f t="shared" si="17"/>
        <v>4.833333333333333</v>
      </c>
      <c r="N101" s="77">
        <f t="shared" si="12"/>
        <v>54.518518518518519</v>
      </c>
      <c r="O101" s="78">
        <v>6</v>
      </c>
      <c r="P101" s="110">
        <v>5.5</v>
      </c>
      <c r="Q101" s="80">
        <f t="shared" si="13"/>
        <v>5.75</v>
      </c>
      <c r="R101" s="87" t="s">
        <v>325</v>
      </c>
      <c r="S101" s="89">
        <v>6</v>
      </c>
      <c r="T101" s="82"/>
      <c r="U101" s="83"/>
      <c r="V101" s="84"/>
      <c r="W101" s="84"/>
      <c r="X101" s="84"/>
      <c r="Y101" s="85"/>
      <c r="Z101" s="86">
        <f t="shared" si="18"/>
        <v>26.407407407407408</v>
      </c>
      <c r="AA101" s="61">
        <f t="shared" si="14"/>
        <v>2</v>
      </c>
      <c r="AB101" s="62">
        <f t="shared" si="15"/>
        <v>2</v>
      </c>
      <c r="AC101" s="87" t="s">
        <v>325</v>
      </c>
      <c r="AD101" s="88">
        <v>12</v>
      </c>
      <c r="AE101" s="90"/>
      <c r="AF101" s="92"/>
      <c r="AG101" s="92"/>
      <c r="AH101" s="92"/>
    </row>
    <row r="102" spans="1:34" ht="16.5" customHeight="1" thickBot="1">
      <c r="A102" s="67">
        <v>100</v>
      </c>
      <c r="B102" s="68" t="s">
        <v>326</v>
      </c>
      <c r="C102" s="68" t="s">
        <v>327</v>
      </c>
      <c r="D102" s="111">
        <v>6</v>
      </c>
      <c r="E102" s="70">
        <v>5.5</v>
      </c>
      <c r="F102" s="70">
        <v>7</v>
      </c>
      <c r="G102" s="71">
        <f t="shared" si="16"/>
        <v>6.166666666666667</v>
      </c>
      <c r="H102" s="72">
        <v>6</v>
      </c>
      <c r="I102" s="73">
        <v>7</v>
      </c>
      <c r="J102" s="74">
        <v>5.5</v>
      </c>
      <c r="K102" s="74">
        <v>4.5</v>
      </c>
      <c r="L102" s="75">
        <v>6</v>
      </c>
      <c r="M102" s="76">
        <f t="shared" si="17"/>
        <v>5.333333333333333</v>
      </c>
      <c r="N102" s="77">
        <f t="shared" ref="N102:N111" si="19">H102*30/9+2*I102+M102*50/9</f>
        <v>63.629629629629626</v>
      </c>
      <c r="O102" s="78">
        <v>6</v>
      </c>
      <c r="P102" s="79">
        <v>4.5</v>
      </c>
      <c r="Q102" s="80">
        <f t="shared" si="13"/>
        <v>5.25</v>
      </c>
      <c r="R102" s="87" t="s">
        <v>328</v>
      </c>
      <c r="S102" s="81">
        <v>5.5</v>
      </c>
      <c r="T102" s="82"/>
      <c r="U102" s="83"/>
      <c r="V102" s="84"/>
      <c r="W102" s="84"/>
      <c r="X102" s="84"/>
      <c r="Y102" s="85"/>
      <c r="Z102" s="86">
        <f t="shared" si="18"/>
        <v>27.574074074074076</v>
      </c>
      <c r="AA102" s="61">
        <f t="shared" si="14"/>
        <v>2</v>
      </c>
      <c r="AB102" s="62">
        <f t="shared" si="15"/>
        <v>2</v>
      </c>
      <c r="AC102" s="87" t="s">
        <v>328</v>
      </c>
      <c r="AD102" s="88">
        <v>13</v>
      </c>
      <c r="AE102" s="90"/>
      <c r="AF102" s="92"/>
      <c r="AG102" s="92"/>
      <c r="AH102" s="92"/>
    </row>
    <row r="103" spans="1:34" ht="16.5" customHeight="1" thickBot="1">
      <c r="A103" s="67">
        <v>101</v>
      </c>
      <c r="B103" s="68" t="s">
        <v>329</v>
      </c>
      <c r="C103" s="68" t="s">
        <v>330</v>
      </c>
      <c r="D103" s="111">
        <v>5.5</v>
      </c>
      <c r="E103" s="70">
        <v>4</v>
      </c>
      <c r="F103" s="70">
        <v>7.5</v>
      </c>
      <c r="G103" s="71">
        <f t="shared" si="16"/>
        <v>5.666666666666667</v>
      </c>
      <c r="H103" s="72">
        <v>5.5</v>
      </c>
      <c r="I103" s="73">
        <v>7.5</v>
      </c>
      <c r="J103" s="74">
        <v>4.5</v>
      </c>
      <c r="K103" s="74">
        <v>4</v>
      </c>
      <c r="L103" s="75">
        <v>6</v>
      </c>
      <c r="M103" s="76">
        <f t="shared" si="17"/>
        <v>4.833333333333333</v>
      </c>
      <c r="N103" s="77">
        <f t="shared" si="19"/>
        <v>60.185185185185176</v>
      </c>
      <c r="O103" s="78">
        <v>5</v>
      </c>
      <c r="P103" s="79">
        <v>3</v>
      </c>
      <c r="Q103" s="80">
        <f t="shared" si="13"/>
        <v>4</v>
      </c>
      <c r="R103" s="87" t="s">
        <v>331</v>
      </c>
      <c r="S103" s="89">
        <v>4</v>
      </c>
      <c r="T103" s="82"/>
      <c r="U103" s="83"/>
      <c r="V103" s="84"/>
      <c r="W103" s="84"/>
      <c r="X103" s="84"/>
      <c r="Y103" s="85"/>
      <c r="Z103" s="86">
        <f t="shared" si="18"/>
        <v>23.935185185185183</v>
      </c>
      <c r="AA103" s="61">
        <f t="shared" si="14"/>
        <v>2</v>
      </c>
      <c r="AB103" s="62">
        <f t="shared" si="15"/>
        <v>2</v>
      </c>
      <c r="AC103" s="87" t="s">
        <v>331</v>
      </c>
      <c r="AD103" s="88">
        <v>6</v>
      </c>
      <c r="AE103" s="90"/>
      <c r="AF103" s="92"/>
      <c r="AG103" s="92"/>
      <c r="AH103" s="92"/>
    </row>
    <row r="104" spans="1:34" ht="16.5" customHeight="1" thickBot="1">
      <c r="A104" s="67">
        <v>102</v>
      </c>
      <c r="B104" s="68" t="s">
        <v>332</v>
      </c>
      <c r="C104" s="68" t="s">
        <v>333</v>
      </c>
      <c r="D104" s="111">
        <v>5.5</v>
      </c>
      <c r="E104" s="70">
        <v>6</v>
      </c>
      <c r="F104" s="70">
        <v>7.5</v>
      </c>
      <c r="G104" s="71">
        <f t="shared" si="16"/>
        <v>6.333333333333333</v>
      </c>
      <c r="H104" s="72">
        <v>6.5</v>
      </c>
      <c r="I104" s="73">
        <v>4.5</v>
      </c>
      <c r="J104" s="74">
        <v>5</v>
      </c>
      <c r="K104" s="74">
        <v>5</v>
      </c>
      <c r="L104" s="75">
        <v>6</v>
      </c>
      <c r="M104" s="76">
        <f t="shared" si="17"/>
        <v>5.333333333333333</v>
      </c>
      <c r="N104" s="77">
        <f t="shared" si="19"/>
        <v>60.296296296296291</v>
      </c>
      <c r="O104" s="78">
        <v>5</v>
      </c>
      <c r="P104" s="79">
        <v>6</v>
      </c>
      <c r="Q104" s="80">
        <f t="shared" si="13"/>
        <v>5.5</v>
      </c>
      <c r="R104" s="87" t="s">
        <v>334</v>
      </c>
      <c r="S104" s="81">
        <v>5.5</v>
      </c>
      <c r="T104" s="82"/>
      <c r="U104" s="83"/>
      <c r="V104" s="84"/>
      <c r="W104" s="84"/>
      <c r="X104" s="84"/>
      <c r="Y104" s="85"/>
      <c r="Z104" s="86">
        <f t="shared" si="18"/>
        <v>27.296296296296298</v>
      </c>
      <c r="AA104" s="61">
        <f t="shared" si="14"/>
        <v>2</v>
      </c>
      <c r="AB104" s="62">
        <f t="shared" si="15"/>
        <v>2</v>
      </c>
      <c r="AC104" s="87" t="s">
        <v>334</v>
      </c>
      <c r="AD104" s="88">
        <v>6</v>
      </c>
      <c r="AE104" s="90"/>
      <c r="AF104" s="92"/>
      <c r="AG104" s="92"/>
      <c r="AH104" s="92"/>
    </row>
    <row r="105" spans="1:34" ht="16.5" customHeight="1" thickBot="1">
      <c r="A105" s="67">
        <v>103</v>
      </c>
      <c r="B105" s="68" t="s">
        <v>335</v>
      </c>
      <c r="C105" s="68" t="s">
        <v>336</v>
      </c>
      <c r="D105" s="111">
        <v>4.5</v>
      </c>
      <c r="E105" s="70">
        <v>6</v>
      </c>
      <c r="F105" s="70">
        <v>8</v>
      </c>
      <c r="G105" s="71">
        <f t="shared" si="16"/>
        <v>6.166666666666667</v>
      </c>
      <c r="H105" s="72">
        <v>6</v>
      </c>
      <c r="I105" s="73">
        <v>4</v>
      </c>
      <c r="J105" s="74">
        <v>5</v>
      </c>
      <c r="K105" s="74">
        <v>4.5</v>
      </c>
      <c r="L105" s="75">
        <v>6</v>
      </c>
      <c r="M105" s="76">
        <f t="shared" si="17"/>
        <v>5.166666666666667</v>
      </c>
      <c r="N105" s="77">
        <f t="shared" si="19"/>
        <v>56.703703703703709</v>
      </c>
      <c r="O105" s="78">
        <v>6</v>
      </c>
      <c r="P105" s="79">
        <v>5</v>
      </c>
      <c r="Q105" s="80">
        <f t="shared" si="13"/>
        <v>5.5</v>
      </c>
      <c r="R105" s="87" t="s">
        <v>337</v>
      </c>
      <c r="S105" s="81">
        <v>5.5</v>
      </c>
      <c r="T105" s="82"/>
      <c r="U105" s="83"/>
      <c r="V105" s="84"/>
      <c r="W105" s="84"/>
      <c r="X105" s="84"/>
      <c r="Y105" s="85"/>
      <c r="Z105" s="86">
        <f t="shared" si="18"/>
        <v>26.398148148148152</v>
      </c>
      <c r="AA105" s="61">
        <f t="shared" si="14"/>
        <v>2</v>
      </c>
      <c r="AB105" s="62">
        <f t="shared" si="15"/>
        <v>2</v>
      </c>
      <c r="AC105" s="87" t="s">
        <v>337</v>
      </c>
      <c r="AD105" s="88">
        <v>13</v>
      </c>
      <c r="AE105" s="90"/>
      <c r="AF105" s="92"/>
      <c r="AG105" s="92"/>
      <c r="AH105" s="92"/>
    </row>
    <row r="106" spans="1:34" ht="16.5" customHeight="1" thickBot="1">
      <c r="A106" s="67">
        <v>104</v>
      </c>
      <c r="B106" s="68" t="s">
        <v>338</v>
      </c>
      <c r="C106" s="68" t="s">
        <v>339</v>
      </c>
      <c r="D106" s="69">
        <v>6</v>
      </c>
      <c r="E106" s="70">
        <v>6</v>
      </c>
      <c r="F106" s="70">
        <v>7.5</v>
      </c>
      <c r="G106" s="71">
        <f t="shared" si="16"/>
        <v>6.5</v>
      </c>
      <c r="H106" s="72">
        <v>6.5</v>
      </c>
      <c r="I106" s="73">
        <v>7</v>
      </c>
      <c r="J106" s="74">
        <v>5</v>
      </c>
      <c r="K106" s="74">
        <v>5.5</v>
      </c>
      <c r="L106" s="75">
        <v>6.5</v>
      </c>
      <c r="M106" s="76">
        <f t="shared" si="17"/>
        <v>5.666666666666667</v>
      </c>
      <c r="N106" s="77">
        <f t="shared" si="19"/>
        <v>67.148148148148152</v>
      </c>
      <c r="O106" s="78">
        <v>6.5</v>
      </c>
      <c r="P106" s="79">
        <v>5.5</v>
      </c>
      <c r="Q106" s="80">
        <f t="shared" si="13"/>
        <v>6</v>
      </c>
      <c r="R106" s="87" t="s">
        <v>340</v>
      </c>
      <c r="S106" s="89">
        <v>6</v>
      </c>
      <c r="T106" s="82"/>
      <c r="U106" s="83"/>
      <c r="V106" s="84"/>
      <c r="W106" s="84"/>
      <c r="X106" s="84"/>
      <c r="Y106" s="85"/>
      <c r="Z106" s="86">
        <f t="shared" si="18"/>
        <v>30.120370370370374</v>
      </c>
      <c r="AA106" s="61">
        <f t="shared" si="14"/>
        <v>2</v>
      </c>
      <c r="AB106" s="62">
        <f t="shared" si="15"/>
        <v>2</v>
      </c>
      <c r="AC106" s="87" t="s">
        <v>340</v>
      </c>
      <c r="AD106" s="88">
        <v>10</v>
      </c>
      <c r="AE106" s="90"/>
      <c r="AF106" s="92"/>
      <c r="AG106" s="92"/>
      <c r="AH106" s="92"/>
    </row>
    <row r="107" spans="1:34" ht="16.5" customHeight="1" thickBot="1">
      <c r="A107" s="67">
        <v>105</v>
      </c>
      <c r="B107" s="68" t="s">
        <v>341</v>
      </c>
      <c r="C107" s="68" t="s">
        <v>342</v>
      </c>
      <c r="D107" s="69">
        <v>7.5</v>
      </c>
      <c r="E107" s="70">
        <v>5.5</v>
      </c>
      <c r="F107" s="70">
        <v>8</v>
      </c>
      <c r="G107" s="71">
        <f t="shared" si="16"/>
        <v>7</v>
      </c>
      <c r="H107" s="72">
        <v>7</v>
      </c>
      <c r="I107" s="98">
        <v>8</v>
      </c>
      <c r="J107" s="99">
        <v>6</v>
      </c>
      <c r="K107" s="99">
        <v>9</v>
      </c>
      <c r="L107" s="100">
        <v>6.5</v>
      </c>
      <c r="M107" s="76">
        <f t="shared" si="17"/>
        <v>7.166666666666667</v>
      </c>
      <c r="N107" s="77">
        <f t="shared" si="19"/>
        <v>79.148148148148152</v>
      </c>
      <c r="O107" s="78">
        <v>5</v>
      </c>
      <c r="P107" s="79">
        <v>7.5</v>
      </c>
      <c r="Q107" s="80">
        <f t="shared" si="13"/>
        <v>6.25</v>
      </c>
      <c r="R107" s="87" t="s">
        <v>343</v>
      </c>
      <c r="S107" s="81">
        <v>6.5</v>
      </c>
      <c r="T107" s="104"/>
      <c r="U107" s="83"/>
      <c r="V107" s="84"/>
      <c r="W107" s="84"/>
      <c r="X107" s="84"/>
      <c r="Y107" s="85"/>
      <c r="Z107" s="86">
        <f t="shared" si="18"/>
        <v>33.675925925925924</v>
      </c>
      <c r="AA107" s="61">
        <f t="shared" si="14"/>
        <v>2</v>
      </c>
      <c r="AB107" s="62">
        <f t="shared" si="15"/>
        <v>2</v>
      </c>
      <c r="AC107" s="87" t="s">
        <v>343</v>
      </c>
      <c r="AD107" s="108" t="s">
        <v>113</v>
      </c>
      <c r="AE107" s="90"/>
      <c r="AF107" s="92"/>
      <c r="AG107" s="92"/>
      <c r="AH107" s="92"/>
    </row>
    <row r="108" spans="1:34" ht="16.5" customHeight="1" thickBot="1">
      <c r="A108" s="67">
        <v>106</v>
      </c>
      <c r="B108" s="68" t="s">
        <v>344</v>
      </c>
      <c r="C108" s="68" t="s">
        <v>345</v>
      </c>
      <c r="D108" s="69">
        <v>6.5</v>
      </c>
      <c r="E108" s="70">
        <v>5.5</v>
      </c>
      <c r="F108" s="70">
        <v>7</v>
      </c>
      <c r="G108" s="71">
        <f t="shared" si="16"/>
        <v>6.333333333333333</v>
      </c>
      <c r="H108" s="72">
        <v>6.5</v>
      </c>
      <c r="I108" s="98">
        <v>0</v>
      </c>
      <c r="J108" s="99"/>
      <c r="K108" s="99"/>
      <c r="L108" s="100">
        <v>2</v>
      </c>
      <c r="M108" s="76">
        <f t="shared" si="17"/>
        <v>2</v>
      </c>
      <c r="N108" s="77">
        <f t="shared" si="19"/>
        <v>32.777777777777779</v>
      </c>
      <c r="O108" s="78">
        <v>7.5</v>
      </c>
      <c r="P108" s="79">
        <v>7</v>
      </c>
      <c r="Q108" s="80">
        <f t="shared" si="13"/>
        <v>7.25</v>
      </c>
      <c r="R108" s="87" t="s">
        <v>346</v>
      </c>
      <c r="S108" s="81">
        <v>7.5</v>
      </c>
      <c r="T108" s="104"/>
      <c r="U108" s="83"/>
      <c r="V108" s="84"/>
      <c r="W108" s="84"/>
      <c r="X108" s="84"/>
      <c r="Y108" s="85"/>
      <c r="Z108" s="86">
        <f t="shared" si="18"/>
        <v>24.305555555555557</v>
      </c>
      <c r="AA108" s="61">
        <f t="shared" si="14"/>
        <v>2</v>
      </c>
      <c r="AB108" s="62">
        <f t="shared" si="15"/>
        <v>2</v>
      </c>
      <c r="AC108" s="87" t="s">
        <v>346</v>
      </c>
      <c r="AD108" s="108" t="s">
        <v>113</v>
      </c>
      <c r="AE108" s="90"/>
      <c r="AF108" s="92"/>
      <c r="AG108" s="92"/>
      <c r="AH108" s="92"/>
    </row>
    <row r="109" spans="1:34" ht="16.5" customHeight="1" thickBot="1">
      <c r="A109" s="67">
        <v>107</v>
      </c>
      <c r="B109" s="68" t="s">
        <v>347</v>
      </c>
      <c r="C109" s="68" t="s">
        <v>348</v>
      </c>
      <c r="D109" s="69">
        <v>7</v>
      </c>
      <c r="E109" s="70">
        <v>6</v>
      </c>
      <c r="F109" s="70">
        <v>7</v>
      </c>
      <c r="G109" s="71">
        <f t="shared" si="16"/>
        <v>6.666666666666667</v>
      </c>
      <c r="H109" s="72">
        <v>6.5</v>
      </c>
      <c r="I109" s="98">
        <v>0</v>
      </c>
      <c r="J109" s="99"/>
      <c r="K109" s="99"/>
      <c r="L109" s="100">
        <v>2</v>
      </c>
      <c r="M109" s="76">
        <f t="shared" si="17"/>
        <v>2</v>
      </c>
      <c r="N109" s="77">
        <f t="shared" si="19"/>
        <v>32.777777777777779</v>
      </c>
      <c r="O109" s="78">
        <v>7.5</v>
      </c>
      <c r="P109" s="79">
        <v>8</v>
      </c>
      <c r="Q109" s="80">
        <f t="shared" si="13"/>
        <v>7.75</v>
      </c>
      <c r="R109" s="87" t="s">
        <v>349</v>
      </c>
      <c r="S109" s="89">
        <v>8</v>
      </c>
      <c r="T109" s="104"/>
      <c r="U109" s="83"/>
      <c r="V109" s="84"/>
      <c r="W109" s="84"/>
      <c r="X109" s="84"/>
      <c r="Y109" s="85"/>
      <c r="Z109" s="86">
        <f t="shared" si="18"/>
        <v>25.416666666666664</v>
      </c>
      <c r="AA109" s="61">
        <f t="shared" si="14"/>
        <v>2</v>
      </c>
      <c r="AB109" s="62">
        <f t="shared" si="15"/>
        <v>2</v>
      </c>
      <c r="AC109" s="87" t="s">
        <v>349</v>
      </c>
      <c r="AD109" s="108" t="s">
        <v>113</v>
      </c>
      <c r="AE109" s="90"/>
      <c r="AF109" s="92"/>
      <c r="AG109" s="92"/>
      <c r="AH109" s="92"/>
    </row>
    <row r="110" spans="1:34" ht="16.5" customHeight="1" thickBot="1">
      <c r="A110" s="67">
        <v>108</v>
      </c>
      <c r="B110" s="68" t="s">
        <v>350</v>
      </c>
      <c r="C110" s="68" t="s">
        <v>351</v>
      </c>
      <c r="D110" s="69">
        <v>4.5</v>
      </c>
      <c r="E110" s="70">
        <v>4</v>
      </c>
      <c r="F110" s="70">
        <v>5.5</v>
      </c>
      <c r="G110" s="71">
        <f t="shared" si="16"/>
        <v>4.666666666666667</v>
      </c>
      <c r="H110" s="72">
        <v>4.5</v>
      </c>
      <c r="I110" s="98">
        <v>5</v>
      </c>
      <c r="J110" s="99">
        <v>5</v>
      </c>
      <c r="K110" s="99">
        <v>3</v>
      </c>
      <c r="L110" s="100">
        <v>5.5</v>
      </c>
      <c r="M110" s="76">
        <f t="shared" si="17"/>
        <v>4.5</v>
      </c>
      <c r="N110" s="77">
        <f t="shared" si="19"/>
        <v>50</v>
      </c>
      <c r="O110" s="78">
        <v>5</v>
      </c>
      <c r="P110" s="79">
        <v>4.5</v>
      </c>
      <c r="Q110" s="80">
        <f t="shared" si="13"/>
        <v>4.75</v>
      </c>
      <c r="R110" s="87" t="s">
        <v>352</v>
      </c>
      <c r="S110" s="89">
        <v>5</v>
      </c>
      <c r="T110" s="104"/>
      <c r="U110" s="83"/>
      <c r="V110" s="84"/>
      <c r="W110" s="84"/>
      <c r="X110" s="84"/>
      <c r="Y110" s="85"/>
      <c r="Z110" s="86">
        <f t="shared" si="18"/>
        <v>23.055555555555557</v>
      </c>
      <c r="AA110" s="61">
        <f t="shared" si="14"/>
        <v>2</v>
      </c>
      <c r="AB110" s="62">
        <f t="shared" si="15"/>
        <v>2</v>
      </c>
      <c r="AC110" s="87" t="s">
        <v>352</v>
      </c>
      <c r="AD110" s="88">
        <v>12</v>
      </c>
      <c r="AE110" s="90"/>
      <c r="AF110" s="92"/>
      <c r="AG110" s="92"/>
      <c r="AH110" s="92"/>
    </row>
    <row r="111" spans="1:34" ht="16.5" customHeight="1" thickBot="1">
      <c r="A111" s="67">
        <v>109</v>
      </c>
      <c r="B111" s="68" t="s">
        <v>353</v>
      </c>
      <c r="C111" s="68" t="s">
        <v>354</v>
      </c>
      <c r="D111" s="69">
        <v>6</v>
      </c>
      <c r="E111" s="70">
        <v>6.5</v>
      </c>
      <c r="F111" s="70">
        <v>6.5</v>
      </c>
      <c r="G111" s="71">
        <f t="shared" si="16"/>
        <v>6.333333333333333</v>
      </c>
      <c r="H111" s="72">
        <v>6.5</v>
      </c>
      <c r="I111" s="98">
        <v>5</v>
      </c>
      <c r="J111" s="99">
        <v>5.5</v>
      </c>
      <c r="K111" s="99">
        <v>5</v>
      </c>
      <c r="L111" s="100">
        <v>6.5</v>
      </c>
      <c r="M111" s="76">
        <f t="shared" si="17"/>
        <v>5.666666666666667</v>
      </c>
      <c r="N111" s="77">
        <f t="shared" si="19"/>
        <v>63.148148148148152</v>
      </c>
      <c r="O111" s="78">
        <v>6.5</v>
      </c>
      <c r="P111" s="79">
        <v>6</v>
      </c>
      <c r="Q111" s="80">
        <f t="shared" si="13"/>
        <v>6.25</v>
      </c>
      <c r="R111" s="87" t="s">
        <v>355</v>
      </c>
      <c r="S111" s="81">
        <v>6.5</v>
      </c>
      <c r="T111" s="104"/>
      <c r="U111" s="83"/>
      <c r="V111" s="84"/>
      <c r="W111" s="84"/>
      <c r="X111" s="84"/>
      <c r="Y111" s="85"/>
      <c r="Z111" s="86">
        <f t="shared" si="18"/>
        <v>29.675925925925927</v>
      </c>
      <c r="AA111" s="61">
        <f t="shared" si="14"/>
        <v>2</v>
      </c>
      <c r="AB111" s="62">
        <f t="shared" si="15"/>
        <v>2</v>
      </c>
      <c r="AC111" s="87" t="s">
        <v>355</v>
      </c>
      <c r="AD111" s="88">
        <v>5</v>
      </c>
      <c r="AE111" s="90"/>
      <c r="AF111" s="92"/>
      <c r="AG111" s="92"/>
      <c r="AH111" s="92"/>
    </row>
    <row r="112" spans="1:34" ht="16.5" customHeight="1" thickBot="1">
      <c r="A112" s="67">
        <v>110</v>
      </c>
      <c r="B112" s="68" t="s">
        <v>356</v>
      </c>
      <c r="C112" s="68" t="s">
        <v>357</v>
      </c>
      <c r="D112" s="69"/>
      <c r="E112" s="70"/>
      <c r="F112" s="70"/>
      <c r="G112" s="71">
        <f t="shared" si="16"/>
        <v>0</v>
      </c>
      <c r="H112" s="72"/>
      <c r="I112" s="98">
        <v>6</v>
      </c>
      <c r="J112" s="99">
        <v>5</v>
      </c>
      <c r="K112" s="99">
        <v>5</v>
      </c>
      <c r="L112" s="100">
        <v>2</v>
      </c>
      <c r="M112" s="76">
        <f t="shared" si="17"/>
        <v>4</v>
      </c>
      <c r="N112" s="77">
        <f>(H112*30/9+2*I112+M112*50/9)*1.15</f>
        <v>39.355555555555554</v>
      </c>
      <c r="O112" s="78">
        <v>5</v>
      </c>
      <c r="P112" s="79">
        <v>2</v>
      </c>
      <c r="Q112" s="80">
        <f t="shared" si="13"/>
        <v>3.5</v>
      </c>
      <c r="R112" s="87" t="s">
        <v>358</v>
      </c>
      <c r="S112" s="81">
        <v>3.5</v>
      </c>
      <c r="T112" s="104"/>
      <c r="U112" s="83"/>
      <c r="V112" s="84"/>
      <c r="W112" s="84"/>
      <c r="X112" s="84"/>
      <c r="Y112" s="85"/>
      <c r="Z112" s="86">
        <f t="shared" si="18"/>
        <v>17.616666666666667</v>
      </c>
      <c r="AA112" s="61">
        <f t="shared" si="14"/>
        <v>2</v>
      </c>
      <c r="AB112" s="62">
        <f t="shared" si="15"/>
        <v>2</v>
      </c>
      <c r="AC112" s="87" t="s">
        <v>358</v>
      </c>
      <c r="AD112" s="88">
        <v>1</v>
      </c>
      <c r="AE112" s="90"/>
      <c r="AF112" s="92"/>
      <c r="AG112" s="92"/>
      <c r="AH112" s="92"/>
    </row>
    <row r="113" spans="1:34" ht="16.5" customHeight="1" thickBot="1">
      <c r="A113" s="67">
        <v>111</v>
      </c>
      <c r="B113" s="68" t="s">
        <v>359</v>
      </c>
      <c r="C113" s="68" t="s">
        <v>360</v>
      </c>
      <c r="D113" s="69">
        <v>6.5</v>
      </c>
      <c r="E113" s="70">
        <v>6.5</v>
      </c>
      <c r="F113" s="70">
        <v>7</v>
      </c>
      <c r="G113" s="71">
        <f t="shared" si="16"/>
        <v>6.666666666666667</v>
      </c>
      <c r="H113" s="72">
        <v>6.5</v>
      </c>
      <c r="I113" s="98">
        <v>8</v>
      </c>
      <c r="J113" s="99">
        <v>5.5</v>
      </c>
      <c r="K113" s="99">
        <v>5.5</v>
      </c>
      <c r="L113" s="100">
        <v>6.5</v>
      </c>
      <c r="M113" s="76">
        <f t="shared" si="17"/>
        <v>5.833333333333333</v>
      </c>
      <c r="N113" s="77">
        <f t="shared" ref="N113:N118" si="20">H113*30/9+2*I113+M113*50/9</f>
        <v>70.074074074074076</v>
      </c>
      <c r="O113" s="78">
        <v>5.5</v>
      </c>
      <c r="P113" s="79">
        <v>7.5</v>
      </c>
      <c r="Q113" s="80">
        <f t="shared" si="13"/>
        <v>6.5</v>
      </c>
      <c r="R113" s="87" t="s">
        <v>361</v>
      </c>
      <c r="S113" s="81">
        <v>6.5</v>
      </c>
      <c r="T113" s="104"/>
      <c r="U113" s="83"/>
      <c r="V113" s="84"/>
      <c r="W113" s="84"/>
      <c r="X113" s="84"/>
      <c r="Y113" s="85"/>
      <c r="Z113" s="86">
        <f t="shared" si="18"/>
        <v>31.962962962962962</v>
      </c>
      <c r="AA113" s="61">
        <f t="shared" si="14"/>
        <v>2</v>
      </c>
      <c r="AB113" s="62">
        <f t="shared" si="15"/>
        <v>2</v>
      </c>
      <c r="AC113" s="87" t="s">
        <v>361</v>
      </c>
      <c r="AD113" s="88">
        <v>11</v>
      </c>
      <c r="AE113" s="90"/>
      <c r="AF113" s="92"/>
      <c r="AG113" s="92"/>
      <c r="AH113" s="92"/>
    </row>
    <row r="114" spans="1:34" ht="16.5" customHeight="1" thickBot="1">
      <c r="A114" s="67">
        <v>112</v>
      </c>
      <c r="B114" s="68" t="s">
        <v>362</v>
      </c>
      <c r="C114" s="68" t="s">
        <v>363</v>
      </c>
      <c r="D114" s="69">
        <v>6</v>
      </c>
      <c r="E114" s="70">
        <v>6</v>
      </c>
      <c r="F114" s="70">
        <v>8</v>
      </c>
      <c r="G114" s="71">
        <f t="shared" si="16"/>
        <v>6.666666666666667</v>
      </c>
      <c r="H114" s="72">
        <v>6.5</v>
      </c>
      <c r="I114" s="98">
        <v>0</v>
      </c>
      <c r="J114" s="99">
        <v>6</v>
      </c>
      <c r="K114" s="99">
        <v>6</v>
      </c>
      <c r="L114" s="100">
        <v>6</v>
      </c>
      <c r="M114" s="76">
        <f t="shared" si="17"/>
        <v>6</v>
      </c>
      <c r="N114" s="77">
        <f t="shared" si="20"/>
        <v>55</v>
      </c>
      <c r="O114" s="78">
        <v>6.5</v>
      </c>
      <c r="P114" s="79">
        <v>6.5</v>
      </c>
      <c r="Q114" s="80">
        <f t="shared" si="13"/>
        <v>6.5</v>
      </c>
      <c r="R114" s="87" t="s">
        <v>364</v>
      </c>
      <c r="S114" s="81">
        <v>6.5</v>
      </c>
      <c r="T114" s="104"/>
      <c r="U114" s="83"/>
      <c r="V114" s="84"/>
      <c r="W114" s="84"/>
      <c r="X114" s="84"/>
      <c r="Y114" s="85"/>
      <c r="Z114" s="86">
        <f t="shared" si="18"/>
        <v>28.194444444444443</v>
      </c>
      <c r="AA114" s="61">
        <f t="shared" si="14"/>
        <v>2</v>
      </c>
      <c r="AB114" s="62">
        <f t="shared" si="15"/>
        <v>2</v>
      </c>
      <c r="AC114" s="87" t="s">
        <v>364</v>
      </c>
      <c r="AD114" s="88">
        <v>3</v>
      </c>
      <c r="AE114" s="90"/>
      <c r="AF114" s="92"/>
      <c r="AG114" s="92"/>
      <c r="AH114" s="92"/>
    </row>
    <row r="115" spans="1:34" ht="16.5" customHeight="1" thickBot="1">
      <c r="A115" s="67">
        <v>113</v>
      </c>
      <c r="B115" s="68" t="s">
        <v>365</v>
      </c>
      <c r="C115" s="68" t="s">
        <v>366</v>
      </c>
      <c r="D115" s="111"/>
      <c r="E115" s="70"/>
      <c r="F115" s="70"/>
      <c r="G115" s="71">
        <f t="shared" si="16"/>
        <v>0</v>
      </c>
      <c r="H115" s="72"/>
      <c r="I115" s="73">
        <v>0</v>
      </c>
      <c r="J115" s="74">
        <v>6</v>
      </c>
      <c r="K115" s="74">
        <v>4.5</v>
      </c>
      <c r="L115" s="75">
        <v>6.5</v>
      </c>
      <c r="M115" s="76">
        <f t="shared" si="17"/>
        <v>5.666666666666667</v>
      </c>
      <c r="N115" s="77">
        <f t="shared" si="20"/>
        <v>31.481481481481485</v>
      </c>
      <c r="O115" s="78"/>
      <c r="P115" s="79"/>
      <c r="Q115" s="80" t="e">
        <f t="shared" si="13"/>
        <v>#DIV/0!</v>
      </c>
      <c r="R115" s="87" t="s">
        <v>367</v>
      </c>
      <c r="S115" s="89">
        <v>0</v>
      </c>
      <c r="T115" s="82"/>
      <c r="U115" s="83"/>
      <c r="V115" s="84"/>
      <c r="W115" s="84"/>
      <c r="X115" s="84"/>
      <c r="Y115" s="85"/>
      <c r="Z115" s="86" t="e">
        <f t="shared" si="18"/>
        <v>#DIV/0!</v>
      </c>
      <c r="AA115" s="61" t="e">
        <f t="shared" si="14"/>
        <v>#DIV/0!</v>
      </c>
      <c r="AB115" s="62" t="e">
        <f t="shared" si="15"/>
        <v>#DIV/0!</v>
      </c>
      <c r="AC115" s="87" t="s">
        <v>367</v>
      </c>
      <c r="AD115" s="88">
        <v>6</v>
      </c>
      <c r="AE115" s="90"/>
      <c r="AF115" s="92"/>
      <c r="AG115" s="92"/>
      <c r="AH115" s="92"/>
    </row>
    <row r="116" spans="1:34" ht="16.5" customHeight="1" thickBot="1">
      <c r="A116" s="67">
        <v>114</v>
      </c>
      <c r="B116" s="68" t="s">
        <v>368</v>
      </c>
      <c r="C116" s="68" t="s">
        <v>369</v>
      </c>
      <c r="D116" s="111">
        <v>6</v>
      </c>
      <c r="E116" s="70">
        <v>7</v>
      </c>
      <c r="F116" s="70">
        <v>7</v>
      </c>
      <c r="G116" s="71">
        <f t="shared" si="16"/>
        <v>6.666666666666667</v>
      </c>
      <c r="H116" s="72">
        <v>6.5</v>
      </c>
      <c r="I116" s="73">
        <v>5</v>
      </c>
      <c r="J116" s="74">
        <v>5.5</v>
      </c>
      <c r="K116" s="74">
        <v>6</v>
      </c>
      <c r="L116" s="75">
        <v>6.5</v>
      </c>
      <c r="M116" s="76">
        <f t="shared" si="17"/>
        <v>6</v>
      </c>
      <c r="N116" s="77">
        <f t="shared" si="20"/>
        <v>65</v>
      </c>
      <c r="O116" s="78">
        <v>7</v>
      </c>
      <c r="P116" s="79">
        <v>7</v>
      </c>
      <c r="Q116" s="80">
        <f t="shared" si="13"/>
        <v>7</v>
      </c>
      <c r="R116" s="87" t="s">
        <v>370</v>
      </c>
      <c r="S116" s="89">
        <v>7</v>
      </c>
      <c r="T116" s="82"/>
      <c r="U116" s="83"/>
      <c r="V116" s="84"/>
      <c r="W116" s="84"/>
      <c r="X116" s="84"/>
      <c r="Y116" s="85"/>
      <c r="Z116" s="86">
        <f t="shared" si="18"/>
        <v>31.805555555555557</v>
      </c>
      <c r="AA116" s="61">
        <f t="shared" si="14"/>
        <v>2</v>
      </c>
      <c r="AB116" s="62">
        <f t="shared" si="15"/>
        <v>2</v>
      </c>
      <c r="AC116" s="87" t="s">
        <v>370</v>
      </c>
      <c r="AD116" s="88">
        <v>11</v>
      </c>
      <c r="AE116" s="90"/>
      <c r="AF116" s="92"/>
      <c r="AG116" s="92"/>
      <c r="AH116" s="92"/>
    </row>
    <row r="117" spans="1:34" ht="16.5" customHeight="1" thickBot="1">
      <c r="A117" s="67">
        <v>115</v>
      </c>
      <c r="B117" s="68" t="s">
        <v>371</v>
      </c>
      <c r="C117" s="68" t="s">
        <v>372</v>
      </c>
      <c r="D117" s="111">
        <v>5</v>
      </c>
      <c r="E117" s="70">
        <v>6.5</v>
      </c>
      <c r="F117" s="70">
        <v>6.5</v>
      </c>
      <c r="G117" s="71">
        <f t="shared" si="16"/>
        <v>6</v>
      </c>
      <c r="H117" s="72">
        <v>6</v>
      </c>
      <c r="I117" s="73">
        <v>7</v>
      </c>
      <c r="J117" s="74">
        <v>5.5</v>
      </c>
      <c r="K117" s="74">
        <v>4</v>
      </c>
      <c r="L117" s="75">
        <v>6</v>
      </c>
      <c r="M117" s="76">
        <f t="shared" si="17"/>
        <v>5.166666666666667</v>
      </c>
      <c r="N117" s="77">
        <f t="shared" si="20"/>
        <v>62.703703703703709</v>
      </c>
      <c r="O117" s="78">
        <v>5.5</v>
      </c>
      <c r="P117" s="79">
        <v>6</v>
      </c>
      <c r="Q117" s="80">
        <f t="shared" si="13"/>
        <v>5.75</v>
      </c>
      <c r="R117" s="87" t="s">
        <v>373</v>
      </c>
      <c r="S117" s="89">
        <v>6</v>
      </c>
      <c r="T117" s="82"/>
      <c r="U117" s="83"/>
      <c r="V117" s="84"/>
      <c r="W117" s="84"/>
      <c r="X117" s="84"/>
      <c r="Y117" s="85"/>
      <c r="Z117" s="86">
        <f t="shared" si="18"/>
        <v>28.453703703703706</v>
      </c>
      <c r="AA117" s="61">
        <f t="shared" si="14"/>
        <v>2</v>
      </c>
      <c r="AB117" s="62">
        <f t="shared" si="15"/>
        <v>2</v>
      </c>
      <c r="AC117" s="87" t="s">
        <v>373</v>
      </c>
      <c r="AD117" s="88">
        <v>9</v>
      </c>
      <c r="AE117" s="90"/>
      <c r="AF117" s="92"/>
      <c r="AG117" s="92"/>
      <c r="AH117" s="92"/>
    </row>
    <row r="118" spans="1:34" ht="16.5" customHeight="1" thickBot="1">
      <c r="A118" s="67">
        <v>116</v>
      </c>
      <c r="B118" s="68" t="s">
        <v>374</v>
      </c>
      <c r="C118" s="68" t="s">
        <v>375</v>
      </c>
      <c r="D118" s="69">
        <v>5.5</v>
      </c>
      <c r="E118" s="70">
        <v>5</v>
      </c>
      <c r="F118" s="70">
        <v>7</v>
      </c>
      <c r="G118" s="71">
        <f t="shared" si="16"/>
        <v>5.833333333333333</v>
      </c>
      <c r="H118" s="72">
        <v>6</v>
      </c>
      <c r="I118" s="73">
        <v>8</v>
      </c>
      <c r="J118" s="74">
        <v>5.5</v>
      </c>
      <c r="K118" s="74">
        <v>5.5</v>
      </c>
      <c r="L118" s="75">
        <v>6.5</v>
      </c>
      <c r="M118" s="76">
        <f t="shared" si="17"/>
        <v>5.833333333333333</v>
      </c>
      <c r="N118" s="77">
        <f t="shared" si="20"/>
        <v>68.407407407407405</v>
      </c>
      <c r="O118" s="78">
        <v>5.5</v>
      </c>
      <c r="P118" s="79">
        <v>6.5</v>
      </c>
      <c r="Q118" s="80">
        <f t="shared" si="13"/>
        <v>6</v>
      </c>
      <c r="R118" s="87" t="s">
        <v>376</v>
      </c>
      <c r="S118" s="89">
        <v>6</v>
      </c>
      <c r="T118" s="82"/>
      <c r="U118" s="83"/>
      <c r="V118" s="84"/>
      <c r="W118" s="84"/>
      <c r="X118" s="84"/>
      <c r="Y118" s="85"/>
      <c r="Z118" s="86">
        <f t="shared" si="18"/>
        <v>30.435185185185183</v>
      </c>
      <c r="AA118" s="61">
        <f t="shared" si="14"/>
        <v>2</v>
      </c>
      <c r="AB118" s="62">
        <f t="shared" si="15"/>
        <v>2</v>
      </c>
      <c r="AC118" s="87" t="s">
        <v>376</v>
      </c>
      <c r="AD118" s="88">
        <v>15</v>
      </c>
      <c r="AE118" s="90"/>
      <c r="AF118" s="92"/>
      <c r="AG118" s="92"/>
      <c r="AH118" s="92"/>
    </row>
    <row r="119" spans="1:34" ht="16.5" customHeight="1" thickBot="1">
      <c r="A119" s="67">
        <v>117</v>
      </c>
      <c r="B119" s="68" t="s">
        <v>377</v>
      </c>
      <c r="C119" s="68" t="s">
        <v>378</v>
      </c>
      <c r="D119" s="111"/>
      <c r="E119" s="70"/>
      <c r="F119" s="70"/>
      <c r="G119" s="71">
        <f t="shared" si="16"/>
        <v>0</v>
      </c>
      <c r="H119" s="72"/>
      <c r="I119" s="73">
        <v>7</v>
      </c>
      <c r="J119" s="74">
        <v>5.5</v>
      </c>
      <c r="K119" s="74">
        <v>5</v>
      </c>
      <c r="L119" s="75">
        <v>6</v>
      </c>
      <c r="M119" s="76">
        <f t="shared" si="17"/>
        <v>5.5</v>
      </c>
      <c r="N119" s="77">
        <f>(H119*30/9+2*I119+M119*50/9)*1.15</f>
        <v>51.238888888888887</v>
      </c>
      <c r="O119" s="78">
        <v>7</v>
      </c>
      <c r="P119" s="79">
        <v>5.5</v>
      </c>
      <c r="Q119" s="80">
        <f t="shared" si="13"/>
        <v>6.25</v>
      </c>
      <c r="R119" s="87" t="s">
        <v>379</v>
      </c>
      <c r="S119" s="81">
        <v>6.5</v>
      </c>
      <c r="T119" s="82"/>
      <c r="U119" s="83"/>
      <c r="V119" s="84"/>
      <c r="W119" s="84"/>
      <c r="X119" s="84"/>
      <c r="Y119" s="85"/>
      <c r="Z119" s="86">
        <f t="shared" si="18"/>
        <v>26.698611111111113</v>
      </c>
      <c r="AA119" s="61">
        <f t="shared" si="14"/>
        <v>2</v>
      </c>
      <c r="AB119" s="62">
        <f t="shared" si="15"/>
        <v>2</v>
      </c>
      <c r="AC119" s="87" t="s">
        <v>379</v>
      </c>
      <c r="AD119" s="88">
        <v>16</v>
      </c>
      <c r="AE119" s="90"/>
      <c r="AF119" s="92"/>
      <c r="AG119" s="92"/>
      <c r="AH119" s="92"/>
    </row>
    <row r="120" spans="1:34" ht="16.5" customHeight="1" thickBot="1">
      <c r="A120" s="67">
        <v>118</v>
      </c>
      <c r="B120" s="68" t="s">
        <v>380</v>
      </c>
      <c r="C120" s="68" t="s">
        <v>381</v>
      </c>
      <c r="D120" s="111">
        <v>6.5</v>
      </c>
      <c r="E120" s="70">
        <v>6</v>
      </c>
      <c r="F120" s="70">
        <v>7</v>
      </c>
      <c r="G120" s="71">
        <f t="shared" si="16"/>
        <v>6.5</v>
      </c>
      <c r="H120" s="72">
        <v>6.5</v>
      </c>
      <c r="I120" s="73">
        <v>7</v>
      </c>
      <c r="J120" s="74">
        <v>6</v>
      </c>
      <c r="K120" s="74">
        <v>5</v>
      </c>
      <c r="L120" s="75">
        <v>6.5</v>
      </c>
      <c r="M120" s="76">
        <f t="shared" si="17"/>
        <v>5.833333333333333</v>
      </c>
      <c r="N120" s="77">
        <f t="shared" ref="N120:N182" si="21">H120*30/9+2*I120+M120*50/9</f>
        <v>68.074074074074076</v>
      </c>
      <c r="O120" s="78">
        <v>7</v>
      </c>
      <c r="P120" s="79">
        <v>4</v>
      </c>
      <c r="Q120" s="80">
        <f t="shared" si="13"/>
        <v>5.5</v>
      </c>
      <c r="R120" s="87" t="s">
        <v>382</v>
      </c>
      <c r="S120" s="81">
        <v>5.5</v>
      </c>
      <c r="T120" s="82"/>
      <c r="U120" s="83"/>
      <c r="V120" s="84"/>
      <c r="W120" s="84"/>
      <c r="X120" s="84"/>
      <c r="Y120" s="85"/>
      <c r="Z120" s="86">
        <f t="shared" si="18"/>
        <v>29.24074074074074</v>
      </c>
      <c r="AA120" s="61">
        <f t="shared" si="14"/>
        <v>2</v>
      </c>
      <c r="AB120" s="62">
        <f t="shared" si="15"/>
        <v>2</v>
      </c>
      <c r="AC120" s="87" t="s">
        <v>382</v>
      </c>
      <c r="AD120" s="88">
        <v>7</v>
      </c>
      <c r="AE120" s="90"/>
      <c r="AF120" s="92"/>
      <c r="AG120" s="92"/>
      <c r="AH120" s="92"/>
    </row>
    <row r="121" spans="1:34" ht="16.5" customHeight="1" thickBot="1">
      <c r="A121" s="67">
        <v>119</v>
      </c>
      <c r="B121" s="68" t="s">
        <v>383</v>
      </c>
      <c r="C121" s="68" t="s">
        <v>384</v>
      </c>
      <c r="D121" s="111">
        <v>6</v>
      </c>
      <c r="E121" s="70">
        <v>6.5</v>
      </c>
      <c r="F121" s="70">
        <v>8</v>
      </c>
      <c r="G121" s="71">
        <f t="shared" si="16"/>
        <v>6.833333333333333</v>
      </c>
      <c r="H121" s="72">
        <v>7</v>
      </c>
      <c r="I121" s="73">
        <v>9</v>
      </c>
      <c r="J121" s="74">
        <v>6</v>
      </c>
      <c r="K121" s="74">
        <v>4.5</v>
      </c>
      <c r="L121" s="75">
        <v>6</v>
      </c>
      <c r="M121" s="76">
        <f t="shared" si="17"/>
        <v>5.5</v>
      </c>
      <c r="N121" s="77">
        <f t="shared" si="21"/>
        <v>71.888888888888886</v>
      </c>
      <c r="O121" s="78">
        <v>6</v>
      </c>
      <c r="P121" s="79">
        <v>5.5</v>
      </c>
      <c r="Q121" s="80">
        <f t="shared" si="13"/>
        <v>5.75</v>
      </c>
      <c r="R121" s="87" t="s">
        <v>385</v>
      </c>
      <c r="S121" s="89">
        <v>6</v>
      </c>
      <c r="T121" s="82"/>
      <c r="U121" s="83"/>
      <c r="V121" s="84"/>
      <c r="W121" s="84"/>
      <c r="X121" s="84"/>
      <c r="Y121" s="85"/>
      <c r="Z121" s="86">
        <f t="shared" si="18"/>
        <v>30.75</v>
      </c>
      <c r="AA121" s="61">
        <f t="shared" si="14"/>
        <v>2</v>
      </c>
      <c r="AB121" s="62">
        <f t="shared" si="15"/>
        <v>2</v>
      </c>
      <c r="AC121" s="87" t="s">
        <v>385</v>
      </c>
      <c r="AD121" s="88">
        <v>5</v>
      </c>
      <c r="AE121" s="90"/>
      <c r="AF121" s="92"/>
      <c r="AG121" s="92"/>
      <c r="AH121" s="92"/>
    </row>
    <row r="122" spans="1:34" ht="16.5" customHeight="1" thickBot="1">
      <c r="A122" s="67">
        <v>120</v>
      </c>
      <c r="B122" s="68" t="s">
        <v>386</v>
      </c>
      <c r="C122" s="68" t="s">
        <v>387</v>
      </c>
      <c r="D122" s="111">
        <v>4.5</v>
      </c>
      <c r="E122" s="70">
        <v>5.5</v>
      </c>
      <c r="F122" s="70">
        <v>5.5</v>
      </c>
      <c r="G122" s="71">
        <f t="shared" si="16"/>
        <v>5.166666666666667</v>
      </c>
      <c r="H122" s="72">
        <v>5</v>
      </c>
      <c r="I122" s="73">
        <v>5</v>
      </c>
      <c r="J122" s="74">
        <v>3.5</v>
      </c>
      <c r="K122" s="74">
        <v>3</v>
      </c>
      <c r="L122" s="75">
        <v>5.5</v>
      </c>
      <c r="M122" s="76">
        <f t="shared" si="17"/>
        <v>4</v>
      </c>
      <c r="N122" s="77">
        <f t="shared" si="21"/>
        <v>48.888888888888886</v>
      </c>
      <c r="O122" s="78">
        <v>4.5</v>
      </c>
      <c r="P122" s="79">
        <v>3.5</v>
      </c>
      <c r="Q122" s="80">
        <f t="shared" si="13"/>
        <v>4</v>
      </c>
      <c r="R122" s="87" t="s">
        <v>388</v>
      </c>
      <c r="S122" s="89">
        <v>4</v>
      </c>
      <c r="T122" s="82"/>
      <c r="U122" s="83"/>
      <c r="V122" s="84"/>
      <c r="W122" s="84"/>
      <c r="X122" s="84"/>
      <c r="Y122" s="85"/>
      <c r="Z122" s="86">
        <f t="shared" si="18"/>
        <v>21.111111111111111</v>
      </c>
      <c r="AA122" s="61">
        <f t="shared" si="14"/>
        <v>2</v>
      </c>
      <c r="AB122" s="62">
        <f t="shared" si="15"/>
        <v>2</v>
      </c>
      <c r="AC122" s="87" t="s">
        <v>388</v>
      </c>
      <c r="AD122" s="88">
        <v>15</v>
      </c>
      <c r="AE122" s="90"/>
      <c r="AF122" s="92"/>
      <c r="AG122" s="92"/>
      <c r="AH122" s="92"/>
    </row>
    <row r="123" spans="1:34" ht="16.5" customHeight="1" thickBot="1">
      <c r="A123" s="67">
        <v>121</v>
      </c>
      <c r="B123" s="68" t="s">
        <v>389</v>
      </c>
      <c r="C123" s="68" t="s">
        <v>390</v>
      </c>
      <c r="D123" s="111">
        <v>5</v>
      </c>
      <c r="E123" s="70">
        <v>6</v>
      </c>
      <c r="F123" s="70">
        <v>7.5</v>
      </c>
      <c r="G123" s="71">
        <f t="shared" si="16"/>
        <v>6.166666666666667</v>
      </c>
      <c r="H123" s="72">
        <v>6</v>
      </c>
      <c r="I123" s="73">
        <v>3</v>
      </c>
      <c r="J123" s="74">
        <v>5.5</v>
      </c>
      <c r="K123" s="74">
        <v>3</v>
      </c>
      <c r="L123" s="75">
        <v>6</v>
      </c>
      <c r="M123" s="76">
        <f t="shared" si="17"/>
        <v>4.833333333333333</v>
      </c>
      <c r="N123" s="77">
        <f t="shared" si="21"/>
        <v>52.851851851851848</v>
      </c>
      <c r="O123" s="78">
        <v>5.5</v>
      </c>
      <c r="P123" s="79">
        <v>7</v>
      </c>
      <c r="Q123" s="80">
        <f t="shared" si="13"/>
        <v>6.25</v>
      </c>
      <c r="R123" s="87" t="s">
        <v>391</v>
      </c>
      <c r="S123" s="81">
        <v>6.5</v>
      </c>
      <c r="T123" s="82"/>
      <c r="U123" s="83"/>
      <c r="V123" s="84"/>
      <c r="W123" s="84"/>
      <c r="X123" s="84"/>
      <c r="Y123" s="85"/>
      <c r="Z123" s="86">
        <f t="shared" si="18"/>
        <v>27.101851851851851</v>
      </c>
      <c r="AA123" s="61">
        <f t="shared" si="14"/>
        <v>2</v>
      </c>
      <c r="AB123" s="62">
        <f t="shared" si="15"/>
        <v>2</v>
      </c>
      <c r="AC123" s="87" t="s">
        <v>391</v>
      </c>
      <c r="AD123" s="88">
        <v>15</v>
      </c>
      <c r="AE123" s="90"/>
      <c r="AF123" s="92"/>
      <c r="AG123" s="92"/>
      <c r="AH123" s="92"/>
    </row>
    <row r="124" spans="1:34" ht="16.5" customHeight="1" thickBot="1">
      <c r="A124" s="67">
        <v>122</v>
      </c>
      <c r="B124" s="68" t="s">
        <v>392</v>
      </c>
      <c r="C124" s="68" t="s">
        <v>393</v>
      </c>
      <c r="D124" s="111">
        <v>5</v>
      </c>
      <c r="E124" s="70">
        <v>4</v>
      </c>
      <c r="F124" s="70">
        <v>6</v>
      </c>
      <c r="G124" s="71">
        <f t="shared" si="16"/>
        <v>5</v>
      </c>
      <c r="H124" s="72">
        <v>5</v>
      </c>
      <c r="I124" s="73">
        <v>8.5</v>
      </c>
      <c r="J124" s="74">
        <v>5</v>
      </c>
      <c r="K124" s="74">
        <v>4.5</v>
      </c>
      <c r="L124" s="75">
        <v>6</v>
      </c>
      <c r="M124" s="76">
        <f t="shared" si="17"/>
        <v>5.166666666666667</v>
      </c>
      <c r="N124" s="77">
        <f t="shared" si="21"/>
        <v>62.370370370370381</v>
      </c>
      <c r="O124" s="78">
        <v>5</v>
      </c>
      <c r="P124" s="79">
        <v>4.5</v>
      </c>
      <c r="Q124" s="80">
        <f t="shared" ref="Q124:Q182" si="22">AVERAGE(O124:P124)</f>
        <v>4.75</v>
      </c>
      <c r="R124" s="87" t="s">
        <v>394</v>
      </c>
      <c r="S124" s="89">
        <v>5</v>
      </c>
      <c r="T124" s="82"/>
      <c r="U124" s="83"/>
      <c r="V124" s="84"/>
      <c r="W124" s="84"/>
      <c r="X124" s="84"/>
      <c r="Y124" s="85"/>
      <c r="Z124" s="86">
        <f t="shared" si="18"/>
        <v>26.148148148148152</v>
      </c>
      <c r="AA124" s="61">
        <f t="shared" si="14"/>
        <v>2</v>
      </c>
      <c r="AB124" s="62">
        <f t="shared" si="15"/>
        <v>2</v>
      </c>
      <c r="AC124" s="87" t="s">
        <v>394</v>
      </c>
      <c r="AD124" s="88">
        <v>14</v>
      </c>
      <c r="AE124" s="90"/>
      <c r="AF124" s="92"/>
      <c r="AG124" s="92"/>
      <c r="AH124" s="92"/>
    </row>
    <row r="125" spans="1:34" ht="16.5" customHeight="1" thickBot="1">
      <c r="A125" s="67">
        <v>123</v>
      </c>
      <c r="B125" s="68" t="s">
        <v>395</v>
      </c>
      <c r="C125" s="68" t="s">
        <v>396</v>
      </c>
      <c r="D125" s="111">
        <v>5</v>
      </c>
      <c r="E125" s="70">
        <v>5</v>
      </c>
      <c r="F125" s="70">
        <v>8</v>
      </c>
      <c r="G125" s="71">
        <f t="shared" si="16"/>
        <v>6</v>
      </c>
      <c r="H125" s="72">
        <v>6</v>
      </c>
      <c r="I125" s="73">
        <v>6</v>
      </c>
      <c r="J125" s="74">
        <v>4.5</v>
      </c>
      <c r="K125" s="74">
        <v>3.5</v>
      </c>
      <c r="L125" s="75">
        <v>6</v>
      </c>
      <c r="M125" s="76">
        <f t="shared" si="17"/>
        <v>4.666666666666667</v>
      </c>
      <c r="N125" s="77">
        <f t="shared" si="21"/>
        <v>57.925925925925924</v>
      </c>
      <c r="O125" s="78">
        <v>4.5</v>
      </c>
      <c r="P125" s="79">
        <v>4</v>
      </c>
      <c r="Q125" s="80">
        <f t="shared" si="22"/>
        <v>4.25</v>
      </c>
      <c r="R125" s="87" t="s">
        <v>397</v>
      </c>
      <c r="S125" s="81">
        <v>4.5</v>
      </c>
      <c r="T125" s="82"/>
      <c r="U125" s="83"/>
      <c r="V125" s="84"/>
      <c r="W125" s="84"/>
      <c r="X125" s="84"/>
      <c r="Y125" s="85"/>
      <c r="Z125" s="86">
        <f t="shared" si="18"/>
        <v>23.925925925925924</v>
      </c>
      <c r="AA125" s="61">
        <f t="shared" si="14"/>
        <v>2</v>
      </c>
      <c r="AB125" s="62">
        <f t="shared" si="15"/>
        <v>2</v>
      </c>
      <c r="AC125" s="87" t="s">
        <v>397</v>
      </c>
      <c r="AD125" s="88">
        <v>2</v>
      </c>
      <c r="AE125" s="90"/>
      <c r="AF125" s="92"/>
      <c r="AG125" s="92"/>
      <c r="AH125" s="92"/>
    </row>
    <row r="126" spans="1:34" ht="16.5" customHeight="1" thickBot="1">
      <c r="A126" s="67">
        <v>124</v>
      </c>
      <c r="B126" s="68" t="s">
        <v>398</v>
      </c>
      <c r="C126" s="68" t="s">
        <v>399</v>
      </c>
      <c r="D126" s="111">
        <v>5</v>
      </c>
      <c r="E126" s="70">
        <v>5</v>
      </c>
      <c r="F126" s="70">
        <v>6.5</v>
      </c>
      <c r="G126" s="71">
        <f t="shared" si="16"/>
        <v>5.5</v>
      </c>
      <c r="H126" s="72">
        <v>5.5</v>
      </c>
      <c r="I126" s="73">
        <v>6</v>
      </c>
      <c r="J126" s="74">
        <v>6</v>
      </c>
      <c r="K126" s="74">
        <v>4</v>
      </c>
      <c r="L126" s="75">
        <v>6</v>
      </c>
      <c r="M126" s="76">
        <f t="shared" si="17"/>
        <v>5.333333333333333</v>
      </c>
      <c r="N126" s="77">
        <f t="shared" si="21"/>
        <v>59.962962962962962</v>
      </c>
      <c r="O126" s="78">
        <v>6</v>
      </c>
      <c r="P126" s="79">
        <v>7</v>
      </c>
      <c r="Q126" s="80">
        <f t="shared" si="22"/>
        <v>6.5</v>
      </c>
      <c r="R126" s="87" t="s">
        <v>400</v>
      </c>
      <c r="S126" s="81">
        <v>6.5</v>
      </c>
      <c r="T126" s="82"/>
      <c r="U126" s="83"/>
      <c r="V126" s="84"/>
      <c r="W126" s="84"/>
      <c r="X126" s="84"/>
      <c r="Y126" s="85"/>
      <c r="Z126" s="86">
        <f t="shared" si="18"/>
        <v>29.435185185185183</v>
      </c>
      <c r="AA126" s="61">
        <f t="shared" si="14"/>
        <v>2</v>
      </c>
      <c r="AB126" s="62">
        <f t="shared" si="15"/>
        <v>2</v>
      </c>
      <c r="AC126" s="87" t="s">
        <v>400</v>
      </c>
      <c r="AD126" s="88">
        <v>14</v>
      </c>
      <c r="AE126" s="90"/>
      <c r="AF126" s="92"/>
      <c r="AG126" s="92"/>
      <c r="AH126" s="92"/>
    </row>
    <row r="127" spans="1:34" ht="16.5" customHeight="1" thickBot="1">
      <c r="A127" s="67">
        <v>125</v>
      </c>
      <c r="B127" s="68" t="s">
        <v>401</v>
      </c>
      <c r="C127" s="68" t="s">
        <v>402</v>
      </c>
      <c r="D127" s="111">
        <v>7</v>
      </c>
      <c r="E127" s="70">
        <v>6.5</v>
      </c>
      <c r="F127" s="70">
        <v>8</v>
      </c>
      <c r="G127" s="71">
        <f t="shared" si="16"/>
        <v>7.166666666666667</v>
      </c>
      <c r="H127" s="72">
        <v>7</v>
      </c>
      <c r="I127" s="73">
        <v>7</v>
      </c>
      <c r="J127" s="74">
        <v>6.5</v>
      </c>
      <c r="K127" s="74">
        <v>5.5</v>
      </c>
      <c r="L127" s="75">
        <v>6.5</v>
      </c>
      <c r="M127" s="76">
        <f t="shared" si="17"/>
        <v>6.166666666666667</v>
      </c>
      <c r="N127" s="77">
        <f t="shared" si="21"/>
        <v>71.592592592592595</v>
      </c>
      <c r="O127" s="78">
        <v>6</v>
      </c>
      <c r="P127" s="79">
        <v>7</v>
      </c>
      <c r="Q127" s="80">
        <f t="shared" si="22"/>
        <v>6.5</v>
      </c>
      <c r="R127" s="87" t="s">
        <v>403</v>
      </c>
      <c r="S127" s="81">
        <v>6.5</v>
      </c>
      <c r="T127" s="82"/>
      <c r="U127" s="83"/>
      <c r="V127" s="84"/>
      <c r="W127" s="84"/>
      <c r="X127" s="84"/>
      <c r="Y127" s="85"/>
      <c r="Z127" s="86">
        <f t="shared" si="18"/>
        <v>32.342592592592595</v>
      </c>
      <c r="AA127" s="61">
        <f t="shared" si="14"/>
        <v>2</v>
      </c>
      <c r="AB127" s="62">
        <f t="shared" si="15"/>
        <v>2</v>
      </c>
      <c r="AC127" s="87" t="s">
        <v>403</v>
      </c>
      <c r="AD127" s="88">
        <v>13</v>
      </c>
      <c r="AE127" s="90"/>
      <c r="AF127" s="92"/>
      <c r="AG127" s="92"/>
      <c r="AH127" s="92"/>
    </row>
    <row r="128" spans="1:34" ht="16.5" customHeight="1" thickBot="1">
      <c r="A128" s="67">
        <v>126</v>
      </c>
      <c r="B128" s="68" t="s">
        <v>404</v>
      </c>
      <c r="C128" s="68" t="s">
        <v>405</v>
      </c>
      <c r="D128" s="111">
        <v>6</v>
      </c>
      <c r="E128" s="70">
        <v>6.5</v>
      </c>
      <c r="F128" s="70">
        <v>8</v>
      </c>
      <c r="G128" s="71">
        <f t="shared" si="16"/>
        <v>6.833333333333333</v>
      </c>
      <c r="H128" s="72">
        <v>7</v>
      </c>
      <c r="I128" s="73">
        <v>7.5</v>
      </c>
      <c r="J128" s="74">
        <v>6</v>
      </c>
      <c r="K128" s="74">
        <v>5</v>
      </c>
      <c r="L128" s="75">
        <v>7</v>
      </c>
      <c r="M128" s="76">
        <f t="shared" si="17"/>
        <v>6</v>
      </c>
      <c r="N128" s="77">
        <f t="shared" si="21"/>
        <v>71.666666666666657</v>
      </c>
      <c r="O128" s="78">
        <v>5.5</v>
      </c>
      <c r="P128" s="79">
        <v>7</v>
      </c>
      <c r="Q128" s="80">
        <f t="shared" si="22"/>
        <v>6.25</v>
      </c>
      <c r="R128" s="87" t="s">
        <v>406</v>
      </c>
      <c r="S128" s="81">
        <v>6.5</v>
      </c>
      <c r="T128" s="82"/>
      <c r="U128" s="83"/>
      <c r="V128" s="84"/>
      <c r="W128" s="84"/>
      <c r="X128" s="84"/>
      <c r="Y128" s="85"/>
      <c r="Z128" s="86">
        <f t="shared" si="18"/>
        <v>31.805555555555554</v>
      </c>
      <c r="AA128" s="61">
        <f t="shared" si="14"/>
        <v>2</v>
      </c>
      <c r="AB128" s="62">
        <f t="shared" si="15"/>
        <v>2</v>
      </c>
      <c r="AC128" s="87" t="s">
        <v>406</v>
      </c>
      <c r="AD128" s="88">
        <v>10</v>
      </c>
      <c r="AE128" s="90"/>
      <c r="AF128" s="92"/>
      <c r="AG128" s="92"/>
      <c r="AH128" s="92"/>
    </row>
    <row r="129" spans="1:34" ht="16.5" customHeight="1" thickBot="1">
      <c r="A129" s="67">
        <v>127</v>
      </c>
      <c r="B129" s="68" t="s">
        <v>407</v>
      </c>
      <c r="C129" s="68" t="s">
        <v>408</v>
      </c>
      <c r="D129" s="111">
        <v>6.5</v>
      </c>
      <c r="E129" s="70">
        <v>8</v>
      </c>
      <c r="F129" s="70">
        <v>8.5</v>
      </c>
      <c r="G129" s="71">
        <f t="shared" si="16"/>
        <v>7.666666666666667</v>
      </c>
      <c r="H129" s="72">
        <v>7.5</v>
      </c>
      <c r="I129" s="73">
        <v>7</v>
      </c>
      <c r="J129" s="74">
        <v>7</v>
      </c>
      <c r="K129" s="74">
        <v>6</v>
      </c>
      <c r="L129" s="75">
        <v>7.5</v>
      </c>
      <c r="M129" s="76">
        <f t="shared" si="17"/>
        <v>6.833333333333333</v>
      </c>
      <c r="N129" s="77">
        <f t="shared" si="21"/>
        <v>76.962962962962962</v>
      </c>
      <c r="O129" s="78">
        <v>6</v>
      </c>
      <c r="P129" s="79">
        <v>7</v>
      </c>
      <c r="Q129" s="80">
        <f t="shared" si="22"/>
        <v>6.5</v>
      </c>
      <c r="R129" s="87" t="s">
        <v>409</v>
      </c>
      <c r="S129" s="81">
        <v>6.5</v>
      </c>
      <c r="T129" s="82"/>
      <c r="U129" s="83"/>
      <c r="V129" s="84"/>
      <c r="W129" s="84"/>
      <c r="X129" s="84"/>
      <c r="Y129" s="85"/>
      <c r="Z129" s="86">
        <f t="shared" si="18"/>
        <v>33.685185185185183</v>
      </c>
      <c r="AA129" s="61">
        <f t="shared" si="14"/>
        <v>2</v>
      </c>
      <c r="AB129" s="62">
        <f t="shared" si="15"/>
        <v>2</v>
      </c>
      <c r="AC129" s="87" t="s">
        <v>409</v>
      </c>
      <c r="AD129" s="88">
        <v>1</v>
      </c>
      <c r="AE129" s="90"/>
      <c r="AF129" s="92"/>
      <c r="AG129" s="92"/>
      <c r="AH129" s="92"/>
    </row>
    <row r="130" spans="1:34" ht="16.5" customHeight="1" thickBot="1">
      <c r="A130" s="67">
        <v>128</v>
      </c>
      <c r="B130" s="68" t="s">
        <v>410</v>
      </c>
      <c r="C130" s="68" t="s">
        <v>411</v>
      </c>
      <c r="D130" s="69">
        <v>5.5</v>
      </c>
      <c r="E130" s="70">
        <v>5.5</v>
      </c>
      <c r="F130" s="70">
        <v>7</v>
      </c>
      <c r="G130" s="71">
        <f t="shared" si="16"/>
        <v>6</v>
      </c>
      <c r="H130" s="72">
        <v>6</v>
      </c>
      <c r="I130" s="73">
        <v>7</v>
      </c>
      <c r="J130" s="74">
        <v>5</v>
      </c>
      <c r="K130" s="74">
        <v>3.5</v>
      </c>
      <c r="L130" s="75">
        <v>6.5</v>
      </c>
      <c r="M130" s="76">
        <f t="shared" si="17"/>
        <v>5</v>
      </c>
      <c r="N130" s="77">
        <f t="shared" si="21"/>
        <v>61.777777777777779</v>
      </c>
      <c r="O130" s="78">
        <v>6</v>
      </c>
      <c r="P130" s="79">
        <v>5.5</v>
      </c>
      <c r="Q130" s="80">
        <f t="shared" si="22"/>
        <v>5.75</v>
      </c>
      <c r="R130" s="87" t="s">
        <v>412</v>
      </c>
      <c r="S130" s="89">
        <v>6</v>
      </c>
      <c r="T130" s="82"/>
      <c r="U130" s="83"/>
      <c r="V130" s="84"/>
      <c r="W130" s="84"/>
      <c r="X130" s="84"/>
      <c r="Y130" s="85"/>
      <c r="Z130" s="86">
        <f t="shared" si="18"/>
        <v>28.222222222222221</v>
      </c>
      <c r="AA130" s="61">
        <f t="shared" si="14"/>
        <v>2</v>
      </c>
      <c r="AB130" s="62">
        <f t="shared" si="15"/>
        <v>2</v>
      </c>
      <c r="AC130" s="87" t="s">
        <v>412</v>
      </c>
      <c r="AD130" s="88">
        <v>11</v>
      </c>
      <c r="AE130" s="90"/>
      <c r="AF130" s="92"/>
      <c r="AG130" s="92"/>
      <c r="AH130" s="92"/>
    </row>
    <row r="131" spans="1:34" ht="16.5" customHeight="1" thickBot="1">
      <c r="A131" s="67">
        <v>129</v>
      </c>
      <c r="B131" s="68" t="s">
        <v>413</v>
      </c>
      <c r="C131" s="68" t="s">
        <v>414</v>
      </c>
      <c r="D131" s="111">
        <v>6</v>
      </c>
      <c r="E131" s="70">
        <v>8.5</v>
      </c>
      <c r="F131" s="70">
        <v>7.5</v>
      </c>
      <c r="G131" s="71">
        <f t="shared" si="16"/>
        <v>7.333333333333333</v>
      </c>
      <c r="H131" s="72">
        <v>7.5</v>
      </c>
      <c r="I131" s="73">
        <v>7</v>
      </c>
      <c r="J131" s="74">
        <v>6.5</v>
      </c>
      <c r="K131" s="74">
        <v>6</v>
      </c>
      <c r="L131" s="75">
        <v>7</v>
      </c>
      <c r="M131" s="76">
        <f t="shared" si="17"/>
        <v>6.5</v>
      </c>
      <c r="N131" s="77">
        <f t="shared" si="21"/>
        <v>75.111111111111114</v>
      </c>
      <c r="O131" s="78">
        <v>8</v>
      </c>
      <c r="P131" s="79">
        <v>6</v>
      </c>
      <c r="Q131" s="80">
        <f t="shared" si="22"/>
        <v>7</v>
      </c>
      <c r="R131" s="87" t="s">
        <v>415</v>
      </c>
      <c r="S131" s="89">
        <v>7</v>
      </c>
      <c r="T131" s="82"/>
      <c r="U131" s="83"/>
      <c r="V131" s="84"/>
      <c r="W131" s="84"/>
      <c r="X131" s="84"/>
      <c r="Y131" s="85"/>
      <c r="Z131" s="86">
        <f t="shared" si="18"/>
        <v>34.333333333333336</v>
      </c>
      <c r="AA131" s="61">
        <f t="shared" si="14"/>
        <v>4</v>
      </c>
      <c r="AB131" s="62">
        <f t="shared" si="15"/>
        <v>3</v>
      </c>
      <c r="AC131" s="87" t="s">
        <v>415</v>
      </c>
      <c r="AD131" s="88">
        <v>7</v>
      </c>
      <c r="AE131" s="90"/>
      <c r="AF131" s="92"/>
      <c r="AG131" s="92"/>
      <c r="AH131" s="92"/>
    </row>
    <row r="132" spans="1:34" ht="16.5" customHeight="1" thickBot="1">
      <c r="A132" s="67">
        <v>130</v>
      </c>
      <c r="B132" s="68" t="s">
        <v>416</v>
      </c>
      <c r="C132" s="68" t="s">
        <v>417</v>
      </c>
      <c r="D132" s="111">
        <v>6.5</v>
      </c>
      <c r="E132" s="70">
        <v>7.5</v>
      </c>
      <c r="F132" s="70">
        <v>8.5</v>
      </c>
      <c r="G132" s="71">
        <f t="shared" si="16"/>
        <v>7.5</v>
      </c>
      <c r="H132" s="72">
        <v>7.5</v>
      </c>
      <c r="I132" s="73">
        <v>6.5</v>
      </c>
      <c r="J132" s="74">
        <v>6.5</v>
      </c>
      <c r="K132" s="74">
        <v>6.5</v>
      </c>
      <c r="L132" s="75">
        <v>6.5</v>
      </c>
      <c r="M132" s="76">
        <f t="shared" si="17"/>
        <v>6.5</v>
      </c>
      <c r="N132" s="77">
        <f t="shared" si="21"/>
        <v>74.111111111111114</v>
      </c>
      <c r="O132" s="78">
        <v>6</v>
      </c>
      <c r="P132" s="79">
        <v>7</v>
      </c>
      <c r="Q132" s="80">
        <f t="shared" si="22"/>
        <v>6.5</v>
      </c>
      <c r="R132" s="87" t="s">
        <v>418</v>
      </c>
      <c r="S132" s="81">
        <v>6.5</v>
      </c>
      <c r="T132" s="82"/>
      <c r="U132" s="83"/>
      <c r="V132" s="84"/>
      <c r="W132" s="84"/>
      <c r="X132" s="84"/>
      <c r="Y132" s="85"/>
      <c r="Z132" s="86">
        <f t="shared" si="18"/>
        <v>32.972222222222221</v>
      </c>
      <c r="AA132" s="61">
        <f t="shared" ref="AA132:AA195" si="23">IF(Z132&gt;AF$10,AG$10,IF(Z132&gt;AF$9,AG$9,IF(Z132&gt;AF$8,AG$8,IF(Z132&gt;AF$7,AG$7,IF(Z132&gt;AF$6,AG$6,IF(Z132&gt;AF$5,AG$5,IF(Z132&gt;AF$4,AG$4,IF(Z132&gt;AF$3,AG$3,IF(Z132&gt;AF$2,AG$2)))))))))</f>
        <v>2</v>
      </c>
      <c r="AB132" s="62">
        <f t="shared" ref="AB132:AB195" si="24">VLOOKUP(AA132,AG$2:AH$10,2,FALSE)</f>
        <v>2</v>
      </c>
      <c r="AC132" s="87" t="s">
        <v>418</v>
      </c>
      <c r="AD132" s="88">
        <v>7</v>
      </c>
      <c r="AE132" s="90"/>
      <c r="AF132" s="92"/>
      <c r="AG132" s="92"/>
      <c r="AH132" s="92"/>
    </row>
    <row r="133" spans="1:34" ht="16.5" customHeight="1" thickBot="1">
      <c r="A133" s="67">
        <v>131</v>
      </c>
      <c r="B133" s="68" t="s">
        <v>419</v>
      </c>
      <c r="C133" s="68" t="s">
        <v>420</v>
      </c>
      <c r="D133" s="111">
        <v>6</v>
      </c>
      <c r="E133" s="70">
        <v>6.5</v>
      </c>
      <c r="F133" s="70">
        <v>6</v>
      </c>
      <c r="G133" s="71">
        <f t="shared" si="16"/>
        <v>6.166666666666667</v>
      </c>
      <c r="H133" s="72">
        <v>6</v>
      </c>
      <c r="I133" s="73">
        <v>5</v>
      </c>
      <c r="J133" s="74">
        <v>5.5</v>
      </c>
      <c r="K133" s="74">
        <v>4.5</v>
      </c>
      <c r="L133" s="75">
        <v>6</v>
      </c>
      <c r="M133" s="76">
        <f t="shared" si="17"/>
        <v>5.333333333333333</v>
      </c>
      <c r="N133" s="77">
        <f t="shared" si="21"/>
        <v>59.629629629629626</v>
      </c>
      <c r="O133" s="78">
        <v>6.5</v>
      </c>
      <c r="P133" s="79">
        <v>6.5</v>
      </c>
      <c r="Q133" s="80">
        <f t="shared" si="22"/>
        <v>6.5</v>
      </c>
      <c r="R133" s="87" t="s">
        <v>421</v>
      </c>
      <c r="S133" s="81">
        <v>6.5</v>
      </c>
      <c r="T133" s="82"/>
      <c r="U133" s="83"/>
      <c r="V133" s="84"/>
      <c r="W133" s="84"/>
      <c r="X133" s="84"/>
      <c r="Y133" s="85"/>
      <c r="Z133" s="86">
        <f t="shared" si="18"/>
        <v>29.351851851851851</v>
      </c>
      <c r="AA133" s="61">
        <f t="shared" si="23"/>
        <v>2</v>
      </c>
      <c r="AB133" s="62">
        <f t="shared" si="24"/>
        <v>2</v>
      </c>
      <c r="AC133" s="87" t="s">
        <v>421</v>
      </c>
      <c r="AD133" s="88">
        <v>5</v>
      </c>
      <c r="AE133" s="90"/>
      <c r="AF133" s="92"/>
      <c r="AG133" s="92"/>
      <c r="AH133" s="92"/>
    </row>
    <row r="134" spans="1:34" ht="16.5" customHeight="1" thickBot="1">
      <c r="A134" s="67">
        <v>132</v>
      </c>
      <c r="B134" s="68" t="s">
        <v>422</v>
      </c>
      <c r="C134" s="68" t="s">
        <v>423</v>
      </c>
      <c r="D134" s="111">
        <v>5</v>
      </c>
      <c r="E134" s="70">
        <v>6.5</v>
      </c>
      <c r="F134" s="70">
        <v>7</v>
      </c>
      <c r="G134" s="71">
        <f t="shared" si="16"/>
        <v>6.166666666666667</v>
      </c>
      <c r="H134" s="72">
        <v>6</v>
      </c>
      <c r="I134" s="73">
        <v>7</v>
      </c>
      <c r="J134" s="74">
        <v>5.5</v>
      </c>
      <c r="K134" s="74">
        <v>5.5</v>
      </c>
      <c r="L134" s="75">
        <v>6.5</v>
      </c>
      <c r="M134" s="76">
        <f t="shared" si="17"/>
        <v>5.833333333333333</v>
      </c>
      <c r="N134" s="77">
        <f t="shared" si="21"/>
        <v>66.407407407407405</v>
      </c>
      <c r="O134" s="78">
        <v>5.5</v>
      </c>
      <c r="P134" s="79">
        <v>5.5</v>
      </c>
      <c r="Q134" s="80">
        <f t="shared" si="22"/>
        <v>5.5</v>
      </c>
      <c r="R134" s="87" t="s">
        <v>424</v>
      </c>
      <c r="S134" s="81">
        <v>5.5</v>
      </c>
      <c r="T134" s="82"/>
      <c r="U134" s="83"/>
      <c r="V134" s="84"/>
      <c r="W134" s="84"/>
      <c r="X134" s="84"/>
      <c r="Y134" s="85"/>
      <c r="Z134" s="86">
        <f t="shared" si="18"/>
        <v>28.824074074074076</v>
      </c>
      <c r="AA134" s="61">
        <f t="shared" si="23"/>
        <v>2</v>
      </c>
      <c r="AB134" s="62">
        <f t="shared" si="24"/>
        <v>2</v>
      </c>
      <c r="AC134" s="87" t="s">
        <v>424</v>
      </c>
      <c r="AD134" s="88">
        <v>2</v>
      </c>
      <c r="AE134" s="90"/>
      <c r="AF134" s="92"/>
      <c r="AG134" s="92"/>
      <c r="AH134" s="92"/>
    </row>
    <row r="135" spans="1:34" ht="16.5" customHeight="1" thickBot="1">
      <c r="A135" s="67">
        <v>133</v>
      </c>
      <c r="B135" s="68" t="s">
        <v>425</v>
      </c>
      <c r="C135" s="68" t="s">
        <v>426</v>
      </c>
      <c r="D135" s="111">
        <v>4.5</v>
      </c>
      <c r="E135" s="70">
        <v>5</v>
      </c>
      <c r="F135" s="70">
        <v>5</v>
      </c>
      <c r="G135" s="71">
        <f t="shared" si="16"/>
        <v>4.833333333333333</v>
      </c>
      <c r="H135" s="72">
        <v>5</v>
      </c>
      <c r="I135" s="73">
        <v>2</v>
      </c>
      <c r="J135" s="74">
        <v>5.5</v>
      </c>
      <c r="K135" s="74">
        <v>4</v>
      </c>
      <c r="L135" s="75">
        <v>3.5</v>
      </c>
      <c r="M135" s="76">
        <f t="shared" si="17"/>
        <v>4.333333333333333</v>
      </c>
      <c r="N135" s="77">
        <f t="shared" si="21"/>
        <v>44.74074074074074</v>
      </c>
      <c r="O135" s="78">
        <v>5</v>
      </c>
      <c r="P135" s="79">
        <v>4.5</v>
      </c>
      <c r="Q135" s="80">
        <f t="shared" si="22"/>
        <v>4.75</v>
      </c>
      <c r="R135" s="87" t="s">
        <v>427</v>
      </c>
      <c r="S135" s="89">
        <v>5</v>
      </c>
      <c r="T135" s="82"/>
      <c r="U135" s="83"/>
      <c r="V135" s="84"/>
      <c r="W135" s="84"/>
      <c r="X135" s="84"/>
      <c r="Y135" s="85"/>
      <c r="Z135" s="86">
        <f t="shared" si="18"/>
        <v>21.74074074074074</v>
      </c>
      <c r="AA135" s="61">
        <f t="shared" si="23"/>
        <v>2</v>
      </c>
      <c r="AB135" s="62">
        <f t="shared" si="24"/>
        <v>2</v>
      </c>
      <c r="AC135" s="87" t="s">
        <v>427</v>
      </c>
      <c r="AD135" s="88">
        <v>16</v>
      </c>
      <c r="AE135" s="90"/>
      <c r="AF135" s="92"/>
      <c r="AG135" s="92"/>
      <c r="AH135" s="92"/>
    </row>
    <row r="136" spans="1:34" ht="16.5" customHeight="1" thickBot="1">
      <c r="A136" s="67">
        <v>134</v>
      </c>
      <c r="B136" s="68" t="s">
        <v>428</v>
      </c>
      <c r="C136" s="68" t="s">
        <v>429</v>
      </c>
      <c r="D136" s="111"/>
      <c r="E136" s="70"/>
      <c r="F136" s="70"/>
      <c r="G136" s="71">
        <f t="shared" si="16"/>
        <v>0</v>
      </c>
      <c r="H136" s="72"/>
      <c r="I136" s="73"/>
      <c r="J136" s="74"/>
      <c r="K136" s="74"/>
      <c r="L136" s="75"/>
      <c r="M136" s="76" t="e">
        <f t="shared" si="17"/>
        <v>#DIV/0!</v>
      </c>
      <c r="N136" s="77" t="e">
        <f t="shared" si="21"/>
        <v>#DIV/0!</v>
      </c>
      <c r="O136" s="78">
        <v>6</v>
      </c>
      <c r="P136" s="79">
        <v>5.5</v>
      </c>
      <c r="Q136" s="80">
        <f t="shared" si="22"/>
        <v>5.75</v>
      </c>
      <c r="R136" s="112" t="s">
        <v>430</v>
      </c>
      <c r="S136" s="89">
        <v>6</v>
      </c>
      <c r="T136" s="82"/>
      <c r="U136" s="83"/>
      <c r="V136" s="84"/>
      <c r="W136" s="84"/>
      <c r="X136" s="84"/>
      <c r="Y136" s="85"/>
      <c r="Z136" s="86" t="e">
        <f t="shared" si="18"/>
        <v>#DIV/0!</v>
      </c>
      <c r="AA136" s="61" t="e">
        <f t="shared" si="23"/>
        <v>#DIV/0!</v>
      </c>
      <c r="AB136" s="62" t="e">
        <f t="shared" si="24"/>
        <v>#DIV/0!</v>
      </c>
      <c r="AC136" s="112" t="s">
        <v>430</v>
      </c>
      <c r="AD136" s="108" t="s">
        <v>120</v>
      </c>
      <c r="AE136" s="109" t="s">
        <v>431</v>
      </c>
      <c r="AF136" s="92"/>
      <c r="AG136" s="92"/>
      <c r="AH136" s="92"/>
    </row>
    <row r="137" spans="1:34" ht="16.5" customHeight="1" thickBot="1">
      <c r="A137" s="67">
        <v>135</v>
      </c>
      <c r="B137" s="68" t="s">
        <v>432</v>
      </c>
      <c r="C137" s="68" t="s">
        <v>433</v>
      </c>
      <c r="D137" s="111">
        <v>5.5</v>
      </c>
      <c r="E137" s="70">
        <v>6</v>
      </c>
      <c r="F137" s="70">
        <v>6</v>
      </c>
      <c r="G137" s="71">
        <f t="shared" si="16"/>
        <v>5.833333333333333</v>
      </c>
      <c r="H137" s="72">
        <v>6</v>
      </c>
      <c r="I137" s="73">
        <v>0</v>
      </c>
      <c r="J137" s="74">
        <v>5.5</v>
      </c>
      <c r="K137" s="74">
        <v>5</v>
      </c>
      <c r="L137" s="75">
        <v>5.5</v>
      </c>
      <c r="M137" s="76">
        <f t="shared" si="17"/>
        <v>5.333333333333333</v>
      </c>
      <c r="N137" s="77">
        <f t="shared" si="21"/>
        <v>49.629629629629626</v>
      </c>
      <c r="O137" s="78">
        <v>6</v>
      </c>
      <c r="P137" s="79">
        <v>5.5</v>
      </c>
      <c r="Q137" s="80">
        <f t="shared" si="22"/>
        <v>5.75</v>
      </c>
      <c r="R137" s="87" t="s">
        <v>434</v>
      </c>
      <c r="S137" s="89">
        <v>6</v>
      </c>
      <c r="T137" s="82"/>
      <c r="U137" s="83"/>
      <c r="V137" s="84"/>
      <c r="W137" s="84"/>
      <c r="X137" s="84"/>
      <c r="Y137" s="85"/>
      <c r="Z137" s="86">
        <f t="shared" si="18"/>
        <v>25.185185185185183</v>
      </c>
      <c r="AA137" s="61">
        <f t="shared" si="23"/>
        <v>2</v>
      </c>
      <c r="AB137" s="62">
        <f t="shared" si="24"/>
        <v>2</v>
      </c>
      <c r="AC137" s="87" t="s">
        <v>434</v>
      </c>
      <c r="AD137" s="88">
        <v>3</v>
      </c>
      <c r="AE137" s="90"/>
      <c r="AF137" s="92"/>
      <c r="AG137" s="92"/>
      <c r="AH137" s="92"/>
    </row>
    <row r="138" spans="1:34" ht="16.5" customHeight="1" thickBot="1">
      <c r="A138" s="67">
        <v>136</v>
      </c>
      <c r="B138" s="68" t="s">
        <v>435</v>
      </c>
      <c r="C138" s="68" t="s">
        <v>436</v>
      </c>
      <c r="D138" s="111">
        <v>4</v>
      </c>
      <c r="E138" s="70">
        <v>5.5</v>
      </c>
      <c r="F138" s="70">
        <v>6.5</v>
      </c>
      <c r="G138" s="71">
        <f t="shared" si="16"/>
        <v>5.333333333333333</v>
      </c>
      <c r="H138" s="72">
        <v>5.5</v>
      </c>
      <c r="I138" s="73">
        <v>6</v>
      </c>
      <c r="J138" s="74">
        <v>4.5</v>
      </c>
      <c r="K138" s="74">
        <v>4</v>
      </c>
      <c r="L138" s="75">
        <v>6</v>
      </c>
      <c r="M138" s="76">
        <f t="shared" si="17"/>
        <v>4.833333333333333</v>
      </c>
      <c r="N138" s="77">
        <f t="shared" si="21"/>
        <v>57.185185185185183</v>
      </c>
      <c r="O138" s="78">
        <v>4.5</v>
      </c>
      <c r="P138" s="79">
        <v>5</v>
      </c>
      <c r="Q138" s="80">
        <f t="shared" si="22"/>
        <v>4.75</v>
      </c>
      <c r="R138" s="87" t="s">
        <v>437</v>
      </c>
      <c r="S138" s="89">
        <v>5</v>
      </c>
      <c r="T138" s="82"/>
      <c r="U138" s="83"/>
      <c r="V138" s="84"/>
      <c r="W138" s="84"/>
      <c r="X138" s="84"/>
      <c r="Y138" s="85"/>
      <c r="Z138" s="86">
        <f t="shared" si="18"/>
        <v>24.851851851851851</v>
      </c>
      <c r="AA138" s="61">
        <f t="shared" si="23"/>
        <v>2</v>
      </c>
      <c r="AB138" s="62">
        <f t="shared" si="24"/>
        <v>2</v>
      </c>
      <c r="AC138" s="87" t="s">
        <v>437</v>
      </c>
      <c r="AD138" s="88">
        <v>2</v>
      </c>
      <c r="AE138" s="90"/>
      <c r="AF138" s="92"/>
      <c r="AG138" s="92"/>
      <c r="AH138" s="92"/>
    </row>
    <row r="139" spans="1:34" ht="16.5" customHeight="1" thickBot="1">
      <c r="A139" s="67">
        <v>137</v>
      </c>
      <c r="B139" s="68" t="s">
        <v>438</v>
      </c>
      <c r="C139" s="68" t="s">
        <v>439</v>
      </c>
      <c r="D139" s="111">
        <v>4.5</v>
      </c>
      <c r="E139" s="70">
        <v>6</v>
      </c>
      <c r="F139" s="70">
        <v>8</v>
      </c>
      <c r="G139" s="71">
        <f t="shared" si="16"/>
        <v>6.166666666666667</v>
      </c>
      <c r="H139" s="72">
        <v>6</v>
      </c>
      <c r="I139" s="73">
        <v>5</v>
      </c>
      <c r="J139" s="74">
        <v>5</v>
      </c>
      <c r="K139" s="74">
        <v>4</v>
      </c>
      <c r="L139" s="75">
        <v>5.5</v>
      </c>
      <c r="M139" s="76">
        <f t="shared" si="17"/>
        <v>4.833333333333333</v>
      </c>
      <c r="N139" s="77">
        <f t="shared" si="21"/>
        <v>56.851851851851848</v>
      </c>
      <c r="O139" s="78">
        <v>5</v>
      </c>
      <c r="P139" s="79">
        <v>5.5</v>
      </c>
      <c r="Q139" s="80">
        <f t="shared" si="22"/>
        <v>5.25</v>
      </c>
      <c r="R139" s="87" t="s">
        <v>440</v>
      </c>
      <c r="S139" s="81">
        <v>5.5</v>
      </c>
      <c r="T139" s="82"/>
      <c r="U139" s="83"/>
      <c r="V139" s="84"/>
      <c r="W139" s="84"/>
      <c r="X139" s="84"/>
      <c r="Y139" s="85"/>
      <c r="Z139" s="86">
        <f t="shared" si="18"/>
        <v>25.87962962962963</v>
      </c>
      <c r="AA139" s="61">
        <f t="shared" si="23"/>
        <v>2</v>
      </c>
      <c r="AB139" s="62">
        <f t="shared" si="24"/>
        <v>2</v>
      </c>
      <c r="AC139" s="87" t="s">
        <v>440</v>
      </c>
      <c r="AD139" s="88">
        <v>15</v>
      </c>
      <c r="AE139" s="90"/>
      <c r="AF139" s="92"/>
      <c r="AG139" s="92"/>
      <c r="AH139" s="92"/>
    </row>
    <row r="140" spans="1:34" ht="16.5" customHeight="1" thickBot="1">
      <c r="A140" s="67">
        <v>138</v>
      </c>
      <c r="B140" s="68" t="s">
        <v>441</v>
      </c>
      <c r="C140" s="68" t="s">
        <v>442</v>
      </c>
      <c r="D140" s="111">
        <v>7</v>
      </c>
      <c r="E140" s="70">
        <v>6.5</v>
      </c>
      <c r="F140" s="70">
        <v>7.5</v>
      </c>
      <c r="G140" s="71">
        <f t="shared" si="16"/>
        <v>7</v>
      </c>
      <c r="H140" s="72">
        <v>7</v>
      </c>
      <c r="I140" s="73">
        <v>8</v>
      </c>
      <c r="J140" s="74">
        <v>6</v>
      </c>
      <c r="K140" s="74">
        <v>5.5</v>
      </c>
      <c r="L140" s="75">
        <v>7.5</v>
      </c>
      <c r="M140" s="76">
        <f t="shared" si="17"/>
        <v>6.333333333333333</v>
      </c>
      <c r="N140" s="77">
        <f t="shared" si="21"/>
        <v>74.518518518518505</v>
      </c>
      <c r="O140" s="78">
        <v>5.5</v>
      </c>
      <c r="P140" s="79">
        <v>8.5</v>
      </c>
      <c r="Q140" s="80">
        <f t="shared" si="22"/>
        <v>7</v>
      </c>
      <c r="R140" s="87" t="s">
        <v>443</v>
      </c>
      <c r="S140" s="89">
        <v>7</v>
      </c>
      <c r="T140" s="82"/>
      <c r="U140" s="83"/>
      <c r="V140" s="84"/>
      <c r="W140" s="84"/>
      <c r="X140" s="84"/>
      <c r="Y140" s="85"/>
      <c r="Z140" s="86">
        <f t="shared" si="18"/>
        <v>34.185185185185183</v>
      </c>
      <c r="AA140" s="61">
        <f t="shared" si="23"/>
        <v>4</v>
      </c>
      <c r="AB140" s="62">
        <f t="shared" si="24"/>
        <v>3</v>
      </c>
      <c r="AC140" s="87" t="s">
        <v>443</v>
      </c>
      <c r="AD140" s="88">
        <v>1</v>
      </c>
      <c r="AE140" s="90"/>
      <c r="AF140" s="92"/>
      <c r="AG140" s="92"/>
      <c r="AH140" s="92"/>
    </row>
    <row r="141" spans="1:34" ht="16.5" customHeight="1" thickBot="1">
      <c r="A141" s="67">
        <v>139</v>
      </c>
      <c r="B141" s="68" t="s">
        <v>444</v>
      </c>
      <c r="C141" s="68" t="s">
        <v>445</v>
      </c>
      <c r="D141" s="111"/>
      <c r="E141" s="70"/>
      <c r="F141" s="70"/>
      <c r="G141" s="71">
        <f t="shared" si="16"/>
        <v>0</v>
      </c>
      <c r="H141" s="72"/>
      <c r="I141" s="73"/>
      <c r="J141" s="74"/>
      <c r="K141" s="74"/>
      <c r="L141" s="75"/>
      <c r="M141" s="76" t="e">
        <f t="shared" si="17"/>
        <v>#DIV/0!</v>
      </c>
      <c r="N141" s="77" t="e">
        <f t="shared" si="21"/>
        <v>#DIV/0!</v>
      </c>
      <c r="O141" s="78"/>
      <c r="P141" s="79"/>
      <c r="Q141" s="80" t="e">
        <f t="shared" si="22"/>
        <v>#DIV/0!</v>
      </c>
      <c r="R141" s="87" t="s">
        <v>446</v>
      </c>
      <c r="S141" s="89">
        <v>0</v>
      </c>
      <c r="T141" s="82"/>
      <c r="U141" s="83"/>
      <c r="V141" s="84"/>
      <c r="W141" s="84"/>
      <c r="X141" s="84"/>
      <c r="Y141" s="85"/>
      <c r="Z141" s="86" t="e">
        <f t="shared" si="18"/>
        <v>#DIV/0!</v>
      </c>
      <c r="AA141" s="61" t="e">
        <f t="shared" si="23"/>
        <v>#DIV/0!</v>
      </c>
      <c r="AB141" s="62" t="e">
        <f t="shared" si="24"/>
        <v>#DIV/0!</v>
      </c>
      <c r="AC141" s="87" t="s">
        <v>446</v>
      </c>
      <c r="AD141" s="108" t="s">
        <v>120</v>
      </c>
      <c r="AE141" s="90"/>
      <c r="AF141" s="92"/>
      <c r="AG141" s="92"/>
      <c r="AH141" s="92"/>
    </row>
    <row r="142" spans="1:34" ht="16.5" customHeight="1" thickBot="1">
      <c r="A142" s="67">
        <v>140</v>
      </c>
      <c r="B142" s="68" t="s">
        <v>447</v>
      </c>
      <c r="C142" s="68" t="s">
        <v>448</v>
      </c>
      <c r="D142" s="111">
        <v>4.5</v>
      </c>
      <c r="E142" s="70">
        <v>4</v>
      </c>
      <c r="F142" s="70">
        <v>4.5</v>
      </c>
      <c r="G142" s="71">
        <f t="shared" ref="G142:G182" si="25">IFERROR(AVERAGE(D142:F142),)</f>
        <v>4.333333333333333</v>
      </c>
      <c r="H142" s="72">
        <v>4.5</v>
      </c>
      <c r="I142" s="73">
        <v>6</v>
      </c>
      <c r="J142" s="74">
        <v>4</v>
      </c>
      <c r="K142" s="74">
        <v>4</v>
      </c>
      <c r="L142" s="75">
        <v>5.5</v>
      </c>
      <c r="M142" s="76">
        <f t="shared" ref="M142:M182" si="26">AVERAGE(J142:L142)</f>
        <v>4.5</v>
      </c>
      <c r="N142" s="77">
        <f t="shared" si="21"/>
        <v>52</v>
      </c>
      <c r="O142" s="78">
        <v>5</v>
      </c>
      <c r="P142" s="79">
        <v>4</v>
      </c>
      <c r="Q142" s="80">
        <f t="shared" si="22"/>
        <v>4.5</v>
      </c>
      <c r="R142" s="87" t="s">
        <v>449</v>
      </c>
      <c r="S142" s="81">
        <v>4.5</v>
      </c>
      <c r="T142" s="82"/>
      <c r="U142" s="83"/>
      <c r="V142" s="84"/>
      <c r="W142" s="84"/>
      <c r="X142" s="84"/>
      <c r="Y142" s="85"/>
      <c r="Z142" s="86">
        <f t="shared" ref="Z142:Z182" si="27">0.25*N142+0.15*T142*10+20/9*Q142+40/9*Y142</f>
        <v>23</v>
      </c>
      <c r="AA142" s="61">
        <f t="shared" si="23"/>
        <v>2</v>
      </c>
      <c r="AB142" s="62">
        <f t="shared" si="24"/>
        <v>2</v>
      </c>
      <c r="AC142" s="87" t="s">
        <v>449</v>
      </c>
      <c r="AD142" s="88">
        <v>16</v>
      </c>
      <c r="AE142" s="90"/>
      <c r="AF142" s="92"/>
      <c r="AG142" s="92"/>
      <c r="AH142" s="92"/>
    </row>
    <row r="143" spans="1:34" ht="16.5" customHeight="1" thickBot="1">
      <c r="A143" s="67">
        <v>141</v>
      </c>
      <c r="B143" s="68" t="s">
        <v>450</v>
      </c>
      <c r="C143" s="68" t="s">
        <v>451</v>
      </c>
      <c r="D143" s="111">
        <v>6.5</v>
      </c>
      <c r="E143" s="70">
        <v>5.5</v>
      </c>
      <c r="F143" s="70">
        <v>7</v>
      </c>
      <c r="G143" s="71">
        <f t="shared" si="25"/>
        <v>6.333333333333333</v>
      </c>
      <c r="H143" s="72">
        <v>6.5</v>
      </c>
      <c r="I143" s="73">
        <v>6.5</v>
      </c>
      <c r="J143" s="74">
        <v>6.5</v>
      </c>
      <c r="K143" s="74">
        <v>6</v>
      </c>
      <c r="L143" s="75">
        <v>6.5</v>
      </c>
      <c r="M143" s="76">
        <f t="shared" si="26"/>
        <v>6.333333333333333</v>
      </c>
      <c r="N143" s="77">
        <f t="shared" si="21"/>
        <v>69.851851851851848</v>
      </c>
      <c r="O143" s="78">
        <v>7</v>
      </c>
      <c r="P143" s="79">
        <v>6</v>
      </c>
      <c r="Q143" s="80">
        <f t="shared" si="22"/>
        <v>6.5</v>
      </c>
      <c r="R143" s="87" t="s">
        <v>452</v>
      </c>
      <c r="S143" s="81">
        <v>6.5</v>
      </c>
      <c r="T143" s="82"/>
      <c r="U143" s="83"/>
      <c r="V143" s="84"/>
      <c r="W143" s="84"/>
      <c r="X143" s="84"/>
      <c r="Y143" s="85"/>
      <c r="Z143" s="86">
        <f t="shared" si="27"/>
        <v>31.907407407407405</v>
      </c>
      <c r="AA143" s="61">
        <f t="shared" si="23"/>
        <v>2</v>
      </c>
      <c r="AB143" s="62">
        <f t="shared" si="24"/>
        <v>2</v>
      </c>
      <c r="AC143" s="87" t="s">
        <v>452</v>
      </c>
      <c r="AD143" s="88">
        <v>4</v>
      </c>
      <c r="AE143" s="90"/>
      <c r="AF143" s="92"/>
      <c r="AG143" s="92"/>
      <c r="AH143" s="92"/>
    </row>
    <row r="144" spans="1:34" ht="16.5" customHeight="1" thickBot="1">
      <c r="A144" s="67">
        <v>142</v>
      </c>
      <c r="B144" s="68" t="s">
        <v>453</v>
      </c>
      <c r="C144" s="68" t="s">
        <v>454</v>
      </c>
      <c r="D144" s="111">
        <v>5.5</v>
      </c>
      <c r="E144" s="70">
        <v>5.5</v>
      </c>
      <c r="F144" s="70">
        <v>7.5</v>
      </c>
      <c r="G144" s="71">
        <f t="shared" si="25"/>
        <v>6.166666666666667</v>
      </c>
      <c r="H144" s="72">
        <v>6</v>
      </c>
      <c r="I144" s="73">
        <v>8.5</v>
      </c>
      <c r="J144" s="74">
        <v>5.5</v>
      </c>
      <c r="K144" s="74">
        <v>5</v>
      </c>
      <c r="L144" s="75">
        <v>6.5</v>
      </c>
      <c r="M144" s="76">
        <f t="shared" si="26"/>
        <v>5.666666666666667</v>
      </c>
      <c r="N144" s="77">
        <f t="shared" si="21"/>
        <v>68.481481481481481</v>
      </c>
      <c r="O144" s="78">
        <v>6</v>
      </c>
      <c r="P144" s="110">
        <v>7.5</v>
      </c>
      <c r="Q144" s="80">
        <f t="shared" si="22"/>
        <v>6.75</v>
      </c>
      <c r="R144" s="87" t="s">
        <v>455</v>
      </c>
      <c r="S144" s="89">
        <v>7</v>
      </c>
      <c r="T144" s="82"/>
      <c r="U144" s="83"/>
      <c r="V144" s="84"/>
      <c r="W144" s="84"/>
      <c r="X144" s="84"/>
      <c r="Y144" s="85"/>
      <c r="Z144" s="86">
        <f t="shared" si="27"/>
        <v>32.120370370370367</v>
      </c>
      <c r="AA144" s="61">
        <f t="shared" si="23"/>
        <v>2</v>
      </c>
      <c r="AB144" s="62">
        <f t="shared" si="24"/>
        <v>2</v>
      </c>
      <c r="AC144" s="87" t="s">
        <v>455</v>
      </c>
      <c r="AD144" s="88">
        <v>4</v>
      </c>
      <c r="AE144" s="90"/>
      <c r="AF144" s="92"/>
      <c r="AG144" s="92"/>
      <c r="AH144" s="92"/>
    </row>
    <row r="145" spans="1:34" ht="16.5" customHeight="1" thickBot="1">
      <c r="A145" s="67">
        <v>143</v>
      </c>
      <c r="B145" s="68" t="s">
        <v>456</v>
      </c>
      <c r="C145" s="68" t="s">
        <v>457</v>
      </c>
      <c r="D145" s="111">
        <v>5.5</v>
      </c>
      <c r="E145" s="70">
        <v>6</v>
      </c>
      <c r="F145" s="70">
        <v>7</v>
      </c>
      <c r="G145" s="71">
        <f t="shared" si="25"/>
        <v>6.166666666666667</v>
      </c>
      <c r="H145" s="72">
        <v>6</v>
      </c>
      <c r="I145" s="73">
        <v>7</v>
      </c>
      <c r="J145" s="74">
        <v>5</v>
      </c>
      <c r="K145" s="74">
        <v>4.5</v>
      </c>
      <c r="L145" s="75">
        <v>6</v>
      </c>
      <c r="M145" s="76">
        <f t="shared" si="26"/>
        <v>5.166666666666667</v>
      </c>
      <c r="N145" s="77">
        <f t="shared" si="21"/>
        <v>62.703703703703709</v>
      </c>
      <c r="O145" s="78">
        <v>6</v>
      </c>
      <c r="P145" s="79">
        <v>7</v>
      </c>
      <c r="Q145" s="80">
        <f t="shared" si="22"/>
        <v>6.5</v>
      </c>
      <c r="R145" s="87" t="s">
        <v>458</v>
      </c>
      <c r="S145" s="81">
        <v>6.5</v>
      </c>
      <c r="T145" s="82"/>
      <c r="U145" s="83"/>
      <c r="V145" s="84"/>
      <c r="W145" s="84"/>
      <c r="X145" s="84"/>
      <c r="Y145" s="85"/>
      <c r="Z145" s="86">
        <f t="shared" si="27"/>
        <v>30.120370370370374</v>
      </c>
      <c r="AA145" s="61">
        <f t="shared" si="23"/>
        <v>2</v>
      </c>
      <c r="AB145" s="62">
        <f t="shared" si="24"/>
        <v>2</v>
      </c>
      <c r="AC145" s="87" t="s">
        <v>458</v>
      </c>
      <c r="AD145" s="88">
        <v>2</v>
      </c>
      <c r="AE145" s="90"/>
      <c r="AF145" s="92"/>
      <c r="AG145" s="92"/>
      <c r="AH145" s="92"/>
    </row>
    <row r="146" spans="1:34" ht="16.5" customHeight="1" thickBot="1">
      <c r="A146" s="67">
        <v>144</v>
      </c>
      <c r="B146" s="68" t="s">
        <v>459</v>
      </c>
      <c r="C146" s="68" t="s">
        <v>460</v>
      </c>
      <c r="D146" s="111">
        <v>4.5</v>
      </c>
      <c r="E146" s="70">
        <v>6.5</v>
      </c>
      <c r="F146" s="70">
        <v>6.5</v>
      </c>
      <c r="G146" s="71">
        <f t="shared" si="25"/>
        <v>5.833333333333333</v>
      </c>
      <c r="H146" s="72">
        <v>6</v>
      </c>
      <c r="I146" s="73">
        <v>10</v>
      </c>
      <c r="J146" s="74">
        <v>6</v>
      </c>
      <c r="K146" s="74">
        <v>5.5</v>
      </c>
      <c r="L146" s="75">
        <v>6</v>
      </c>
      <c r="M146" s="76">
        <f t="shared" si="26"/>
        <v>5.833333333333333</v>
      </c>
      <c r="N146" s="77">
        <f t="shared" si="21"/>
        <v>72.407407407407405</v>
      </c>
      <c r="O146" s="78">
        <v>5</v>
      </c>
      <c r="P146" s="79">
        <v>6</v>
      </c>
      <c r="Q146" s="80">
        <f t="shared" si="22"/>
        <v>5.5</v>
      </c>
      <c r="R146" s="87" t="s">
        <v>461</v>
      </c>
      <c r="S146" s="81">
        <v>5.5</v>
      </c>
      <c r="T146" s="82"/>
      <c r="U146" s="83"/>
      <c r="V146" s="84"/>
      <c r="W146" s="84"/>
      <c r="X146" s="84"/>
      <c r="Y146" s="85"/>
      <c r="Z146" s="86">
        <f t="shared" si="27"/>
        <v>30.324074074074076</v>
      </c>
      <c r="AA146" s="61">
        <f t="shared" si="23"/>
        <v>2</v>
      </c>
      <c r="AB146" s="62">
        <f t="shared" si="24"/>
        <v>2</v>
      </c>
      <c r="AC146" s="87" t="s">
        <v>461</v>
      </c>
      <c r="AD146" s="88">
        <v>3</v>
      </c>
      <c r="AE146" s="90"/>
      <c r="AF146" s="92"/>
      <c r="AG146" s="92"/>
      <c r="AH146" s="92"/>
    </row>
    <row r="147" spans="1:34" ht="16.5" customHeight="1" thickBot="1">
      <c r="A147" s="67">
        <v>145</v>
      </c>
      <c r="B147" s="68" t="s">
        <v>462</v>
      </c>
      <c r="C147" s="68" t="s">
        <v>463</v>
      </c>
      <c r="D147" s="69">
        <v>5.5</v>
      </c>
      <c r="E147" s="70">
        <v>5.5</v>
      </c>
      <c r="F147" s="70">
        <v>8</v>
      </c>
      <c r="G147" s="71">
        <f t="shared" si="25"/>
        <v>6.333333333333333</v>
      </c>
      <c r="H147" s="72">
        <v>6.5</v>
      </c>
      <c r="I147" s="73">
        <v>7.5</v>
      </c>
      <c r="J147" s="74">
        <v>6.5</v>
      </c>
      <c r="K147" s="74">
        <v>5.5</v>
      </c>
      <c r="L147" s="75">
        <v>6.5</v>
      </c>
      <c r="M147" s="76">
        <f t="shared" si="26"/>
        <v>6.166666666666667</v>
      </c>
      <c r="N147" s="77">
        <f t="shared" si="21"/>
        <v>70.925925925925938</v>
      </c>
      <c r="O147" s="78">
        <v>5.5</v>
      </c>
      <c r="P147" s="79">
        <v>5</v>
      </c>
      <c r="Q147" s="80">
        <f t="shared" si="22"/>
        <v>5.25</v>
      </c>
      <c r="R147" s="87" t="s">
        <v>464</v>
      </c>
      <c r="S147" s="81">
        <v>5.5</v>
      </c>
      <c r="T147" s="82"/>
      <c r="U147" s="83"/>
      <c r="V147" s="84"/>
      <c r="W147" s="84"/>
      <c r="X147" s="84"/>
      <c r="Y147" s="85"/>
      <c r="Z147" s="86">
        <f t="shared" si="27"/>
        <v>29.398148148148152</v>
      </c>
      <c r="AA147" s="61">
        <f t="shared" si="23"/>
        <v>2</v>
      </c>
      <c r="AB147" s="62">
        <f t="shared" si="24"/>
        <v>2</v>
      </c>
      <c r="AC147" s="87" t="s">
        <v>464</v>
      </c>
      <c r="AD147" s="88">
        <v>13</v>
      </c>
      <c r="AE147" s="90"/>
      <c r="AF147" s="92"/>
      <c r="AG147" s="92"/>
      <c r="AH147" s="92"/>
    </row>
    <row r="148" spans="1:34" ht="16.5" customHeight="1" thickBot="1">
      <c r="A148" s="67">
        <v>146</v>
      </c>
      <c r="B148" s="68" t="s">
        <v>465</v>
      </c>
      <c r="C148" s="68" t="s">
        <v>466</v>
      </c>
      <c r="D148" s="111">
        <v>6.5</v>
      </c>
      <c r="E148" s="70">
        <v>6</v>
      </c>
      <c r="F148" s="70">
        <v>6.5</v>
      </c>
      <c r="G148" s="71">
        <f t="shared" si="25"/>
        <v>6.333333333333333</v>
      </c>
      <c r="H148" s="72">
        <v>6.5</v>
      </c>
      <c r="I148" s="73">
        <v>9</v>
      </c>
      <c r="J148" s="74">
        <v>6</v>
      </c>
      <c r="K148" s="74">
        <v>5.5</v>
      </c>
      <c r="L148" s="75">
        <v>6.5</v>
      </c>
      <c r="M148" s="76">
        <f t="shared" si="26"/>
        <v>6</v>
      </c>
      <c r="N148" s="77">
        <f t="shared" si="21"/>
        <v>73</v>
      </c>
      <c r="O148" s="78">
        <v>6</v>
      </c>
      <c r="P148" s="79">
        <v>6.5</v>
      </c>
      <c r="Q148" s="80">
        <f t="shared" si="22"/>
        <v>6.25</v>
      </c>
      <c r="R148" s="87" t="s">
        <v>467</v>
      </c>
      <c r="S148" s="81">
        <v>6.5</v>
      </c>
      <c r="T148" s="82"/>
      <c r="U148" s="83"/>
      <c r="V148" s="84"/>
      <c r="W148" s="84"/>
      <c r="X148" s="84"/>
      <c r="Y148" s="85"/>
      <c r="Z148" s="86">
        <f t="shared" si="27"/>
        <v>32.138888888888886</v>
      </c>
      <c r="AA148" s="61">
        <f t="shared" si="23"/>
        <v>2</v>
      </c>
      <c r="AB148" s="62">
        <f t="shared" si="24"/>
        <v>2</v>
      </c>
      <c r="AC148" s="87" t="s">
        <v>467</v>
      </c>
      <c r="AD148" s="88">
        <v>5</v>
      </c>
      <c r="AE148" s="90"/>
      <c r="AF148" s="92"/>
      <c r="AG148" s="92"/>
      <c r="AH148" s="92"/>
    </row>
    <row r="149" spans="1:34" ht="16.5" customHeight="1" thickBot="1">
      <c r="A149" s="67">
        <v>147</v>
      </c>
      <c r="B149" s="68" t="s">
        <v>468</v>
      </c>
      <c r="C149" s="68" t="s">
        <v>469</v>
      </c>
      <c r="D149" s="111">
        <v>6</v>
      </c>
      <c r="E149" s="70">
        <v>5.5</v>
      </c>
      <c r="F149" s="70">
        <v>7</v>
      </c>
      <c r="G149" s="71">
        <f t="shared" si="25"/>
        <v>6.166666666666667</v>
      </c>
      <c r="H149" s="72">
        <v>6</v>
      </c>
      <c r="I149" s="73">
        <v>8</v>
      </c>
      <c r="J149" s="74">
        <v>6</v>
      </c>
      <c r="K149" s="74">
        <v>4.5</v>
      </c>
      <c r="L149" s="75">
        <v>6</v>
      </c>
      <c r="M149" s="76">
        <f t="shared" si="26"/>
        <v>5.5</v>
      </c>
      <c r="N149" s="77">
        <f t="shared" si="21"/>
        <v>66.555555555555557</v>
      </c>
      <c r="O149" s="78">
        <v>5.5</v>
      </c>
      <c r="P149" s="79">
        <v>4.5</v>
      </c>
      <c r="Q149" s="80">
        <f t="shared" si="22"/>
        <v>5</v>
      </c>
      <c r="R149" s="87" t="s">
        <v>470</v>
      </c>
      <c r="S149" s="89">
        <v>5</v>
      </c>
      <c r="T149" s="82"/>
      <c r="U149" s="83"/>
      <c r="V149" s="84"/>
      <c r="W149" s="84"/>
      <c r="X149" s="84"/>
      <c r="Y149" s="85"/>
      <c r="Z149" s="86">
        <f t="shared" si="27"/>
        <v>27.75</v>
      </c>
      <c r="AA149" s="61">
        <f t="shared" si="23"/>
        <v>2</v>
      </c>
      <c r="AB149" s="62">
        <f t="shared" si="24"/>
        <v>2</v>
      </c>
      <c r="AC149" s="87" t="s">
        <v>470</v>
      </c>
      <c r="AD149" s="88">
        <v>14</v>
      </c>
      <c r="AE149" s="90"/>
      <c r="AF149" s="92"/>
      <c r="AG149" s="92"/>
      <c r="AH149" s="92"/>
    </row>
    <row r="150" spans="1:34" ht="16.5" customHeight="1" thickBot="1">
      <c r="A150" s="67">
        <v>148</v>
      </c>
      <c r="B150" s="68" t="s">
        <v>471</v>
      </c>
      <c r="C150" s="68" t="s">
        <v>472</v>
      </c>
      <c r="D150" s="111">
        <v>6</v>
      </c>
      <c r="E150" s="70">
        <v>7.5</v>
      </c>
      <c r="F150" s="70">
        <v>7.5</v>
      </c>
      <c r="G150" s="71">
        <f t="shared" si="25"/>
        <v>7</v>
      </c>
      <c r="H150" s="72">
        <v>7</v>
      </c>
      <c r="I150" s="73">
        <v>8.5</v>
      </c>
      <c r="J150" s="74">
        <v>6.5</v>
      </c>
      <c r="K150" s="74">
        <v>7</v>
      </c>
      <c r="L150" s="75">
        <v>6.5</v>
      </c>
      <c r="M150" s="76">
        <f t="shared" si="26"/>
        <v>6.666666666666667</v>
      </c>
      <c r="N150" s="77">
        <f t="shared" si="21"/>
        <v>77.370370370370367</v>
      </c>
      <c r="O150" s="78">
        <v>6.5</v>
      </c>
      <c r="P150" s="79">
        <v>8</v>
      </c>
      <c r="Q150" s="80">
        <f t="shared" si="22"/>
        <v>7.25</v>
      </c>
      <c r="R150" s="87" t="s">
        <v>473</v>
      </c>
      <c r="S150" s="81">
        <v>7.5</v>
      </c>
      <c r="T150" s="82"/>
      <c r="U150" s="83"/>
      <c r="V150" s="84"/>
      <c r="W150" s="84"/>
      <c r="X150" s="84"/>
      <c r="Y150" s="85"/>
      <c r="Z150" s="86">
        <f t="shared" si="27"/>
        <v>35.453703703703702</v>
      </c>
      <c r="AA150" s="61">
        <f t="shared" si="23"/>
        <v>4</v>
      </c>
      <c r="AB150" s="62">
        <f t="shared" si="24"/>
        <v>3</v>
      </c>
      <c r="AC150" s="87" t="s">
        <v>473</v>
      </c>
      <c r="AD150" s="88">
        <v>4</v>
      </c>
      <c r="AE150" s="90"/>
      <c r="AF150" s="92"/>
      <c r="AG150" s="92"/>
      <c r="AH150" s="92"/>
    </row>
    <row r="151" spans="1:34" ht="16.5" customHeight="1" thickBot="1">
      <c r="A151" s="67">
        <v>149</v>
      </c>
      <c r="B151" s="68" t="s">
        <v>474</v>
      </c>
      <c r="C151" s="68" t="s">
        <v>475</v>
      </c>
      <c r="D151" s="111">
        <v>5.5</v>
      </c>
      <c r="E151" s="70">
        <v>6.5</v>
      </c>
      <c r="F151" s="70">
        <v>6</v>
      </c>
      <c r="G151" s="71">
        <f t="shared" si="25"/>
        <v>6</v>
      </c>
      <c r="H151" s="72">
        <v>6</v>
      </c>
      <c r="I151" s="73">
        <v>1</v>
      </c>
      <c r="J151" s="74"/>
      <c r="K151" s="74"/>
      <c r="L151" s="75">
        <v>6.5</v>
      </c>
      <c r="M151" s="76">
        <f t="shared" si="26"/>
        <v>6.5</v>
      </c>
      <c r="N151" s="77">
        <f t="shared" si="21"/>
        <v>58.111111111111114</v>
      </c>
      <c r="O151" s="78">
        <v>5</v>
      </c>
      <c r="P151" s="79">
        <v>5</v>
      </c>
      <c r="Q151" s="80">
        <f t="shared" si="22"/>
        <v>5</v>
      </c>
      <c r="R151" s="87" t="s">
        <v>476</v>
      </c>
      <c r="S151" s="89">
        <v>5</v>
      </c>
      <c r="T151" s="82"/>
      <c r="U151" s="83"/>
      <c r="V151" s="84"/>
      <c r="W151" s="84"/>
      <c r="X151" s="84"/>
      <c r="Y151" s="85"/>
      <c r="Z151" s="86">
        <f t="shared" si="27"/>
        <v>25.638888888888889</v>
      </c>
      <c r="AA151" s="61">
        <f t="shared" si="23"/>
        <v>2</v>
      </c>
      <c r="AB151" s="62">
        <f t="shared" si="24"/>
        <v>2</v>
      </c>
      <c r="AC151" s="87" t="s">
        <v>476</v>
      </c>
      <c r="AD151" s="88">
        <v>5</v>
      </c>
      <c r="AE151" s="90"/>
      <c r="AF151" s="92"/>
      <c r="AG151" s="92"/>
      <c r="AH151" s="92"/>
    </row>
    <row r="152" spans="1:34" ht="16.5" customHeight="1" thickBot="1">
      <c r="A152" s="67">
        <v>150</v>
      </c>
      <c r="B152" s="68" t="s">
        <v>477</v>
      </c>
      <c r="C152" s="68" t="s">
        <v>478</v>
      </c>
      <c r="D152" s="111">
        <v>6</v>
      </c>
      <c r="E152" s="70">
        <v>7</v>
      </c>
      <c r="F152" s="70">
        <v>8</v>
      </c>
      <c r="G152" s="71">
        <f t="shared" si="25"/>
        <v>7</v>
      </c>
      <c r="H152" s="72">
        <v>7</v>
      </c>
      <c r="I152" s="73">
        <v>7</v>
      </c>
      <c r="J152" s="74">
        <v>6.5</v>
      </c>
      <c r="K152" s="74">
        <v>6</v>
      </c>
      <c r="L152" s="75">
        <v>7</v>
      </c>
      <c r="M152" s="76">
        <f t="shared" si="26"/>
        <v>6.5</v>
      </c>
      <c r="N152" s="77">
        <f t="shared" si="21"/>
        <v>73.444444444444443</v>
      </c>
      <c r="O152" s="78">
        <v>6.5</v>
      </c>
      <c r="P152" s="79">
        <v>7</v>
      </c>
      <c r="Q152" s="80">
        <f t="shared" si="22"/>
        <v>6.75</v>
      </c>
      <c r="R152" s="87" t="s">
        <v>479</v>
      </c>
      <c r="S152" s="89">
        <v>7</v>
      </c>
      <c r="T152" s="82"/>
      <c r="U152" s="83"/>
      <c r="V152" s="84"/>
      <c r="W152" s="84"/>
      <c r="X152" s="84"/>
      <c r="Y152" s="85"/>
      <c r="Z152" s="86">
        <f t="shared" si="27"/>
        <v>33.361111111111114</v>
      </c>
      <c r="AA152" s="61">
        <f t="shared" si="23"/>
        <v>2</v>
      </c>
      <c r="AB152" s="62">
        <f t="shared" si="24"/>
        <v>2</v>
      </c>
      <c r="AC152" s="87" t="s">
        <v>479</v>
      </c>
      <c r="AD152" s="88">
        <v>14</v>
      </c>
      <c r="AE152" s="90"/>
      <c r="AF152" s="92"/>
      <c r="AG152" s="92"/>
      <c r="AH152" s="92"/>
    </row>
    <row r="153" spans="1:34" ht="16.5" customHeight="1" thickBot="1">
      <c r="A153" s="67">
        <v>151</v>
      </c>
      <c r="B153" s="68" t="s">
        <v>480</v>
      </c>
      <c r="C153" s="68" t="s">
        <v>481</v>
      </c>
      <c r="D153" s="111">
        <v>3</v>
      </c>
      <c r="E153" s="70">
        <v>7</v>
      </c>
      <c r="F153" s="70">
        <v>8.5</v>
      </c>
      <c r="G153" s="71">
        <f t="shared" si="25"/>
        <v>6.166666666666667</v>
      </c>
      <c r="H153" s="72">
        <v>6</v>
      </c>
      <c r="I153" s="73">
        <v>2</v>
      </c>
      <c r="J153" s="74">
        <v>5</v>
      </c>
      <c r="K153" s="74">
        <v>4.5</v>
      </c>
      <c r="L153" s="75">
        <v>4.5</v>
      </c>
      <c r="M153" s="76">
        <f t="shared" si="26"/>
        <v>4.666666666666667</v>
      </c>
      <c r="N153" s="77">
        <f t="shared" si="21"/>
        <v>49.925925925925924</v>
      </c>
      <c r="O153" s="78">
        <v>5</v>
      </c>
      <c r="P153" s="79">
        <v>6</v>
      </c>
      <c r="Q153" s="80">
        <f t="shared" si="22"/>
        <v>5.5</v>
      </c>
      <c r="R153" s="87" t="s">
        <v>482</v>
      </c>
      <c r="S153" s="81">
        <v>5.5</v>
      </c>
      <c r="T153" s="82"/>
      <c r="U153" s="83"/>
      <c r="V153" s="84"/>
      <c r="W153" s="84"/>
      <c r="X153" s="84"/>
      <c r="Y153" s="85"/>
      <c r="Z153" s="86">
        <f t="shared" si="27"/>
        <v>24.703703703703702</v>
      </c>
      <c r="AA153" s="61">
        <f t="shared" si="23"/>
        <v>2</v>
      </c>
      <c r="AB153" s="62">
        <f t="shared" si="24"/>
        <v>2</v>
      </c>
      <c r="AC153" s="87" t="s">
        <v>482</v>
      </c>
      <c r="AD153" s="108" t="s">
        <v>113</v>
      </c>
      <c r="AE153" s="90"/>
      <c r="AF153" s="92"/>
      <c r="AG153" s="92"/>
      <c r="AH153" s="92"/>
    </row>
    <row r="154" spans="1:34" ht="16.5" customHeight="1" thickBot="1">
      <c r="A154" s="67">
        <v>152</v>
      </c>
      <c r="B154" s="68" t="s">
        <v>483</v>
      </c>
      <c r="C154" s="68" t="s">
        <v>484</v>
      </c>
      <c r="D154" s="111">
        <v>5</v>
      </c>
      <c r="E154" s="70">
        <v>6</v>
      </c>
      <c r="F154" s="70">
        <v>7</v>
      </c>
      <c r="G154" s="71">
        <f t="shared" si="25"/>
        <v>6</v>
      </c>
      <c r="H154" s="72">
        <v>6</v>
      </c>
      <c r="I154" s="73">
        <v>7</v>
      </c>
      <c r="J154" s="74">
        <v>5.5</v>
      </c>
      <c r="K154" s="74">
        <v>4.5</v>
      </c>
      <c r="L154" s="75">
        <v>6</v>
      </c>
      <c r="M154" s="76">
        <f t="shared" si="26"/>
        <v>5.333333333333333</v>
      </c>
      <c r="N154" s="77">
        <f t="shared" si="21"/>
        <v>63.629629629629626</v>
      </c>
      <c r="O154" s="78">
        <v>5</v>
      </c>
      <c r="P154" s="79">
        <v>5</v>
      </c>
      <c r="Q154" s="80">
        <f t="shared" si="22"/>
        <v>5</v>
      </c>
      <c r="R154" s="87" t="s">
        <v>485</v>
      </c>
      <c r="S154" s="89">
        <v>5</v>
      </c>
      <c r="T154" s="82"/>
      <c r="U154" s="83"/>
      <c r="V154" s="84"/>
      <c r="W154" s="84"/>
      <c r="X154" s="84"/>
      <c r="Y154" s="85"/>
      <c r="Z154" s="86">
        <f t="shared" si="27"/>
        <v>27.018518518518519</v>
      </c>
      <c r="AA154" s="61">
        <f t="shared" si="23"/>
        <v>2</v>
      </c>
      <c r="AB154" s="62">
        <f t="shared" si="24"/>
        <v>2</v>
      </c>
      <c r="AC154" s="87" t="s">
        <v>485</v>
      </c>
      <c r="AD154" s="88">
        <v>9</v>
      </c>
      <c r="AE154" s="90"/>
      <c r="AF154" s="92"/>
      <c r="AG154" s="92"/>
      <c r="AH154" s="92"/>
    </row>
    <row r="155" spans="1:34" ht="16.5" customHeight="1" thickBot="1">
      <c r="A155" s="67">
        <v>153</v>
      </c>
      <c r="B155" s="68" t="s">
        <v>486</v>
      </c>
      <c r="C155" s="68" t="s">
        <v>487</v>
      </c>
      <c r="D155" s="111">
        <v>6.5</v>
      </c>
      <c r="E155" s="70">
        <v>6</v>
      </c>
      <c r="F155" s="70">
        <v>8</v>
      </c>
      <c r="G155" s="71">
        <f t="shared" si="25"/>
        <v>6.833333333333333</v>
      </c>
      <c r="H155" s="72">
        <v>7</v>
      </c>
      <c r="I155" s="73">
        <v>7</v>
      </c>
      <c r="J155" s="74">
        <v>6</v>
      </c>
      <c r="K155" s="74">
        <v>5.5</v>
      </c>
      <c r="L155" s="75">
        <v>7</v>
      </c>
      <c r="M155" s="76">
        <f t="shared" si="26"/>
        <v>6.166666666666667</v>
      </c>
      <c r="N155" s="77">
        <f t="shared" si="21"/>
        <v>71.592592592592595</v>
      </c>
      <c r="O155" s="78">
        <v>6</v>
      </c>
      <c r="P155" s="79">
        <v>6</v>
      </c>
      <c r="Q155" s="80">
        <f t="shared" si="22"/>
        <v>6</v>
      </c>
      <c r="R155" s="87" t="s">
        <v>488</v>
      </c>
      <c r="S155" s="89">
        <v>6</v>
      </c>
      <c r="T155" s="82"/>
      <c r="U155" s="83"/>
      <c r="V155" s="84"/>
      <c r="W155" s="84"/>
      <c r="X155" s="84"/>
      <c r="Y155" s="85"/>
      <c r="Z155" s="86">
        <f t="shared" si="27"/>
        <v>31.231481481481481</v>
      </c>
      <c r="AA155" s="61">
        <f t="shared" si="23"/>
        <v>2</v>
      </c>
      <c r="AB155" s="62">
        <f t="shared" si="24"/>
        <v>2</v>
      </c>
      <c r="AC155" s="87" t="s">
        <v>488</v>
      </c>
      <c r="AD155" s="88">
        <v>1</v>
      </c>
      <c r="AE155" s="90"/>
      <c r="AF155" s="92"/>
      <c r="AG155" s="92"/>
      <c r="AH155" s="92"/>
    </row>
    <row r="156" spans="1:34" ht="16.5" customHeight="1" thickBot="1">
      <c r="A156" s="67">
        <v>154</v>
      </c>
      <c r="B156" s="68" t="s">
        <v>489</v>
      </c>
      <c r="C156" s="68" t="s">
        <v>490</v>
      </c>
      <c r="D156" s="111">
        <v>5</v>
      </c>
      <c r="E156" s="70">
        <v>5</v>
      </c>
      <c r="F156" s="70">
        <v>7</v>
      </c>
      <c r="G156" s="71">
        <f t="shared" si="25"/>
        <v>5.666666666666667</v>
      </c>
      <c r="H156" s="72">
        <v>5.5</v>
      </c>
      <c r="I156" s="73">
        <v>5</v>
      </c>
      <c r="J156" s="74">
        <v>5</v>
      </c>
      <c r="K156" s="74">
        <v>4</v>
      </c>
      <c r="L156" s="75">
        <v>6</v>
      </c>
      <c r="M156" s="76">
        <f t="shared" si="26"/>
        <v>5</v>
      </c>
      <c r="N156" s="77">
        <f t="shared" si="21"/>
        <v>56.111111111111114</v>
      </c>
      <c r="O156" s="78">
        <v>3.5</v>
      </c>
      <c r="P156" s="79">
        <v>6</v>
      </c>
      <c r="Q156" s="80">
        <f t="shared" si="22"/>
        <v>4.75</v>
      </c>
      <c r="R156" s="113" t="s">
        <v>491</v>
      </c>
      <c r="S156" s="89">
        <v>5</v>
      </c>
      <c r="T156" s="82"/>
      <c r="U156" s="83"/>
      <c r="V156" s="84"/>
      <c r="W156" s="84"/>
      <c r="X156" s="84"/>
      <c r="Y156" s="85"/>
      <c r="Z156" s="86">
        <f t="shared" si="27"/>
        <v>24.583333333333336</v>
      </c>
      <c r="AA156" s="61">
        <f t="shared" si="23"/>
        <v>2</v>
      </c>
      <c r="AB156" s="62">
        <f t="shared" si="24"/>
        <v>2</v>
      </c>
      <c r="AC156" s="113" t="s">
        <v>491</v>
      </c>
      <c r="AD156" s="114">
        <v>5</v>
      </c>
      <c r="AE156" s="92"/>
      <c r="AF156" s="92"/>
      <c r="AG156" s="92"/>
      <c r="AH156" s="92"/>
    </row>
    <row r="157" spans="1:34" ht="16.5" customHeight="1" thickBot="1">
      <c r="A157" s="67">
        <v>155</v>
      </c>
      <c r="B157" s="68" t="s">
        <v>492</v>
      </c>
      <c r="C157" s="68" t="s">
        <v>493</v>
      </c>
      <c r="D157" s="69">
        <v>4.5</v>
      </c>
      <c r="E157" s="70">
        <v>5.5</v>
      </c>
      <c r="F157" s="70">
        <v>7.5</v>
      </c>
      <c r="G157" s="71">
        <f t="shared" si="25"/>
        <v>5.833333333333333</v>
      </c>
      <c r="H157" s="72">
        <v>6</v>
      </c>
      <c r="I157" s="73">
        <v>7</v>
      </c>
      <c r="J157" s="74">
        <v>5</v>
      </c>
      <c r="K157" s="74">
        <v>4.5</v>
      </c>
      <c r="L157" s="75">
        <v>6.5</v>
      </c>
      <c r="M157" s="76">
        <f t="shared" si="26"/>
        <v>5.333333333333333</v>
      </c>
      <c r="N157" s="77">
        <f t="shared" si="21"/>
        <v>63.629629629629626</v>
      </c>
      <c r="O157" s="78">
        <v>6.5</v>
      </c>
      <c r="P157" s="79">
        <v>6</v>
      </c>
      <c r="Q157" s="80">
        <f t="shared" si="22"/>
        <v>6.25</v>
      </c>
      <c r="R157" s="87" t="s">
        <v>494</v>
      </c>
      <c r="S157" s="81">
        <v>6.5</v>
      </c>
      <c r="T157" s="82"/>
      <c r="U157" s="83"/>
      <c r="V157" s="84"/>
      <c r="W157" s="84"/>
      <c r="X157" s="84"/>
      <c r="Y157" s="85"/>
      <c r="Z157" s="86">
        <f t="shared" si="27"/>
        <v>29.796296296296298</v>
      </c>
      <c r="AA157" s="61">
        <f t="shared" si="23"/>
        <v>2</v>
      </c>
      <c r="AB157" s="62">
        <f t="shared" si="24"/>
        <v>2</v>
      </c>
      <c r="AC157" s="87" t="s">
        <v>494</v>
      </c>
      <c r="AD157" s="88">
        <v>9</v>
      </c>
      <c r="AE157" s="90"/>
      <c r="AF157" s="92"/>
      <c r="AG157" s="92"/>
      <c r="AH157" s="92"/>
    </row>
    <row r="158" spans="1:34" ht="16.5" customHeight="1" thickBot="1">
      <c r="A158" s="67">
        <v>156</v>
      </c>
      <c r="B158" s="68" t="s">
        <v>495</v>
      </c>
      <c r="C158" s="68" t="s">
        <v>496</v>
      </c>
      <c r="D158" s="111">
        <v>5.5</v>
      </c>
      <c r="E158" s="70">
        <v>5.5</v>
      </c>
      <c r="F158" s="70">
        <v>7.5</v>
      </c>
      <c r="G158" s="71">
        <f t="shared" si="25"/>
        <v>6.166666666666667</v>
      </c>
      <c r="H158" s="72">
        <v>6</v>
      </c>
      <c r="I158" s="73">
        <v>6</v>
      </c>
      <c r="J158" s="74">
        <v>5.5</v>
      </c>
      <c r="K158" s="74">
        <v>6</v>
      </c>
      <c r="L158" s="75">
        <v>5.5</v>
      </c>
      <c r="M158" s="76">
        <f t="shared" si="26"/>
        <v>5.666666666666667</v>
      </c>
      <c r="N158" s="77">
        <f t="shared" si="21"/>
        <v>63.481481481481481</v>
      </c>
      <c r="O158" s="78">
        <v>6</v>
      </c>
      <c r="P158" s="79">
        <v>5.5</v>
      </c>
      <c r="Q158" s="80">
        <f t="shared" si="22"/>
        <v>5.75</v>
      </c>
      <c r="R158" s="87" t="s">
        <v>497</v>
      </c>
      <c r="S158" s="89">
        <v>6</v>
      </c>
      <c r="T158" s="82"/>
      <c r="U158" s="83"/>
      <c r="V158" s="84"/>
      <c r="W158" s="84"/>
      <c r="X158" s="84"/>
      <c r="Y158" s="85"/>
      <c r="Z158" s="86">
        <f t="shared" si="27"/>
        <v>28.648148148148149</v>
      </c>
      <c r="AA158" s="61">
        <f t="shared" si="23"/>
        <v>2</v>
      </c>
      <c r="AB158" s="62">
        <f t="shared" si="24"/>
        <v>2</v>
      </c>
      <c r="AC158" s="87" t="s">
        <v>497</v>
      </c>
      <c r="AD158" s="88">
        <v>9</v>
      </c>
      <c r="AE158" s="90"/>
      <c r="AF158" s="92"/>
      <c r="AG158" s="92"/>
      <c r="AH158" s="92"/>
    </row>
    <row r="159" spans="1:34" ht="16.5" customHeight="1" thickBot="1">
      <c r="A159" s="67">
        <v>157</v>
      </c>
      <c r="B159" s="68" t="s">
        <v>498</v>
      </c>
      <c r="C159" s="68" t="s">
        <v>499</v>
      </c>
      <c r="D159" s="111">
        <v>7</v>
      </c>
      <c r="E159" s="70">
        <v>7</v>
      </c>
      <c r="F159" s="70">
        <v>7.5</v>
      </c>
      <c r="G159" s="71">
        <f t="shared" si="25"/>
        <v>7.166666666666667</v>
      </c>
      <c r="H159" s="72">
        <v>7</v>
      </c>
      <c r="I159" s="73">
        <v>6</v>
      </c>
      <c r="J159" s="74">
        <v>7.5</v>
      </c>
      <c r="K159" s="74">
        <v>5</v>
      </c>
      <c r="L159" s="75">
        <v>7</v>
      </c>
      <c r="M159" s="76">
        <f t="shared" si="26"/>
        <v>6.5</v>
      </c>
      <c r="N159" s="77">
        <f t="shared" si="21"/>
        <v>71.444444444444443</v>
      </c>
      <c r="O159" s="78"/>
      <c r="P159" s="79"/>
      <c r="Q159" s="80" t="e">
        <f t="shared" si="22"/>
        <v>#DIV/0!</v>
      </c>
      <c r="R159" s="87" t="s">
        <v>500</v>
      </c>
      <c r="S159" s="89">
        <v>0</v>
      </c>
      <c r="T159" s="82"/>
      <c r="U159" s="83"/>
      <c r="V159" s="84"/>
      <c r="W159" s="84"/>
      <c r="X159" s="84"/>
      <c r="Y159" s="85"/>
      <c r="Z159" s="86" t="e">
        <f t="shared" si="27"/>
        <v>#DIV/0!</v>
      </c>
      <c r="AA159" s="61" t="e">
        <f t="shared" si="23"/>
        <v>#DIV/0!</v>
      </c>
      <c r="AB159" s="62" t="e">
        <f t="shared" si="24"/>
        <v>#DIV/0!</v>
      </c>
      <c r="AC159" s="87" t="s">
        <v>500</v>
      </c>
      <c r="AD159" s="88">
        <v>7</v>
      </c>
      <c r="AE159" s="90"/>
      <c r="AF159" s="92"/>
      <c r="AG159" s="92"/>
      <c r="AH159" s="92"/>
    </row>
    <row r="160" spans="1:34" ht="16.5" customHeight="1" thickBot="1">
      <c r="A160" s="67">
        <v>158</v>
      </c>
      <c r="B160" s="68" t="s">
        <v>501</v>
      </c>
      <c r="C160" s="68" t="s">
        <v>502</v>
      </c>
      <c r="D160" s="69">
        <v>5.5</v>
      </c>
      <c r="E160" s="70">
        <v>5.5</v>
      </c>
      <c r="F160" s="70">
        <v>8</v>
      </c>
      <c r="G160" s="71">
        <f t="shared" si="25"/>
        <v>6.333333333333333</v>
      </c>
      <c r="H160" s="72">
        <v>6.5</v>
      </c>
      <c r="I160" s="73">
        <v>7.5</v>
      </c>
      <c r="J160" s="74">
        <v>6</v>
      </c>
      <c r="K160" s="74">
        <v>5</v>
      </c>
      <c r="L160" s="75">
        <v>7</v>
      </c>
      <c r="M160" s="76">
        <f t="shared" si="26"/>
        <v>6</v>
      </c>
      <c r="N160" s="77">
        <f t="shared" si="21"/>
        <v>70</v>
      </c>
      <c r="O160" s="78">
        <v>6.5</v>
      </c>
      <c r="P160" s="79">
        <v>5.5</v>
      </c>
      <c r="Q160" s="80">
        <f t="shared" si="22"/>
        <v>6</v>
      </c>
      <c r="R160" s="87" t="s">
        <v>503</v>
      </c>
      <c r="S160" s="89">
        <v>6</v>
      </c>
      <c r="T160" s="82"/>
      <c r="U160" s="83"/>
      <c r="V160" s="84"/>
      <c r="W160" s="84"/>
      <c r="X160" s="84"/>
      <c r="Y160" s="85"/>
      <c r="Z160" s="86">
        <f t="shared" si="27"/>
        <v>30.833333333333336</v>
      </c>
      <c r="AA160" s="61">
        <f t="shared" si="23"/>
        <v>2</v>
      </c>
      <c r="AB160" s="62">
        <f t="shared" si="24"/>
        <v>2</v>
      </c>
      <c r="AC160" s="87" t="s">
        <v>503</v>
      </c>
      <c r="AD160" s="88">
        <v>10</v>
      </c>
      <c r="AE160" s="90"/>
      <c r="AF160" s="92"/>
      <c r="AG160" s="92"/>
      <c r="AH160" s="92"/>
    </row>
    <row r="161" spans="1:34" ht="16.5" customHeight="1" thickBot="1">
      <c r="A161" s="67">
        <v>159</v>
      </c>
      <c r="B161" s="68" t="s">
        <v>504</v>
      </c>
      <c r="C161" s="68" t="s">
        <v>505</v>
      </c>
      <c r="D161" s="111">
        <v>4.5</v>
      </c>
      <c r="E161" s="70">
        <v>5</v>
      </c>
      <c r="F161" s="70">
        <v>6</v>
      </c>
      <c r="G161" s="71">
        <f t="shared" si="25"/>
        <v>5.166666666666667</v>
      </c>
      <c r="H161" s="72">
        <v>5</v>
      </c>
      <c r="I161" s="73">
        <v>5.5</v>
      </c>
      <c r="J161" s="74">
        <v>4</v>
      </c>
      <c r="K161" s="74">
        <v>4</v>
      </c>
      <c r="L161" s="75">
        <v>6</v>
      </c>
      <c r="M161" s="76">
        <f t="shared" si="26"/>
        <v>4.666666666666667</v>
      </c>
      <c r="N161" s="77">
        <f t="shared" si="21"/>
        <v>53.592592592592595</v>
      </c>
      <c r="O161" s="78">
        <v>4</v>
      </c>
      <c r="P161" s="79">
        <v>3.5</v>
      </c>
      <c r="Q161" s="80">
        <f t="shared" si="22"/>
        <v>3.75</v>
      </c>
      <c r="R161" s="87" t="s">
        <v>506</v>
      </c>
      <c r="S161" s="89">
        <v>4</v>
      </c>
      <c r="T161" s="82"/>
      <c r="U161" s="83"/>
      <c r="V161" s="84"/>
      <c r="W161" s="84"/>
      <c r="X161" s="84"/>
      <c r="Y161" s="85"/>
      <c r="Z161" s="86">
        <f t="shared" si="27"/>
        <v>21.731481481481481</v>
      </c>
      <c r="AA161" s="61">
        <f t="shared" si="23"/>
        <v>2</v>
      </c>
      <c r="AB161" s="62">
        <f t="shared" si="24"/>
        <v>2</v>
      </c>
      <c r="AC161" s="87" t="s">
        <v>506</v>
      </c>
      <c r="AD161" s="88">
        <v>9</v>
      </c>
      <c r="AE161" s="90"/>
      <c r="AF161" s="92"/>
      <c r="AG161" s="92"/>
      <c r="AH161" s="92"/>
    </row>
    <row r="162" spans="1:34" ht="16.5" customHeight="1" thickBot="1">
      <c r="A162" s="67">
        <v>160</v>
      </c>
      <c r="B162" s="68" t="s">
        <v>507</v>
      </c>
      <c r="C162" s="68" t="s">
        <v>508</v>
      </c>
      <c r="D162" s="111"/>
      <c r="E162" s="70"/>
      <c r="F162" s="70"/>
      <c r="G162" s="71">
        <f t="shared" si="25"/>
        <v>0</v>
      </c>
      <c r="H162" s="72"/>
      <c r="I162" s="73"/>
      <c r="J162" s="74"/>
      <c r="K162" s="74"/>
      <c r="L162" s="75"/>
      <c r="M162" s="76" t="e">
        <f t="shared" si="26"/>
        <v>#DIV/0!</v>
      </c>
      <c r="N162" s="77" t="e">
        <f t="shared" si="21"/>
        <v>#DIV/0!</v>
      </c>
      <c r="O162" s="78"/>
      <c r="P162" s="79"/>
      <c r="Q162" s="80" t="e">
        <f t="shared" si="22"/>
        <v>#DIV/0!</v>
      </c>
      <c r="R162" s="112" t="s">
        <v>509</v>
      </c>
      <c r="S162" s="89">
        <v>0</v>
      </c>
      <c r="T162" s="82"/>
      <c r="U162" s="83"/>
      <c r="V162" s="84"/>
      <c r="W162" s="84"/>
      <c r="X162" s="84"/>
      <c r="Y162" s="85"/>
      <c r="Z162" s="86" t="e">
        <f t="shared" si="27"/>
        <v>#DIV/0!</v>
      </c>
      <c r="AA162" s="61" t="e">
        <f t="shared" si="23"/>
        <v>#DIV/0!</v>
      </c>
      <c r="AB162" s="62" t="e">
        <f t="shared" si="24"/>
        <v>#DIV/0!</v>
      </c>
      <c r="AC162" s="112" t="s">
        <v>509</v>
      </c>
      <c r="AD162" s="115" t="s">
        <v>113</v>
      </c>
      <c r="AE162" s="90"/>
      <c r="AF162" s="92"/>
      <c r="AG162" s="92"/>
      <c r="AH162" s="92"/>
    </row>
    <row r="163" spans="1:34" ht="16.5" customHeight="1" thickBot="1">
      <c r="A163" s="67">
        <v>161</v>
      </c>
      <c r="B163" s="68" t="s">
        <v>510</v>
      </c>
      <c r="C163" s="68" t="s">
        <v>511</v>
      </c>
      <c r="D163" s="111">
        <v>6</v>
      </c>
      <c r="E163" s="70">
        <v>6</v>
      </c>
      <c r="F163" s="70">
        <v>7.5</v>
      </c>
      <c r="G163" s="71">
        <f t="shared" si="25"/>
        <v>6.5</v>
      </c>
      <c r="H163" s="72">
        <v>6.5</v>
      </c>
      <c r="I163" s="73">
        <v>6</v>
      </c>
      <c r="J163" s="74">
        <v>4.5</v>
      </c>
      <c r="K163" s="74">
        <v>3.5</v>
      </c>
      <c r="L163" s="75">
        <v>7</v>
      </c>
      <c r="M163" s="76">
        <f t="shared" si="26"/>
        <v>5</v>
      </c>
      <c r="N163" s="77">
        <f t="shared" si="21"/>
        <v>61.44444444444445</v>
      </c>
      <c r="O163" s="78">
        <v>5</v>
      </c>
      <c r="P163" s="79">
        <v>4</v>
      </c>
      <c r="Q163" s="80">
        <f t="shared" si="22"/>
        <v>4.5</v>
      </c>
      <c r="R163" s="87" t="s">
        <v>512</v>
      </c>
      <c r="S163" s="81">
        <v>4.5</v>
      </c>
      <c r="T163" s="82"/>
      <c r="U163" s="83"/>
      <c r="V163" s="84"/>
      <c r="W163" s="84"/>
      <c r="X163" s="84"/>
      <c r="Y163" s="85"/>
      <c r="Z163" s="86">
        <f t="shared" si="27"/>
        <v>25.361111111111114</v>
      </c>
      <c r="AA163" s="61">
        <f t="shared" si="23"/>
        <v>2</v>
      </c>
      <c r="AB163" s="62">
        <f t="shared" si="24"/>
        <v>2</v>
      </c>
      <c r="AC163" s="87" t="s">
        <v>512</v>
      </c>
      <c r="AD163" s="88">
        <v>12</v>
      </c>
      <c r="AE163" s="90"/>
      <c r="AF163" s="92"/>
      <c r="AG163" s="92"/>
      <c r="AH163" s="92"/>
    </row>
    <row r="164" spans="1:34" ht="16.5" customHeight="1" thickBot="1">
      <c r="A164" s="67">
        <v>162</v>
      </c>
      <c r="B164" s="68" t="s">
        <v>513</v>
      </c>
      <c r="C164" s="68" t="s">
        <v>514</v>
      </c>
      <c r="D164" s="111">
        <v>4.5</v>
      </c>
      <c r="E164" s="70">
        <v>5</v>
      </c>
      <c r="F164" s="70">
        <v>7</v>
      </c>
      <c r="G164" s="71">
        <f t="shared" si="25"/>
        <v>5.5</v>
      </c>
      <c r="H164" s="72">
        <v>5.5</v>
      </c>
      <c r="I164" s="73">
        <v>4</v>
      </c>
      <c r="J164" s="74">
        <v>5</v>
      </c>
      <c r="K164" s="74">
        <v>3.5</v>
      </c>
      <c r="L164" s="75">
        <v>6</v>
      </c>
      <c r="M164" s="76">
        <f t="shared" si="26"/>
        <v>4.833333333333333</v>
      </c>
      <c r="N164" s="77">
        <f t="shared" si="21"/>
        <v>53.185185185185183</v>
      </c>
      <c r="O164" s="78">
        <v>4.5</v>
      </c>
      <c r="P164" s="79">
        <v>4</v>
      </c>
      <c r="Q164" s="80">
        <f t="shared" si="22"/>
        <v>4.25</v>
      </c>
      <c r="R164" s="87" t="s">
        <v>515</v>
      </c>
      <c r="S164" s="81">
        <v>4.5</v>
      </c>
      <c r="T164" s="82"/>
      <c r="U164" s="83"/>
      <c r="V164" s="84"/>
      <c r="W164" s="84"/>
      <c r="X164" s="84"/>
      <c r="Y164" s="85"/>
      <c r="Z164" s="86">
        <f t="shared" si="27"/>
        <v>22.74074074074074</v>
      </c>
      <c r="AA164" s="61">
        <f t="shared" si="23"/>
        <v>2</v>
      </c>
      <c r="AB164" s="62">
        <f t="shared" si="24"/>
        <v>2</v>
      </c>
      <c r="AC164" s="87" t="s">
        <v>515</v>
      </c>
      <c r="AD164" s="88">
        <v>16</v>
      </c>
      <c r="AE164" s="90"/>
      <c r="AF164" s="92"/>
      <c r="AG164" s="92"/>
      <c r="AH164" s="92"/>
    </row>
    <row r="165" spans="1:34" ht="15.75" customHeight="1" thickBot="1">
      <c r="A165" s="67">
        <v>163</v>
      </c>
      <c r="B165" s="68" t="s">
        <v>516</v>
      </c>
      <c r="C165" s="68" t="s">
        <v>517</v>
      </c>
      <c r="D165" s="111">
        <v>5</v>
      </c>
      <c r="E165" s="70">
        <v>6</v>
      </c>
      <c r="F165" s="70">
        <v>8</v>
      </c>
      <c r="G165" s="71">
        <f t="shared" si="25"/>
        <v>6.333333333333333</v>
      </c>
      <c r="H165" s="72">
        <v>6.5</v>
      </c>
      <c r="I165" s="73">
        <v>7</v>
      </c>
      <c r="J165" s="74">
        <v>5.5</v>
      </c>
      <c r="K165" s="74">
        <v>4.5</v>
      </c>
      <c r="L165" s="75">
        <v>6</v>
      </c>
      <c r="M165" s="76">
        <f t="shared" si="26"/>
        <v>5.333333333333333</v>
      </c>
      <c r="N165" s="77">
        <f t="shared" si="21"/>
        <v>65.296296296296305</v>
      </c>
      <c r="O165" s="78">
        <v>6</v>
      </c>
      <c r="P165" s="79">
        <v>5.5</v>
      </c>
      <c r="Q165" s="80">
        <f t="shared" si="22"/>
        <v>5.75</v>
      </c>
      <c r="R165" s="87" t="s">
        <v>518</v>
      </c>
      <c r="S165" s="89">
        <v>6</v>
      </c>
      <c r="T165" s="82"/>
      <c r="U165" s="83"/>
      <c r="V165" s="84"/>
      <c r="W165" s="84"/>
      <c r="X165" s="84"/>
      <c r="Y165" s="85"/>
      <c r="Z165" s="86">
        <f t="shared" si="27"/>
        <v>29.101851851851855</v>
      </c>
      <c r="AA165" s="61">
        <f t="shared" si="23"/>
        <v>2</v>
      </c>
      <c r="AB165" s="62">
        <f t="shared" si="24"/>
        <v>2</v>
      </c>
      <c r="AC165" s="87" t="s">
        <v>518</v>
      </c>
      <c r="AD165" s="88">
        <v>10</v>
      </c>
      <c r="AE165" s="90"/>
      <c r="AF165" s="92"/>
      <c r="AG165" s="92"/>
      <c r="AH165" s="92"/>
    </row>
    <row r="166" spans="1:34" ht="16.5" customHeight="1" thickBot="1">
      <c r="A166" s="67">
        <v>164</v>
      </c>
      <c r="B166" s="68" t="s">
        <v>519</v>
      </c>
      <c r="C166" s="68" t="s">
        <v>520</v>
      </c>
      <c r="D166" s="111">
        <v>5.5</v>
      </c>
      <c r="E166" s="70">
        <v>5.5</v>
      </c>
      <c r="F166" s="70">
        <v>6.5</v>
      </c>
      <c r="G166" s="71">
        <f t="shared" si="25"/>
        <v>5.833333333333333</v>
      </c>
      <c r="H166" s="72">
        <v>6</v>
      </c>
      <c r="I166" s="73">
        <v>0</v>
      </c>
      <c r="J166" s="74">
        <v>5</v>
      </c>
      <c r="K166" s="74">
        <v>4</v>
      </c>
      <c r="L166" s="75">
        <v>5.5</v>
      </c>
      <c r="M166" s="76">
        <f t="shared" si="26"/>
        <v>4.833333333333333</v>
      </c>
      <c r="N166" s="77">
        <f t="shared" si="21"/>
        <v>46.851851851851848</v>
      </c>
      <c r="O166" s="78">
        <v>6</v>
      </c>
      <c r="P166" s="79">
        <v>4.5</v>
      </c>
      <c r="Q166" s="80">
        <f t="shared" si="22"/>
        <v>5.25</v>
      </c>
      <c r="R166" s="87" t="s">
        <v>521</v>
      </c>
      <c r="S166" s="81">
        <v>5.5</v>
      </c>
      <c r="T166" s="82"/>
      <c r="U166" s="83"/>
      <c r="V166" s="84"/>
      <c r="W166" s="84"/>
      <c r="X166" s="84"/>
      <c r="Y166" s="85"/>
      <c r="Z166" s="86">
        <f t="shared" si="27"/>
        <v>23.37962962962963</v>
      </c>
      <c r="AA166" s="61">
        <f t="shared" si="23"/>
        <v>2</v>
      </c>
      <c r="AB166" s="62">
        <f t="shared" si="24"/>
        <v>2</v>
      </c>
      <c r="AC166" s="87" t="s">
        <v>521</v>
      </c>
      <c r="AD166" s="88">
        <v>6</v>
      </c>
      <c r="AE166" s="90"/>
      <c r="AF166" s="92"/>
      <c r="AG166" s="92"/>
      <c r="AH166" s="92"/>
    </row>
    <row r="167" spans="1:34" ht="16.5" customHeight="1" thickBot="1">
      <c r="A167" s="67">
        <v>165</v>
      </c>
      <c r="B167" s="68" t="s">
        <v>522</v>
      </c>
      <c r="C167" s="68" t="s">
        <v>523</v>
      </c>
      <c r="D167" s="111">
        <v>6</v>
      </c>
      <c r="E167" s="70">
        <v>5.5</v>
      </c>
      <c r="F167" s="70">
        <v>8.5</v>
      </c>
      <c r="G167" s="71">
        <f t="shared" si="25"/>
        <v>6.666666666666667</v>
      </c>
      <c r="H167" s="72">
        <v>6.5</v>
      </c>
      <c r="I167" s="73">
        <v>5</v>
      </c>
      <c r="J167" s="74">
        <v>5</v>
      </c>
      <c r="K167" s="74">
        <v>5</v>
      </c>
      <c r="L167" s="75">
        <v>6</v>
      </c>
      <c r="M167" s="76">
        <f t="shared" si="26"/>
        <v>5.333333333333333</v>
      </c>
      <c r="N167" s="77">
        <f t="shared" si="21"/>
        <v>61.296296296296291</v>
      </c>
      <c r="O167" s="78">
        <v>6.5</v>
      </c>
      <c r="P167" s="79">
        <v>5.5</v>
      </c>
      <c r="Q167" s="80">
        <f t="shared" si="22"/>
        <v>6</v>
      </c>
      <c r="R167" s="87" t="s">
        <v>524</v>
      </c>
      <c r="S167" s="89">
        <v>6</v>
      </c>
      <c r="T167" s="82"/>
      <c r="U167" s="83"/>
      <c r="V167" s="84"/>
      <c r="W167" s="84"/>
      <c r="X167" s="84"/>
      <c r="Y167" s="85"/>
      <c r="Z167" s="86">
        <f t="shared" si="27"/>
        <v>28.657407407407405</v>
      </c>
      <c r="AA167" s="61">
        <f t="shared" si="23"/>
        <v>2</v>
      </c>
      <c r="AB167" s="62">
        <f t="shared" si="24"/>
        <v>2</v>
      </c>
      <c r="AC167" s="87" t="s">
        <v>524</v>
      </c>
      <c r="AD167" s="88">
        <v>11</v>
      </c>
      <c r="AE167" s="90"/>
      <c r="AF167" s="92"/>
      <c r="AG167" s="92"/>
      <c r="AH167" s="92"/>
    </row>
    <row r="168" spans="1:34" ht="16.5" customHeight="1" thickBot="1">
      <c r="A168" s="67">
        <v>166</v>
      </c>
      <c r="B168" s="68" t="s">
        <v>525</v>
      </c>
      <c r="C168" s="68" t="s">
        <v>526</v>
      </c>
      <c r="D168" s="111">
        <v>5</v>
      </c>
      <c r="E168" s="70">
        <v>4</v>
      </c>
      <c r="F168" s="70">
        <v>7</v>
      </c>
      <c r="G168" s="71">
        <f t="shared" si="25"/>
        <v>5.333333333333333</v>
      </c>
      <c r="H168" s="72">
        <v>5.5</v>
      </c>
      <c r="I168" s="73">
        <v>6</v>
      </c>
      <c r="J168" s="74">
        <v>5</v>
      </c>
      <c r="K168" s="74">
        <v>5</v>
      </c>
      <c r="L168" s="75">
        <v>6.5</v>
      </c>
      <c r="M168" s="76">
        <f t="shared" si="26"/>
        <v>5.5</v>
      </c>
      <c r="N168" s="77">
        <f t="shared" si="21"/>
        <v>60.888888888888886</v>
      </c>
      <c r="O168" s="78">
        <v>5.5</v>
      </c>
      <c r="P168" s="79">
        <v>4.5</v>
      </c>
      <c r="Q168" s="80">
        <f t="shared" si="22"/>
        <v>5</v>
      </c>
      <c r="R168" s="87" t="s">
        <v>527</v>
      </c>
      <c r="S168" s="89">
        <v>5</v>
      </c>
      <c r="T168" s="82"/>
      <c r="U168" s="83"/>
      <c r="V168" s="84"/>
      <c r="W168" s="84"/>
      <c r="X168" s="84"/>
      <c r="Y168" s="85"/>
      <c r="Z168" s="86">
        <f t="shared" si="27"/>
        <v>26.333333333333332</v>
      </c>
      <c r="AA168" s="61">
        <f t="shared" si="23"/>
        <v>2</v>
      </c>
      <c r="AB168" s="62">
        <f t="shared" si="24"/>
        <v>2</v>
      </c>
      <c r="AC168" s="87" t="s">
        <v>527</v>
      </c>
      <c r="AD168" s="88">
        <v>15</v>
      </c>
      <c r="AE168" s="90"/>
      <c r="AF168" s="92"/>
      <c r="AG168" s="92"/>
      <c r="AH168" s="92"/>
    </row>
    <row r="169" spans="1:34" ht="16.5" customHeight="1" thickBot="1">
      <c r="A169" s="67">
        <v>167</v>
      </c>
      <c r="B169" s="68" t="s">
        <v>528</v>
      </c>
      <c r="C169" s="68" t="s">
        <v>529</v>
      </c>
      <c r="D169" s="111">
        <v>4</v>
      </c>
      <c r="E169" s="70">
        <v>5.5</v>
      </c>
      <c r="F169" s="70">
        <v>8</v>
      </c>
      <c r="G169" s="71">
        <f t="shared" si="25"/>
        <v>5.833333333333333</v>
      </c>
      <c r="H169" s="72">
        <v>6</v>
      </c>
      <c r="I169" s="73">
        <v>5</v>
      </c>
      <c r="J169" s="74">
        <v>5</v>
      </c>
      <c r="K169" s="74">
        <v>5.5</v>
      </c>
      <c r="L169" s="75">
        <v>6</v>
      </c>
      <c r="M169" s="76">
        <f t="shared" si="26"/>
        <v>5.5</v>
      </c>
      <c r="N169" s="77">
        <f t="shared" si="21"/>
        <v>60.555555555555557</v>
      </c>
      <c r="O169" s="78">
        <v>5</v>
      </c>
      <c r="P169" s="79">
        <v>5.5</v>
      </c>
      <c r="Q169" s="80">
        <f t="shared" si="22"/>
        <v>5.25</v>
      </c>
      <c r="R169" s="87" t="s">
        <v>530</v>
      </c>
      <c r="S169" s="81">
        <v>5.5</v>
      </c>
      <c r="T169" s="82"/>
      <c r="U169" s="83"/>
      <c r="V169" s="84"/>
      <c r="W169" s="84"/>
      <c r="X169" s="84"/>
      <c r="Y169" s="85"/>
      <c r="Z169" s="86">
        <f t="shared" si="27"/>
        <v>26.805555555555557</v>
      </c>
      <c r="AA169" s="61">
        <f t="shared" si="23"/>
        <v>2</v>
      </c>
      <c r="AB169" s="62">
        <f t="shared" si="24"/>
        <v>2</v>
      </c>
      <c r="AC169" s="87" t="s">
        <v>530</v>
      </c>
      <c r="AD169" s="88">
        <v>12</v>
      </c>
      <c r="AE169" s="90"/>
      <c r="AF169" s="92"/>
      <c r="AG169" s="92"/>
      <c r="AH169" s="92"/>
    </row>
    <row r="170" spans="1:34" ht="16.5" customHeight="1" thickBot="1">
      <c r="A170" s="67">
        <v>168</v>
      </c>
      <c r="B170" s="68" t="s">
        <v>531</v>
      </c>
      <c r="C170" s="68" t="s">
        <v>532</v>
      </c>
      <c r="D170" s="111">
        <v>4.5</v>
      </c>
      <c r="E170" s="70">
        <v>4.5</v>
      </c>
      <c r="F170" s="70">
        <v>6</v>
      </c>
      <c r="G170" s="71">
        <f t="shared" si="25"/>
        <v>5</v>
      </c>
      <c r="H170" s="72">
        <v>5</v>
      </c>
      <c r="I170" s="73">
        <v>4</v>
      </c>
      <c r="J170" s="74">
        <v>4</v>
      </c>
      <c r="K170" s="74">
        <v>3.5</v>
      </c>
      <c r="L170" s="75">
        <v>3.5</v>
      </c>
      <c r="M170" s="76">
        <f t="shared" si="26"/>
        <v>3.6666666666666665</v>
      </c>
      <c r="N170" s="77">
        <f t="shared" si="21"/>
        <v>45.037037037037038</v>
      </c>
      <c r="O170" s="78">
        <v>4.5</v>
      </c>
      <c r="P170" s="79">
        <v>3.5</v>
      </c>
      <c r="Q170" s="80">
        <f t="shared" si="22"/>
        <v>4</v>
      </c>
      <c r="R170" s="87" t="s">
        <v>533</v>
      </c>
      <c r="S170" s="89">
        <v>4</v>
      </c>
      <c r="T170" s="82"/>
      <c r="U170" s="83"/>
      <c r="V170" s="84"/>
      <c r="W170" s="84"/>
      <c r="X170" s="84"/>
      <c r="Y170" s="85"/>
      <c r="Z170" s="86">
        <f t="shared" si="27"/>
        <v>20.148148148148149</v>
      </c>
      <c r="AA170" s="61">
        <f t="shared" si="23"/>
        <v>2</v>
      </c>
      <c r="AB170" s="62">
        <f t="shared" si="24"/>
        <v>2</v>
      </c>
      <c r="AC170" s="87" t="s">
        <v>533</v>
      </c>
      <c r="AD170" s="88">
        <v>12</v>
      </c>
      <c r="AE170" s="90"/>
      <c r="AF170" s="92"/>
      <c r="AG170" s="92"/>
      <c r="AH170" s="92"/>
    </row>
    <row r="171" spans="1:34" ht="16.5" customHeight="1" thickBot="1">
      <c r="A171" s="67">
        <v>169</v>
      </c>
      <c r="B171" s="68" t="s">
        <v>534</v>
      </c>
      <c r="C171" s="68" t="s">
        <v>535</v>
      </c>
      <c r="D171" s="111">
        <v>5</v>
      </c>
      <c r="E171" s="70">
        <v>4.5</v>
      </c>
      <c r="F171" s="70">
        <v>7</v>
      </c>
      <c r="G171" s="71">
        <f t="shared" si="25"/>
        <v>5.5</v>
      </c>
      <c r="H171" s="72">
        <v>5.5</v>
      </c>
      <c r="I171" s="73">
        <v>7</v>
      </c>
      <c r="J171" s="74">
        <v>6</v>
      </c>
      <c r="K171" s="74">
        <v>4</v>
      </c>
      <c r="L171" s="75">
        <v>6.5</v>
      </c>
      <c r="M171" s="76">
        <f t="shared" si="26"/>
        <v>5.5</v>
      </c>
      <c r="N171" s="77">
        <f t="shared" si="21"/>
        <v>62.888888888888886</v>
      </c>
      <c r="O171" s="78">
        <v>4.5</v>
      </c>
      <c r="P171" s="79">
        <v>3.5</v>
      </c>
      <c r="Q171" s="80">
        <f t="shared" si="22"/>
        <v>4</v>
      </c>
      <c r="R171" s="87" t="s">
        <v>536</v>
      </c>
      <c r="S171" s="89">
        <v>4</v>
      </c>
      <c r="T171" s="82"/>
      <c r="U171" s="83"/>
      <c r="V171" s="84"/>
      <c r="W171" s="84"/>
      <c r="X171" s="84"/>
      <c r="Y171" s="85"/>
      <c r="Z171" s="86">
        <f t="shared" si="27"/>
        <v>24.611111111111111</v>
      </c>
      <c r="AA171" s="61">
        <f t="shared" si="23"/>
        <v>2</v>
      </c>
      <c r="AB171" s="62">
        <f t="shared" si="24"/>
        <v>2</v>
      </c>
      <c r="AC171" s="87" t="s">
        <v>536</v>
      </c>
      <c r="AD171" s="88">
        <v>12</v>
      </c>
      <c r="AE171" s="90"/>
      <c r="AF171" s="92"/>
      <c r="AG171" s="92"/>
      <c r="AH171" s="92"/>
    </row>
    <row r="172" spans="1:34" ht="16.5" customHeight="1" thickBot="1">
      <c r="A172" s="67">
        <v>170</v>
      </c>
      <c r="B172" s="68" t="s">
        <v>537</v>
      </c>
      <c r="C172" s="68" t="s">
        <v>538</v>
      </c>
      <c r="D172" s="69">
        <v>5.5</v>
      </c>
      <c r="E172" s="70">
        <v>6</v>
      </c>
      <c r="F172" s="70">
        <v>8</v>
      </c>
      <c r="G172" s="71">
        <f t="shared" si="25"/>
        <v>6.5</v>
      </c>
      <c r="H172" s="72">
        <v>6.5</v>
      </c>
      <c r="I172" s="73">
        <v>0</v>
      </c>
      <c r="J172" s="74">
        <v>5.5</v>
      </c>
      <c r="K172" s="74">
        <v>7</v>
      </c>
      <c r="L172" s="75">
        <v>6.5</v>
      </c>
      <c r="M172" s="76">
        <f t="shared" si="26"/>
        <v>6.333333333333333</v>
      </c>
      <c r="N172" s="77">
        <f t="shared" si="21"/>
        <v>56.851851851851848</v>
      </c>
      <c r="O172" s="78">
        <v>5.5</v>
      </c>
      <c r="P172" s="79">
        <v>5.5</v>
      </c>
      <c r="Q172" s="80">
        <f t="shared" si="22"/>
        <v>5.5</v>
      </c>
      <c r="R172" s="87" t="s">
        <v>539</v>
      </c>
      <c r="S172" s="81">
        <v>5.5</v>
      </c>
      <c r="T172" s="82"/>
      <c r="U172" s="83"/>
      <c r="V172" s="84"/>
      <c r="W172" s="84"/>
      <c r="X172" s="84"/>
      <c r="Y172" s="85"/>
      <c r="Z172" s="86">
        <f t="shared" si="27"/>
        <v>26.435185185185183</v>
      </c>
      <c r="AA172" s="61">
        <f t="shared" si="23"/>
        <v>2</v>
      </c>
      <c r="AB172" s="62">
        <f t="shared" si="24"/>
        <v>2</v>
      </c>
      <c r="AC172" s="87" t="s">
        <v>539</v>
      </c>
      <c r="AD172" s="88">
        <v>15</v>
      </c>
      <c r="AE172" s="90"/>
      <c r="AF172" s="92"/>
      <c r="AG172" s="92"/>
      <c r="AH172" s="92"/>
    </row>
    <row r="173" spans="1:34" ht="16.5" customHeight="1" thickBot="1">
      <c r="A173" s="67">
        <v>171</v>
      </c>
      <c r="B173" s="68" t="s">
        <v>540</v>
      </c>
      <c r="C173" s="68" t="s">
        <v>541</v>
      </c>
      <c r="D173" s="111">
        <v>3.5</v>
      </c>
      <c r="E173" s="70">
        <v>4</v>
      </c>
      <c r="F173" s="70">
        <v>5.5</v>
      </c>
      <c r="G173" s="71">
        <f t="shared" si="25"/>
        <v>4.333333333333333</v>
      </c>
      <c r="H173" s="72">
        <v>4.5</v>
      </c>
      <c r="I173" s="73">
        <v>4</v>
      </c>
      <c r="J173" s="74">
        <v>3.5</v>
      </c>
      <c r="K173" s="74">
        <v>4</v>
      </c>
      <c r="L173" s="75">
        <v>5.5</v>
      </c>
      <c r="M173" s="76">
        <f t="shared" si="26"/>
        <v>4.333333333333333</v>
      </c>
      <c r="N173" s="77">
        <f t="shared" si="21"/>
        <v>47.074074074074076</v>
      </c>
      <c r="O173" s="78">
        <v>5</v>
      </c>
      <c r="P173" s="79">
        <v>3.5</v>
      </c>
      <c r="Q173" s="80">
        <f t="shared" si="22"/>
        <v>4.25</v>
      </c>
      <c r="R173" s="87" t="s">
        <v>542</v>
      </c>
      <c r="S173" s="81">
        <v>4.5</v>
      </c>
      <c r="T173" s="82"/>
      <c r="U173" s="83"/>
      <c r="V173" s="84"/>
      <c r="W173" s="84"/>
      <c r="X173" s="84"/>
      <c r="Y173" s="85"/>
      <c r="Z173" s="86">
        <f t="shared" si="27"/>
        <v>21.212962962962962</v>
      </c>
      <c r="AA173" s="61">
        <f t="shared" si="23"/>
        <v>2</v>
      </c>
      <c r="AB173" s="62">
        <f t="shared" si="24"/>
        <v>2</v>
      </c>
      <c r="AC173" s="87" t="s">
        <v>542</v>
      </c>
      <c r="AD173" s="88">
        <v>3</v>
      </c>
      <c r="AE173" s="90"/>
      <c r="AF173" s="92"/>
      <c r="AG173" s="92"/>
      <c r="AH173" s="92"/>
    </row>
    <row r="174" spans="1:34" ht="16.5" customHeight="1" thickBot="1">
      <c r="A174" s="67">
        <v>172</v>
      </c>
      <c r="B174" s="68" t="s">
        <v>543</v>
      </c>
      <c r="C174" s="68" t="s">
        <v>544</v>
      </c>
      <c r="D174" s="69">
        <v>6.5</v>
      </c>
      <c r="E174" s="70">
        <v>5.5</v>
      </c>
      <c r="F174" s="70">
        <v>7.5</v>
      </c>
      <c r="G174" s="71">
        <f t="shared" si="25"/>
        <v>6.5</v>
      </c>
      <c r="H174" s="72">
        <v>6.5</v>
      </c>
      <c r="I174" s="73">
        <v>7</v>
      </c>
      <c r="J174" s="74">
        <v>5.5</v>
      </c>
      <c r="K174" s="74">
        <v>5.5</v>
      </c>
      <c r="L174" s="75">
        <v>6</v>
      </c>
      <c r="M174" s="76">
        <f t="shared" si="26"/>
        <v>5.666666666666667</v>
      </c>
      <c r="N174" s="77">
        <f t="shared" si="21"/>
        <v>67.148148148148152</v>
      </c>
      <c r="O174" s="78">
        <v>6</v>
      </c>
      <c r="P174" s="79">
        <v>7</v>
      </c>
      <c r="Q174" s="80">
        <f t="shared" si="22"/>
        <v>6.5</v>
      </c>
      <c r="R174" s="87" t="s">
        <v>545</v>
      </c>
      <c r="S174" s="81">
        <v>6.5</v>
      </c>
      <c r="T174" s="82"/>
      <c r="U174" s="83"/>
      <c r="V174" s="84"/>
      <c r="W174" s="84"/>
      <c r="X174" s="84"/>
      <c r="Y174" s="85"/>
      <c r="Z174" s="86">
        <f t="shared" si="27"/>
        <v>31.231481481481481</v>
      </c>
      <c r="AA174" s="61">
        <f t="shared" si="23"/>
        <v>2</v>
      </c>
      <c r="AB174" s="62">
        <f t="shared" si="24"/>
        <v>2</v>
      </c>
      <c r="AC174" s="87" t="s">
        <v>545</v>
      </c>
      <c r="AD174" s="88">
        <v>2</v>
      </c>
      <c r="AE174" s="90"/>
      <c r="AF174" s="92"/>
      <c r="AG174" s="92"/>
      <c r="AH174" s="92"/>
    </row>
    <row r="175" spans="1:34" ht="16.5" customHeight="1" thickBot="1">
      <c r="A175" s="67">
        <v>173</v>
      </c>
      <c r="B175" s="68" t="s">
        <v>546</v>
      </c>
      <c r="C175" s="68" t="s">
        <v>547</v>
      </c>
      <c r="D175" s="111">
        <v>5.5</v>
      </c>
      <c r="E175" s="70">
        <v>6</v>
      </c>
      <c r="F175" s="70">
        <v>8.5</v>
      </c>
      <c r="G175" s="71">
        <f t="shared" si="25"/>
        <v>6.666666666666667</v>
      </c>
      <c r="H175" s="72">
        <v>6.5</v>
      </c>
      <c r="I175" s="73">
        <v>7.5</v>
      </c>
      <c r="J175" s="74">
        <v>6</v>
      </c>
      <c r="K175" s="74">
        <v>5.5</v>
      </c>
      <c r="L175" s="75">
        <v>6.5</v>
      </c>
      <c r="M175" s="76">
        <f t="shared" si="26"/>
        <v>6</v>
      </c>
      <c r="N175" s="77">
        <f t="shared" si="21"/>
        <v>70</v>
      </c>
      <c r="O175" s="78">
        <v>8.5</v>
      </c>
      <c r="P175" s="79">
        <v>7.5</v>
      </c>
      <c r="Q175" s="80">
        <f t="shared" si="22"/>
        <v>8</v>
      </c>
      <c r="R175" s="87" t="s">
        <v>548</v>
      </c>
      <c r="S175" s="89">
        <v>8</v>
      </c>
      <c r="T175" s="82"/>
      <c r="U175" s="83"/>
      <c r="V175" s="84"/>
      <c r="W175" s="84"/>
      <c r="X175" s="84"/>
      <c r="Y175" s="85"/>
      <c r="Z175" s="86">
        <f t="shared" si="27"/>
        <v>35.277777777777779</v>
      </c>
      <c r="AA175" s="61">
        <f t="shared" si="23"/>
        <v>4</v>
      </c>
      <c r="AB175" s="62">
        <f t="shared" si="24"/>
        <v>3</v>
      </c>
      <c r="AC175" s="87" t="s">
        <v>548</v>
      </c>
      <c r="AD175" s="88">
        <v>10</v>
      </c>
      <c r="AE175" s="90"/>
      <c r="AF175" s="92"/>
      <c r="AG175" s="92"/>
      <c r="AH175" s="92"/>
    </row>
    <row r="176" spans="1:34" ht="16.5" customHeight="1" thickBot="1">
      <c r="A176" s="67">
        <v>174</v>
      </c>
      <c r="B176" s="68" t="s">
        <v>549</v>
      </c>
      <c r="C176" s="68" t="s">
        <v>550</v>
      </c>
      <c r="D176" s="111">
        <v>5.5</v>
      </c>
      <c r="E176" s="70">
        <v>6</v>
      </c>
      <c r="F176" s="70">
        <v>8</v>
      </c>
      <c r="G176" s="71">
        <f t="shared" si="25"/>
        <v>6.5</v>
      </c>
      <c r="H176" s="72">
        <v>6.5</v>
      </c>
      <c r="I176" s="73">
        <v>2</v>
      </c>
      <c r="J176" s="74">
        <v>5.5</v>
      </c>
      <c r="K176" s="74">
        <v>4</v>
      </c>
      <c r="L176" s="75">
        <v>6</v>
      </c>
      <c r="M176" s="76">
        <f t="shared" si="26"/>
        <v>5.166666666666667</v>
      </c>
      <c r="N176" s="77">
        <f t="shared" si="21"/>
        <v>54.370370370370381</v>
      </c>
      <c r="O176" s="78">
        <v>5.5</v>
      </c>
      <c r="P176" s="79">
        <v>6</v>
      </c>
      <c r="Q176" s="80">
        <f t="shared" si="22"/>
        <v>5.75</v>
      </c>
      <c r="R176" s="87" t="s">
        <v>551</v>
      </c>
      <c r="S176" s="89">
        <v>6</v>
      </c>
      <c r="T176" s="82"/>
      <c r="U176" s="83"/>
      <c r="V176" s="84"/>
      <c r="W176" s="84"/>
      <c r="X176" s="84"/>
      <c r="Y176" s="85"/>
      <c r="Z176" s="86">
        <f t="shared" si="27"/>
        <v>26.370370370370374</v>
      </c>
      <c r="AA176" s="61">
        <f t="shared" si="23"/>
        <v>2</v>
      </c>
      <c r="AB176" s="62">
        <f t="shared" si="24"/>
        <v>2</v>
      </c>
      <c r="AC176" s="87" t="s">
        <v>551</v>
      </c>
      <c r="AD176" s="88">
        <v>10</v>
      </c>
      <c r="AE176" s="90"/>
      <c r="AF176" s="92"/>
      <c r="AG176" s="92"/>
      <c r="AH176" s="92"/>
    </row>
    <row r="177" spans="1:34" ht="16.5" customHeight="1" thickBot="1">
      <c r="A177" s="67">
        <v>175</v>
      </c>
      <c r="B177" s="68" t="s">
        <v>552</v>
      </c>
      <c r="C177" s="68" t="s">
        <v>553</v>
      </c>
      <c r="D177" s="69">
        <v>5.5</v>
      </c>
      <c r="E177" s="70">
        <v>6</v>
      </c>
      <c r="F177" s="70">
        <v>7.5</v>
      </c>
      <c r="G177" s="71">
        <f t="shared" si="25"/>
        <v>6.333333333333333</v>
      </c>
      <c r="H177" s="72">
        <v>6.5</v>
      </c>
      <c r="I177" s="73">
        <v>7</v>
      </c>
      <c r="J177" s="74">
        <v>5.5</v>
      </c>
      <c r="K177" s="74">
        <v>6</v>
      </c>
      <c r="L177" s="75">
        <v>6</v>
      </c>
      <c r="M177" s="76">
        <f t="shared" si="26"/>
        <v>5.833333333333333</v>
      </c>
      <c r="N177" s="77">
        <f t="shared" si="21"/>
        <v>68.074074074074076</v>
      </c>
      <c r="O177" s="78">
        <v>6.5</v>
      </c>
      <c r="P177" s="79">
        <v>6.5</v>
      </c>
      <c r="Q177" s="80">
        <f t="shared" si="22"/>
        <v>6.5</v>
      </c>
      <c r="R177" s="87" t="s">
        <v>554</v>
      </c>
      <c r="S177" s="81">
        <v>6.5</v>
      </c>
      <c r="T177" s="82"/>
      <c r="U177" s="83"/>
      <c r="V177" s="84"/>
      <c r="W177" s="84"/>
      <c r="X177" s="84"/>
      <c r="Y177" s="85"/>
      <c r="Z177" s="86">
        <f t="shared" si="27"/>
        <v>31.462962962962962</v>
      </c>
      <c r="AA177" s="61">
        <f t="shared" si="23"/>
        <v>2</v>
      </c>
      <c r="AB177" s="62">
        <f t="shared" si="24"/>
        <v>2</v>
      </c>
      <c r="AC177" s="87" t="s">
        <v>554</v>
      </c>
      <c r="AD177" s="88">
        <v>10</v>
      </c>
      <c r="AE177" s="90"/>
      <c r="AF177" s="92"/>
      <c r="AG177" s="92"/>
      <c r="AH177" s="92"/>
    </row>
    <row r="178" spans="1:34" ht="16.5" customHeight="1" thickBot="1">
      <c r="A178" s="67">
        <v>176</v>
      </c>
      <c r="B178" s="68" t="s">
        <v>555</v>
      </c>
      <c r="C178" s="68" t="s">
        <v>556</v>
      </c>
      <c r="D178" s="111">
        <v>6.5</v>
      </c>
      <c r="E178" s="70">
        <v>5.5</v>
      </c>
      <c r="F178" s="70">
        <v>8</v>
      </c>
      <c r="G178" s="71">
        <f t="shared" si="25"/>
        <v>6.666666666666667</v>
      </c>
      <c r="H178" s="72">
        <v>6.5</v>
      </c>
      <c r="I178" s="73">
        <v>7</v>
      </c>
      <c r="J178" s="74">
        <v>5.5</v>
      </c>
      <c r="K178" s="74">
        <v>4.5</v>
      </c>
      <c r="L178" s="75">
        <v>6</v>
      </c>
      <c r="M178" s="76">
        <f t="shared" si="26"/>
        <v>5.333333333333333</v>
      </c>
      <c r="N178" s="77">
        <f t="shared" si="21"/>
        <v>65.296296296296305</v>
      </c>
      <c r="O178" s="78">
        <v>6</v>
      </c>
      <c r="P178" s="79">
        <v>6</v>
      </c>
      <c r="Q178" s="80">
        <f t="shared" si="22"/>
        <v>6</v>
      </c>
      <c r="R178" s="87" t="s">
        <v>557</v>
      </c>
      <c r="S178" s="89">
        <v>6</v>
      </c>
      <c r="T178" s="82"/>
      <c r="U178" s="83"/>
      <c r="V178" s="84"/>
      <c r="W178" s="84"/>
      <c r="X178" s="84"/>
      <c r="Y178" s="85"/>
      <c r="Z178" s="86">
        <f t="shared" si="27"/>
        <v>29.657407407407412</v>
      </c>
      <c r="AA178" s="61">
        <f t="shared" si="23"/>
        <v>2</v>
      </c>
      <c r="AB178" s="62">
        <f t="shared" si="24"/>
        <v>2</v>
      </c>
      <c r="AC178" s="87" t="s">
        <v>557</v>
      </c>
      <c r="AD178" s="88">
        <v>6</v>
      </c>
      <c r="AE178" s="90"/>
      <c r="AF178" s="92"/>
      <c r="AG178" s="92"/>
      <c r="AH178" s="92"/>
    </row>
    <row r="179" spans="1:34" ht="16.5" customHeight="1" thickBot="1">
      <c r="A179" s="67">
        <v>177</v>
      </c>
      <c r="B179" s="68" t="s">
        <v>558</v>
      </c>
      <c r="C179" s="68" t="s">
        <v>559</v>
      </c>
      <c r="D179" s="111">
        <v>5</v>
      </c>
      <c r="E179" s="70">
        <v>4.5</v>
      </c>
      <c r="F179" s="70">
        <v>7.5</v>
      </c>
      <c r="G179" s="71">
        <f t="shared" si="25"/>
        <v>5.666666666666667</v>
      </c>
      <c r="H179" s="72">
        <v>5.5</v>
      </c>
      <c r="I179" s="73">
        <v>8</v>
      </c>
      <c r="J179" s="74">
        <v>5.5</v>
      </c>
      <c r="K179" s="74">
        <v>5</v>
      </c>
      <c r="L179" s="75">
        <v>6.5</v>
      </c>
      <c r="M179" s="76">
        <f t="shared" si="26"/>
        <v>5.666666666666667</v>
      </c>
      <c r="N179" s="77">
        <f t="shared" si="21"/>
        <v>65.81481481481481</v>
      </c>
      <c r="O179" s="78">
        <v>5.5</v>
      </c>
      <c r="P179" s="79">
        <v>5</v>
      </c>
      <c r="Q179" s="80">
        <f t="shared" si="22"/>
        <v>5.25</v>
      </c>
      <c r="R179" s="87" t="s">
        <v>560</v>
      </c>
      <c r="S179" s="81">
        <v>5.5</v>
      </c>
      <c r="T179" s="82"/>
      <c r="U179" s="83"/>
      <c r="V179" s="84"/>
      <c r="W179" s="84"/>
      <c r="X179" s="84"/>
      <c r="Y179" s="85"/>
      <c r="Z179" s="86">
        <f t="shared" si="27"/>
        <v>28.12037037037037</v>
      </c>
      <c r="AA179" s="61">
        <f t="shared" si="23"/>
        <v>2</v>
      </c>
      <c r="AB179" s="62">
        <f t="shared" si="24"/>
        <v>2</v>
      </c>
      <c r="AC179" s="87" t="s">
        <v>560</v>
      </c>
      <c r="AD179" s="88">
        <v>6</v>
      </c>
      <c r="AE179" s="90"/>
      <c r="AF179" s="92"/>
      <c r="AG179" s="92"/>
      <c r="AH179" s="92"/>
    </row>
    <row r="180" spans="1:34" ht="16.5" customHeight="1" thickBot="1">
      <c r="A180" s="67">
        <v>178</v>
      </c>
      <c r="B180" s="68" t="s">
        <v>561</v>
      </c>
      <c r="C180" s="68" t="s">
        <v>562</v>
      </c>
      <c r="D180" s="69">
        <v>6.5</v>
      </c>
      <c r="E180" s="70">
        <v>6.5</v>
      </c>
      <c r="F180" s="70">
        <v>8.5</v>
      </c>
      <c r="G180" s="71">
        <f t="shared" si="25"/>
        <v>7.166666666666667</v>
      </c>
      <c r="H180" s="72">
        <v>7</v>
      </c>
      <c r="I180" s="73">
        <v>3</v>
      </c>
      <c r="J180" s="74">
        <v>6.5</v>
      </c>
      <c r="K180" s="74">
        <v>6</v>
      </c>
      <c r="L180" s="75">
        <v>4.5</v>
      </c>
      <c r="M180" s="76">
        <f t="shared" si="26"/>
        <v>5.666666666666667</v>
      </c>
      <c r="N180" s="77">
        <f t="shared" si="21"/>
        <v>60.814814814814817</v>
      </c>
      <c r="O180" s="78">
        <v>8</v>
      </c>
      <c r="P180" s="79">
        <v>8</v>
      </c>
      <c r="Q180" s="80">
        <f t="shared" si="22"/>
        <v>8</v>
      </c>
      <c r="R180" s="87" t="s">
        <v>563</v>
      </c>
      <c r="S180" s="89">
        <v>8</v>
      </c>
      <c r="T180" s="82"/>
      <c r="U180" s="83"/>
      <c r="V180" s="84"/>
      <c r="W180" s="84"/>
      <c r="X180" s="84"/>
      <c r="Y180" s="85"/>
      <c r="Z180" s="86">
        <f t="shared" si="27"/>
        <v>32.981481481481481</v>
      </c>
      <c r="AA180" s="61">
        <f t="shared" si="23"/>
        <v>2</v>
      </c>
      <c r="AB180" s="62">
        <f t="shared" si="24"/>
        <v>2</v>
      </c>
      <c r="AC180" s="87" t="s">
        <v>563</v>
      </c>
      <c r="AD180" s="88">
        <v>10</v>
      </c>
      <c r="AE180" s="90"/>
      <c r="AF180" s="92"/>
      <c r="AG180" s="92"/>
      <c r="AH180" s="92"/>
    </row>
    <row r="181" spans="1:34" ht="16.5" customHeight="1" thickBot="1">
      <c r="A181" s="67">
        <v>179</v>
      </c>
      <c r="B181" s="68" t="s">
        <v>564</v>
      </c>
      <c r="C181" s="68" t="s">
        <v>565</v>
      </c>
      <c r="D181" s="111">
        <v>7</v>
      </c>
      <c r="E181" s="70">
        <v>7</v>
      </c>
      <c r="F181" s="70">
        <v>7.5</v>
      </c>
      <c r="G181" s="71">
        <f t="shared" si="25"/>
        <v>7.166666666666667</v>
      </c>
      <c r="H181" s="72">
        <v>7</v>
      </c>
      <c r="I181" s="73">
        <v>7</v>
      </c>
      <c r="J181" s="74">
        <v>6</v>
      </c>
      <c r="K181" s="74">
        <v>6</v>
      </c>
      <c r="L181" s="75">
        <v>7</v>
      </c>
      <c r="M181" s="76">
        <f t="shared" si="26"/>
        <v>6.333333333333333</v>
      </c>
      <c r="N181" s="77">
        <f t="shared" si="21"/>
        <v>72.518518518518505</v>
      </c>
      <c r="O181" s="78">
        <v>7.5</v>
      </c>
      <c r="P181" s="79">
        <v>9</v>
      </c>
      <c r="Q181" s="80">
        <f t="shared" si="22"/>
        <v>8.25</v>
      </c>
      <c r="R181" s="87" t="s">
        <v>566</v>
      </c>
      <c r="S181" s="81">
        <v>8.5</v>
      </c>
      <c r="T181" s="82"/>
      <c r="U181" s="83"/>
      <c r="V181" s="84"/>
      <c r="W181" s="84"/>
      <c r="X181" s="84"/>
      <c r="Y181" s="85"/>
      <c r="Z181" s="86">
        <f t="shared" si="27"/>
        <v>36.462962962962962</v>
      </c>
      <c r="AA181" s="61">
        <f t="shared" si="23"/>
        <v>4</v>
      </c>
      <c r="AB181" s="62">
        <f t="shared" si="24"/>
        <v>3</v>
      </c>
      <c r="AC181" s="87" t="s">
        <v>566</v>
      </c>
      <c r="AD181" s="88">
        <v>13</v>
      </c>
      <c r="AE181" s="90"/>
      <c r="AF181" s="92"/>
      <c r="AG181" s="92"/>
      <c r="AH181" s="92"/>
    </row>
    <row r="182" spans="1:34" ht="16.5" customHeight="1" thickBot="1">
      <c r="A182" s="67">
        <v>180</v>
      </c>
      <c r="B182" s="68" t="s">
        <v>567</v>
      </c>
      <c r="C182" s="68" t="s">
        <v>568</v>
      </c>
      <c r="D182" s="69">
        <v>4.5</v>
      </c>
      <c r="E182" s="70">
        <v>5</v>
      </c>
      <c r="F182" s="70">
        <v>6</v>
      </c>
      <c r="G182" s="71">
        <f t="shared" si="25"/>
        <v>5.166666666666667</v>
      </c>
      <c r="H182" s="72">
        <v>5</v>
      </c>
      <c r="I182" s="73">
        <v>6</v>
      </c>
      <c r="J182" s="74">
        <v>4.5</v>
      </c>
      <c r="K182" s="74">
        <v>4.5</v>
      </c>
      <c r="L182" s="75">
        <v>6.5</v>
      </c>
      <c r="M182" s="76">
        <f t="shared" si="26"/>
        <v>5.166666666666667</v>
      </c>
      <c r="N182" s="77">
        <f t="shared" si="21"/>
        <v>57.370370370370381</v>
      </c>
      <c r="O182" s="78">
        <v>5</v>
      </c>
      <c r="P182" s="79">
        <v>4</v>
      </c>
      <c r="Q182" s="80">
        <f t="shared" si="22"/>
        <v>4.5</v>
      </c>
      <c r="R182" s="87" t="s">
        <v>569</v>
      </c>
      <c r="S182" s="81">
        <v>4.5</v>
      </c>
      <c r="T182" s="82"/>
      <c r="U182" s="83"/>
      <c r="V182" s="84"/>
      <c r="W182" s="84"/>
      <c r="X182" s="84"/>
      <c r="Y182" s="85"/>
      <c r="Z182" s="86">
        <f t="shared" si="27"/>
        <v>24.342592592592595</v>
      </c>
      <c r="AA182" s="61">
        <f t="shared" si="23"/>
        <v>2</v>
      </c>
      <c r="AB182" s="62">
        <f t="shared" si="24"/>
        <v>2</v>
      </c>
      <c r="AC182" s="87" t="s">
        <v>569</v>
      </c>
      <c r="AD182" s="88">
        <v>15</v>
      </c>
      <c r="AE182" s="90"/>
      <c r="AF182" s="92"/>
      <c r="AG182" s="92"/>
      <c r="AH182" s="92"/>
    </row>
    <row r="183" spans="1:34" ht="17.25" customHeight="1" thickBot="1">
      <c r="A183" s="67">
        <v>181</v>
      </c>
      <c r="B183" s="66" t="s">
        <v>570</v>
      </c>
      <c r="C183" s="66" t="s">
        <v>571</v>
      </c>
      <c r="D183" s="94"/>
      <c r="E183" s="95"/>
      <c r="F183" s="95"/>
      <c r="G183" s="96"/>
      <c r="H183" s="97"/>
      <c r="I183" s="98"/>
      <c r="J183" s="116"/>
      <c r="K183" s="116"/>
      <c r="L183" s="117"/>
      <c r="M183" s="101"/>
      <c r="N183" s="102"/>
      <c r="O183" s="78">
        <v>5.5</v>
      </c>
      <c r="P183" s="79">
        <v>5.5</v>
      </c>
      <c r="Q183" s="103">
        <v>5.5</v>
      </c>
      <c r="R183" s="101">
        <v>0</v>
      </c>
      <c r="S183" s="81">
        <v>5.5</v>
      </c>
      <c r="T183" s="104"/>
      <c r="U183" s="105"/>
      <c r="V183" s="95"/>
      <c r="W183" s="95"/>
      <c r="X183" s="95"/>
      <c r="Y183" s="106"/>
      <c r="Z183" s="105"/>
      <c r="AA183" s="61" t="b">
        <f t="shared" si="23"/>
        <v>0</v>
      </c>
      <c r="AB183" s="62" t="e">
        <f t="shared" si="24"/>
        <v>#N/A</v>
      </c>
      <c r="AC183" s="101">
        <v>0</v>
      </c>
      <c r="AD183" s="107"/>
      <c r="AE183" s="90"/>
      <c r="AF183" s="92"/>
      <c r="AG183" s="92"/>
      <c r="AH183" s="92"/>
    </row>
    <row r="184" spans="1:34" ht="16.5" customHeight="1" thickBot="1">
      <c r="A184" s="67">
        <v>182</v>
      </c>
      <c r="B184" s="68" t="s">
        <v>572</v>
      </c>
      <c r="C184" s="68" t="s">
        <v>573</v>
      </c>
      <c r="D184" s="69">
        <v>5.5</v>
      </c>
      <c r="E184" s="70">
        <v>6</v>
      </c>
      <c r="F184" s="70">
        <v>6.5</v>
      </c>
      <c r="G184" s="71">
        <f t="shared" ref="G184:G224" si="28">IFERROR(AVERAGE(D184:F184),)</f>
        <v>6</v>
      </c>
      <c r="H184" s="72">
        <v>6</v>
      </c>
      <c r="I184" s="73">
        <v>6</v>
      </c>
      <c r="J184" s="74">
        <v>4.5</v>
      </c>
      <c r="K184" s="74">
        <v>4.5</v>
      </c>
      <c r="L184" s="75">
        <v>6</v>
      </c>
      <c r="M184" s="76">
        <f t="shared" ref="M184:M224" si="29">AVERAGE(J184:L184)</f>
        <v>5</v>
      </c>
      <c r="N184" s="77">
        <f t="shared" ref="N184:N224" si="30">H184*30/9+2*I184+M184*50/9</f>
        <v>59.777777777777779</v>
      </c>
      <c r="O184" s="78">
        <v>6.5</v>
      </c>
      <c r="P184" s="79">
        <v>6.5</v>
      </c>
      <c r="Q184" s="80">
        <f t="shared" ref="Q184:Q224" si="31">AVERAGE(O184:P184)</f>
        <v>6.5</v>
      </c>
      <c r="R184" s="87" t="s">
        <v>574</v>
      </c>
      <c r="S184" s="81">
        <v>6.5</v>
      </c>
      <c r="T184" s="82"/>
      <c r="U184" s="83"/>
      <c r="V184" s="84"/>
      <c r="W184" s="84"/>
      <c r="X184" s="84"/>
      <c r="Y184" s="85"/>
      <c r="Z184" s="86">
        <f t="shared" ref="Z184:Z224" si="32">0.25*N184+0.15*T184*10+20/9*Q184+40/9*Y184</f>
        <v>29.388888888888889</v>
      </c>
      <c r="AA184" s="61">
        <f t="shared" si="23"/>
        <v>2</v>
      </c>
      <c r="AB184" s="62">
        <f t="shared" si="24"/>
        <v>2</v>
      </c>
      <c r="AC184" s="87" t="s">
        <v>574</v>
      </c>
      <c r="AD184" s="88">
        <v>6</v>
      </c>
      <c r="AE184" s="90"/>
      <c r="AF184" s="92"/>
      <c r="AG184" s="92"/>
      <c r="AH184" s="92"/>
    </row>
    <row r="185" spans="1:34" ht="16.5" customHeight="1" thickBot="1">
      <c r="A185" s="67">
        <v>183</v>
      </c>
      <c r="B185" s="68" t="s">
        <v>575</v>
      </c>
      <c r="C185" s="68" t="s">
        <v>576</v>
      </c>
      <c r="D185" s="69">
        <v>7</v>
      </c>
      <c r="E185" s="70">
        <v>7</v>
      </c>
      <c r="F185" s="70">
        <v>8.5</v>
      </c>
      <c r="G185" s="71">
        <f t="shared" si="28"/>
        <v>7.5</v>
      </c>
      <c r="H185" s="72">
        <v>7.5</v>
      </c>
      <c r="I185" s="73">
        <v>8</v>
      </c>
      <c r="J185" s="74">
        <v>8</v>
      </c>
      <c r="K185" s="74">
        <v>6</v>
      </c>
      <c r="L185" s="75">
        <v>7.5</v>
      </c>
      <c r="M185" s="76">
        <f t="shared" si="29"/>
        <v>7.166666666666667</v>
      </c>
      <c r="N185" s="77">
        <f t="shared" si="30"/>
        <v>80.81481481481481</v>
      </c>
      <c r="O185" s="78">
        <v>7</v>
      </c>
      <c r="P185" s="79">
        <v>7.5</v>
      </c>
      <c r="Q185" s="80">
        <f t="shared" si="31"/>
        <v>7.25</v>
      </c>
      <c r="R185" s="87" t="s">
        <v>577</v>
      </c>
      <c r="S185" s="81">
        <v>7.5</v>
      </c>
      <c r="T185" s="82"/>
      <c r="U185" s="83"/>
      <c r="V185" s="84"/>
      <c r="W185" s="84"/>
      <c r="X185" s="84"/>
      <c r="Y185" s="85"/>
      <c r="Z185" s="86">
        <f t="shared" si="32"/>
        <v>36.31481481481481</v>
      </c>
      <c r="AA185" s="61">
        <f t="shared" si="23"/>
        <v>4</v>
      </c>
      <c r="AB185" s="62">
        <f t="shared" si="24"/>
        <v>3</v>
      </c>
      <c r="AC185" s="87" t="s">
        <v>577</v>
      </c>
      <c r="AD185" s="88">
        <v>1</v>
      </c>
      <c r="AE185" s="90"/>
      <c r="AF185" s="92"/>
      <c r="AG185" s="92"/>
      <c r="AH185" s="92"/>
    </row>
    <row r="186" spans="1:34" ht="16.5" customHeight="1" thickBot="1">
      <c r="A186" s="67">
        <v>184</v>
      </c>
      <c r="B186" s="68" t="s">
        <v>578</v>
      </c>
      <c r="C186" s="68" t="s">
        <v>579</v>
      </c>
      <c r="D186" s="111">
        <v>5.5</v>
      </c>
      <c r="E186" s="70">
        <v>5.5</v>
      </c>
      <c r="F186" s="70">
        <v>7</v>
      </c>
      <c r="G186" s="71">
        <f t="shared" si="28"/>
        <v>6</v>
      </c>
      <c r="H186" s="72">
        <v>6</v>
      </c>
      <c r="I186" s="73">
        <v>6.5</v>
      </c>
      <c r="J186" s="74">
        <v>5</v>
      </c>
      <c r="K186" s="74">
        <v>4</v>
      </c>
      <c r="L186" s="75">
        <v>5.5</v>
      </c>
      <c r="M186" s="76">
        <f t="shared" si="29"/>
        <v>4.833333333333333</v>
      </c>
      <c r="N186" s="77">
        <f t="shared" si="30"/>
        <v>59.851851851851848</v>
      </c>
      <c r="O186" s="78">
        <v>6</v>
      </c>
      <c r="P186" s="79">
        <v>4</v>
      </c>
      <c r="Q186" s="80">
        <f t="shared" si="31"/>
        <v>5</v>
      </c>
      <c r="R186" s="87" t="s">
        <v>580</v>
      </c>
      <c r="S186" s="89">
        <v>5</v>
      </c>
      <c r="T186" s="82"/>
      <c r="U186" s="83"/>
      <c r="V186" s="84"/>
      <c r="W186" s="84"/>
      <c r="X186" s="84"/>
      <c r="Y186" s="85"/>
      <c r="Z186" s="86">
        <f t="shared" si="32"/>
        <v>26.074074074074073</v>
      </c>
      <c r="AA186" s="61">
        <f t="shared" si="23"/>
        <v>2</v>
      </c>
      <c r="AB186" s="62">
        <f t="shared" si="24"/>
        <v>2</v>
      </c>
      <c r="AC186" s="87" t="s">
        <v>580</v>
      </c>
      <c r="AD186" s="88">
        <v>8</v>
      </c>
      <c r="AE186" s="90"/>
      <c r="AF186" s="92"/>
      <c r="AG186" s="92"/>
      <c r="AH186" s="92"/>
    </row>
    <row r="187" spans="1:34" ht="16.5" customHeight="1" thickBot="1">
      <c r="A187" s="67">
        <v>185</v>
      </c>
      <c r="B187" s="68" t="s">
        <v>581</v>
      </c>
      <c r="C187" s="68" t="s">
        <v>582</v>
      </c>
      <c r="D187" s="111"/>
      <c r="E187" s="70"/>
      <c r="F187" s="70"/>
      <c r="G187" s="71">
        <f t="shared" si="28"/>
        <v>0</v>
      </c>
      <c r="H187" s="72"/>
      <c r="I187" s="73">
        <v>0</v>
      </c>
      <c r="J187" s="74"/>
      <c r="K187" s="74"/>
      <c r="L187" s="75"/>
      <c r="M187" s="76" t="e">
        <f t="shared" si="29"/>
        <v>#DIV/0!</v>
      </c>
      <c r="N187" s="77" t="e">
        <f t="shared" si="30"/>
        <v>#DIV/0!</v>
      </c>
      <c r="O187" s="78"/>
      <c r="P187" s="79"/>
      <c r="Q187" s="80" t="e">
        <f t="shared" si="31"/>
        <v>#DIV/0!</v>
      </c>
      <c r="R187" s="87" t="s">
        <v>583</v>
      </c>
      <c r="S187" s="89"/>
      <c r="T187" s="82"/>
      <c r="U187" s="83"/>
      <c r="V187" s="84"/>
      <c r="W187" s="84"/>
      <c r="X187" s="84"/>
      <c r="Y187" s="85"/>
      <c r="Z187" s="86" t="e">
        <f t="shared" si="32"/>
        <v>#DIV/0!</v>
      </c>
      <c r="AA187" s="61" t="e">
        <f t="shared" si="23"/>
        <v>#DIV/0!</v>
      </c>
      <c r="AB187" s="62" t="e">
        <f t="shared" si="24"/>
        <v>#DIV/0!</v>
      </c>
      <c r="AC187" s="87" t="s">
        <v>583</v>
      </c>
      <c r="AD187" s="88">
        <v>13</v>
      </c>
      <c r="AE187" s="90"/>
      <c r="AF187" s="92"/>
      <c r="AG187" s="92"/>
      <c r="AH187" s="92"/>
    </row>
    <row r="188" spans="1:34" ht="16.5" customHeight="1" thickBot="1">
      <c r="A188" s="67">
        <v>186</v>
      </c>
      <c r="B188" s="68" t="s">
        <v>584</v>
      </c>
      <c r="C188" s="68" t="s">
        <v>585</v>
      </c>
      <c r="D188" s="69">
        <v>4</v>
      </c>
      <c r="E188" s="70">
        <v>6</v>
      </c>
      <c r="F188" s="70">
        <v>7</v>
      </c>
      <c r="G188" s="71">
        <f t="shared" si="28"/>
        <v>5.666666666666667</v>
      </c>
      <c r="H188" s="72">
        <v>5.5</v>
      </c>
      <c r="I188" s="73">
        <v>6</v>
      </c>
      <c r="J188" s="74">
        <v>5</v>
      </c>
      <c r="K188" s="74">
        <v>5</v>
      </c>
      <c r="L188" s="75">
        <v>6.5</v>
      </c>
      <c r="M188" s="76">
        <f t="shared" si="29"/>
        <v>5.5</v>
      </c>
      <c r="N188" s="77">
        <f t="shared" si="30"/>
        <v>60.888888888888886</v>
      </c>
      <c r="O188" s="78">
        <v>4.5</v>
      </c>
      <c r="P188" s="79">
        <v>5</v>
      </c>
      <c r="Q188" s="80">
        <f t="shared" si="31"/>
        <v>4.75</v>
      </c>
      <c r="R188" s="87" t="s">
        <v>586</v>
      </c>
      <c r="S188" s="89">
        <v>5</v>
      </c>
      <c r="T188" s="82"/>
      <c r="U188" s="83"/>
      <c r="V188" s="84"/>
      <c r="W188" s="84"/>
      <c r="X188" s="84"/>
      <c r="Y188" s="85"/>
      <c r="Z188" s="86">
        <f t="shared" si="32"/>
        <v>25.777777777777779</v>
      </c>
      <c r="AA188" s="61">
        <f t="shared" si="23"/>
        <v>2</v>
      </c>
      <c r="AB188" s="62">
        <f t="shared" si="24"/>
        <v>2</v>
      </c>
      <c r="AC188" s="87" t="s">
        <v>586</v>
      </c>
      <c r="AD188" s="88">
        <v>1</v>
      </c>
      <c r="AE188" s="90"/>
      <c r="AF188" s="92"/>
      <c r="AG188" s="92"/>
      <c r="AH188" s="92"/>
    </row>
    <row r="189" spans="1:34" ht="16.5" customHeight="1" thickBot="1">
      <c r="A189" s="67">
        <v>187</v>
      </c>
      <c r="B189" s="68" t="s">
        <v>587</v>
      </c>
      <c r="C189" s="68" t="s">
        <v>588</v>
      </c>
      <c r="D189" s="111">
        <v>5</v>
      </c>
      <c r="E189" s="70">
        <v>6</v>
      </c>
      <c r="F189" s="70">
        <v>8</v>
      </c>
      <c r="G189" s="71">
        <f t="shared" si="28"/>
        <v>6.333333333333333</v>
      </c>
      <c r="H189" s="72">
        <v>6.5</v>
      </c>
      <c r="I189" s="73">
        <v>6</v>
      </c>
      <c r="J189" s="74">
        <v>6</v>
      </c>
      <c r="K189" s="74">
        <v>6.5</v>
      </c>
      <c r="L189" s="75">
        <v>6.5</v>
      </c>
      <c r="M189" s="76">
        <f t="shared" si="29"/>
        <v>6.333333333333333</v>
      </c>
      <c r="N189" s="77">
        <f t="shared" si="30"/>
        <v>68.851851851851848</v>
      </c>
      <c r="O189" s="78">
        <v>4</v>
      </c>
      <c r="P189" s="79">
        <v>4.5</v>
      </c>
      <c r="Q189" s="80">
        <f t="shared" si="31"/>
        <v>4.25</v>
      </c>
      <c r="R189" s="87" t="s">
        <v>589</v>
      </c>
      <c r="S189" s="81">
        <v>4.5</v>
      </c>
      <c r="T189" s="82"/>
      <c r="U189" s="83"/>
      <c r="V189" s="84"/>
      <c r="W189" s="84"/>
      <c r="X189" s="84"/>
      <c r="Y189" s="85"/>
      <c r="Z189" s="86">
        <f t="shared" si="32"/>
        <v>26.657407407407405</v>
      </c>
      <c r="AA189" s="61">
        <f t="shared" si="23"/>
        <v>2</v>
      </c>
      <c r="AB189" s="62">
        <f t="shared" si="24"/>
        <v>2</v>
      </c>
      <c r="AC189" s="87" t="s">
        <v>589</v>
      </c>
      <c r="AD189" s="88">
        <v>2</v>
      </c>
      <c r="AE189" s="90"/>
      <c r="AF189" s="92"/>
      <c r="AG189" s="92"/>
      <c r="AH189" s="92"/>
    </row>
    <row r="190" spans="1:34" ht="16.5" customHeight="1" thickBot="1">
      <c r="A190" s="67">
        <v>188</v>
      </c>
      <c r="B190" s="68" t="s">
        <v>590</v>
      </c>
      <c r="C190" s="68" t="s">
        <v>591</v>
      </c>
      <c r="D190" s="69">
        <v>4.5</v>
      </c>
      <c r="E190" s="70">
        <v>5</v>
      </c>
      <c r="F190" s="70">
        <v>7</v>
      </c>
      <c r="G190" s="71">
        <f t="shared" si="28"/>
        <v>5.5</v>
      </c>
      <c r="H190" s="72">
        <v>5.5</v>
      </c>
      <c r="I190" s="73">
        <v>3</v>
      </c>
      <c r="J190" s="74">
        <v>4.5</v>
      </c>
      <c r="K190" s="74">
        <v>4.5</v>
      </c>
      <c r="L190" s="75">
        <v>2</v>
      </c>
      <c r="M190" s="76">
        <f t="shared" si="29"/>
        <v>3.6666666666666665</v>
      </c>
      <c r="N190" s="77">
        <f t="shared" si="30"/>
        <v>44.703703703703695</v>
      </c>
      <c r="O190" s="78">
        <v>4</v>
      </c>
      <c r="P190" s="79">
        <v>4.5</v>
      </c>
      <c r="Q190" s="80">
        <f t="shared" si="31"/>
        <v>4.25</v>
      </c>
      <c r="R190" s="87" t="s">
        <v>592</v>
      </c>
      <c r="S190" s="81">
        <v>4.5</v>
      </c>
      <c r="T190" s="82"/>
      <c r="U190" s="83"/>
      <c r="V190" s="84"/>
      <c r="W190" s="84"/>
      <c r="X190" s="84"/>
      <c r="Y190" s="85"/>
      <c r="Z190" s="86">
        <f t="shared" si="32"/>
        <v>20.620370370370367</v>
      </c>
      <c r="AA190" s="61">
        <f t="shared" si="23"/>
        <v>2</v>
      </c>
      <c r="AB190" s="62">
        <f t="shared" si="24"/>
        <v>2</v>
      </c>
      <c r="AC190" s="87" t="s">
        <v>592</v>
      </c>
      <c r="AD190" s="88">
        <v>5</v>
      </c>
      <c r="AE190" s="90"/>
      <c r="AF190" s="92"/>
      <c r="AG190" s="92"/>
      <c r="AH190" s="92"/>
    </row>
    <row r="191" spans="1:34" ht="16.5" customHeight="1" thickBot="1">
      <c r="A191" s="67">
        <v>189</v>
      </c>
      <c r="B191" s="68" t="s">
        <v>593</v>
      </c>
      <c r="C191" s="68" t="s">
        <v>594</v>
      </c>
      <c r="D191" s="69">
        <v>5.5</v>
      </c>
      <c r="E191" s="70">
        <v>6</v>
      </c>
      <c r="F191" s="70">
        <v>7.5</v>
      </c>
      <c r="G191" s="71">
        <f t="shared" si="28"/>
        <v>6.333333333333333</v>
      </c>
      <c r="H191" s="72">
        <v>6.5</v>
      </c>
      <c r="I191" s="73">
        <v>4</v>
      </c>
      <c r="J191" s="74">
        <v>5</v>
      </c>
      <c r="K191" s="74">
        <v>4.5</v>
      </c>
      <c r="L191" s="75">
        <v>5</v>
      </c>
      <c r="M191" s="76">
        <f t="shared" si="29"/>
        <v>4.833333333333333</v>
      </c>
      <c r="N191" s="77">
        <f t="shared" si="30"/>
        <v>56.518518518518519</v>
      </c>
      <c r="O191" s="78">
        <v>6</v>
      </c>
      <c r="P191" s="79">
        <v>6</v>
      </c>
      <c r="Q191" s="80">
        <f t="shared" si="31"/>
        <v>6</v>
      </c>
      <c r="R191" s="87" t="s">
        <v>595</v>
      </c>
      <c r="S191" s="89">
        <v>6</v>
      </c>
      <c r="T191" s="82"/>
      <c r="U191" s="83"/>
      <c r="V191" s="84"/>
      <c r="W191" s="84"/>
      <c r="X191" s="84"/>
      <c r="Y191" s="85"/>
      <c r="Z191" s="86">
        <f t="shared" si="32"/>
        <v>27.462962962962962</v>
      </c>
      <c r="AA191" s="61">
        <f t="shared" si="23"/>
        <v>2</v>
      </c>
      <c r="AB191" s="62">
        <f t="shared" si="24"/>
        <v>2</v>
      </c>
      <c r="AC191" s="87" t="s">
        <v>595</v>
      </c>
      <c r="AD191" s="88">
        <v>15</v>
      </c>
      <c r="AE191" s="90"/>
      <c r="AF191" s="92"/>
      <c r="AG191" s="92"/>
      <c r="AH191" s="92"/>
    </row>
    <row r="192" spans="1:34" ht="16.5" customHeight="1" thickBot="1">
      <c r="A192" s="67">
        <v>190</v>
      </c>
      <c r="B192" s="68" t="s">
        <v>596</v>
      </c>
      <c r="C192" s="68" t="s">
        <v>597</v>
      </c>
      <c r="D192" s="69"/>
      <c r="E192" s="70"/>
      <c r="F192" s="70"/>
      <c r="G192" s="71">
        <f t="shared" si="28"/>
        <v>0</v>
      </c>
      <c r="H192" s="72"/>
      <c r="I192" s="73">
        <v>5</v>
      </c>
      <c r="J192" s="74">
        <v>4</v>
      </c>
      <c r="K192" s="74">
        <v>7</v>
      </c>
      <c r="L192" s="75">
        <v>5.5</v>
      </c>
      <c r="M192" s="76">
        <f t="shared" si="29"/>
        <v>5.5</v>
      </c>
      <c r="N192" s="77">
        <f t="shared" si="30"/>
        <v>40.555555555555557</v>
      </c>
      <c r="O192" s="78">
        <v>5.5</v>
      </c>
      <c r="P192" s="79">
        <v>4</v>
      </c>
      <c r="Q192" s="80">
        <f t="shared" si="31"/>
        <v>4.75</v>
      </c>
      <c r="R192" s="87" t="s">
        <v>598</v>
      </c>
      <c r="S192" s="89">
        <v>5</v>
      </c>
      <c r="T192" s="82"/>
      <c r="U192" s="83"/>
      <c r="V192" s="84"/>
      <c r="W192" s="84"/>
      <c r="X192" s="84"/>
      <c r="Y192" s="85"/>
      <c r="Z192" s="86">
        <f t="shared" si="32"/>
        <v>20.694444444444443</v>
      </c>
      <c r="AA192" s="61">
        <f t="shared" si="23"/>
        <v>2</v>
      </c>
      <c r="AB192" s="62">
        <f t="shared" si="24"/>
        <v>2</v>
      </c>
      <c r="AC192" s="87" t="s">
        <v>598</v>
      </c>
      <c r="AD192" s="88">
        <v>7</v>
      </c>
      <c r="AE192" s="90"/>
      <c r="AF192" s="92"/>
      <c r="AG192" s="92"/>
      <c r="AH192" s="92"/>
    </row>
    <row r="193" spans="1:34" ht="16.5" customHeight="1" thickBot="1">
      <c r="A193" s="67">
        <v>191</v>
      </c>
      <c r="B193" s="68" t="s">
        <v>599</v>
      </c>
      <c r="C193" s="68" t="s">
        <v>600</v>
      </c>
      <c r="D193" s="69">
        <v>2</v>
      </c>
      <c r="E193" s="70">
        <v>4</v>
      </c>
      <c r="F193" s="70">
        <v>6.5</v>
      </c>
      <c r="G193" s="71">
        <f t="shared" si="28"/>
        <v>4.166666666666667</v>
      </c>
      <c r="H193" s="72">
        <v>4</v>
      </c>
      <c r="I193" s="73">
        <v>5</v>
      </c>
      <c r="J193" s="74">
        <v>4.5</v>
      </c>
      <c r="K193" s="74">
        <v>4</v>
      </c>
      <c r="L193" s="75">
        <v>4</v>
      </c>
      <c r="M193" s="76">
        <f t="shared" si="29"/>
        <v>4.166666666666667</v>
      </c>
      <c r="N193" s="77">
        <f t="shared" si="30"/>
        <v>46.481481481481481</v>
      </c>
      <c r="O193" s="78">
        <v>4.5</v>
      </c>
      <c r="P193" s="79">
        <v>3</v>
      </c>
      <c r="Q193" s="80">
        <f t="shared" si="31"/>
        <v>3.75</v>
      </c>
      <c r="R193" s="87" t="s">
        <v>601</v>
      </c>
      <c r="S193" s="89">
        <v>4</v>
      </c>
      <c r="T193" s="82"/>
      <c r="U193" s="83"/>
      <c r="V193" s="84"/>
      <c r="W193" s="84"/>
      <c r="X193" s="84"/>
      <c r="Y193" s="85"/>
      <c r="Z193" s="86">
        <f t="shared" si="32"/>
        <v>19.953703703703702</v>
      </c>
      <c r="AA193" s="61">
        <f t="shared" si="23"/>
        <v>2</v>
      </c>
      <c r="AB193" s="62">
        <f t="shared" si="24"/>
        <v>2</v>
      </c>
      <c r="AC193" s="87" t="s">
        <v>601</v>
      </c>
      <c r="AD193" s="88">
        <v>3</v>
      </c>
      <c r="AE193" s="90"/>
      <c r="AF193" s="92"/>
      <c r="AG193" s="92"/>
      <c r="AH193" s="92"/>
    </row>
    <row r="194" spans="1:34" ht="16.5" customHeight="1" thickBot="1">
      <c r="A194" s="67">
        <v>192</v>
      </c>
      <c r="B194" s="68" t="s">
        <v>602</v>
      </c>
      <c r="C194" s="68" t="s">
        <v>603</v>
      </c>
      <c r="D194" s="69">
        <v>6</v>
      </c>
      <c r="E194" s="70">
        <v>5.5</v>
      </c>
      <c r="F194" s="70">
        <v>8</v>
      </c>
      <c r="G194" s="71">
        <f t="shared" si="28"/>
        <v>6.5</v>
      </c>
      <c r="H194" s="72">
        <v>6.5</v>
      </c>
      <c r="I194" s="73">
        <v>8.5</v>
      </c>
      <c r="J194" s="74">
        <v>6</v>
      </c>
      <c r="K194" s="74">
        <v>5.5</v>
      </c>
      <c r="L194" s="75">
        <v>7</v>
      </c>
      <c r="M194" s="76">
        <f t="shared" si="29"/>
        <v>6.166666666666667</v>
      </c>
      <c r="N194" s="77">
        <f t="shared" si="30"/>
        <v>72.925925925925938</v>
      </c>
      <c r="O194" s="78"/>
      <c r="P194" s="79"/>
      <c r="Q194" s="80" t="e">
        <f t="shared" si="31"/>
        <v>#DIV/0!</v>
      </c>
      <c r="R194" s="87" t="s">
        <v>604</v>
      </c>
      <c r="S194" s="89">
        <v>0</v>
      </c>
      <c r="T194" s="82"/>
      <c r="U194" s="83"/>
      <c r="V194" s="84"/>
      <c r="W194" s="84"/>
      <c r="X194" s="84"/>
      <c r="Y194" s="85"/>
      <c r="Z194" s="86" t="e">
        <f t="shared" si="32"/>
        <v>#DIV/0!</v>
      </c>
      <c r="AA194" s="61" t="e">
        <f t="shared" si="23"/>
        <v>#DIV/0!</v>
      </c>
      <c r="AB194" s="62" t="e">
        <f t="shared" si="24"/>
        <v>#DIV/0!</v>
      </c>
      <c r="AC194" s="87" t="s">
        <v>604</v>
      </c>
      <c r="AD194" s="88">
        <v>4</v>
      </c>
      <c r="AE194" s="90"/>
      <c r="AF194" s="92"/>
      <c r="AG194" s="92"/>
      <c r="AH194" s="92"/>
    </row>
    <row r="195" spans="1:34" ht="16.5" customHeight="1" thickBot="1">
      <c r="A195" s="67">
        <v>193</v>
      </c>
      <c r="B195" s="68" t="s">
        <v>605</v>
      </c>
      <c r="C195" s="68" t="s">
        <v>606</v>
      </c>
      <c r="D195" s="69">
        <v>5.5</v>
      </c>
      <c r="E195" s="70">
        <v>5.5</v>
      </c>
      <c r="F195" s="70">
        <v>6.5</v>
      </c>
      <c r="G195" s="71">
        <f t="shared" si="28"/>
        <v>5.833333333333333</v>
      </c>
      <c r="H195" s="72">
        <v>6</v>
      </c>
      <c r="I195" s="73">
        <v>5.5</v>
      </c>
      <c r="J195" s="74">
        <v>4.5</v>
      </c>
      <c r="K195" s="74">
        <v>3</v>
      </c>
      <c r="L195" s="75">
        <v>6</v>
      </c>
      <c r="M195" s="76">
        <f t="shared" si="29"/>
        <v>4.5</v>
      </c>
      <c r="N195" s="77">
        <f t="shared" si="30"/>
        <v>56</v>
      </c>
      <c r="O195" s="78">
        <v>5.5</v>
      </c>
      <c r="P195" s="79">
        <v>5.5</v>
      </c>
      <c r="Q195" s="80">
        <f t="shared" si="31"/>
        <v>5.5</v>
      </c>
      <c r="R195" s="87" t="s">
        <v>607</v>
      </c>
      <c r="S195" s="81">
        <v>5.5</v>
      </c>
      <c r="T195" s="82"/>
      <c r="U195" s="83"/>
      <c r="V195" s="84"/>
      <c r="W195" s="84"/>
      <c r="X195" s="84"/>
      <c r="Y195" s="85"/>
      <c r="Z195" s="86">
        <f t="shared" si="32"/>
        <v>26.222222222222221</v>
      </c>
      <c r="AA195" s="61">
        <f t="shared" si="23"/>
        <v>2</v>
      </c>
      <c r="AB195" s="62">
        <f t="shared" si="24"/>
        <v>2</v>
      </c>
      <c r="AC195" s="87" t="s">
        <v>607</v>
      </c>
      <c r="AD195" s="88">
        <v>8</v>
      </c>
      <c r="AE195" s="90"/>
      <c r="AF195" s="92"/>
      <c r="AG195" s="92"/>
      <c r="AH195" s="92"/>
    </row>
    <row r="196" spans="1:34" ht="16.5" customHeight="1" thickBot="1">
      <c r="A196" s="67">
        <v>194</v>
      </c>
      <c r="B196" s="68" t="s">
        <v>608</v>
      </c>
      <c r="C196" s="68" t="s">
        <v>609</v>
      </c>
      <c r="D196" s="69">
        <v>5.5</v>
      </c>
      <c r="E196" s="70">
        <v>5.5</v>
      </c>
      <c r="F196" s="70">
        <v>7.5</v>
      </c>
      <c r="G196" s="71">
        <f t="shared" si="28"/>
        <v>6.166666666666667</v>
      </c>
      <c r="H196" s="72">
        <v>6</v>
      </c>
      <c r="I196" s="73">
        <v>8.5</v>
      </c>
      <c r="J196" s="74">
        <v>5.5</v>
      </c>
      <c r="K196" s="74">
        <v>5</v>
      </c>
      <c r="L196" s="75">
        <v>7</v>
      </c>
      <c r="M196" s="76">
        <f t="shared" si="29"/>
        <v>5.833333333333333</v>
      </c>
      <c r="N196" s="77">
        <f t="shared" si="30"/>
        <v>69.407407407407405</v>
      </c>
      <c r="O196" s="78">
        <v>4</v>
      </c>
      <c r="P196" s="79">
        <v>5</v>
      </c>
      <c r="Q196" s="80">
        <f t="shared" si="31"/>
        <v>4.5</v>
      </c>
      <c r="R196" s="87" t="s">
        <v>610</v>
      </c>
      <c r="S196" s="81">
        <v>4.5</v>
      </c>
      <c r="T196" s="82"/>
      <c r="U196" s="83"/>
      <c r="V196" s="84"/>
      <c r="W196" s="84"/>
      <c r="X196" s="84"/>
      <c r="Y196" s="85"/>
      <c r="Z196" s="86">
        <f t="shared" si="32"/>
        <v>27.351851851851851</v>
      </c>
      <c r="AA196" s="61">
        <f t="shared" ref="AA196:AA259" si="33">IF(Z196&gt;AF$10,AG$10,IF(Z196&gt;AF$9,AG$9,IF(Z196&gt;AF$8,AG$8,IF(Z196&gt;AF$7,AG$7,IF(Z196&gt;AF$6,AG$6,IF(Z196&gt;AF$5,AG$5,IF(Z196&gt;AF$4,AG$4,IF(Z196&gt;AF$3,AG$3,IF(Z196&gt;AF$2,AG$2)))))))))</f>
        <v>2</v>
      </c>
      <c r="AB196" s="62">
        <f t="shared" ref="AB196:AB259" si="34">VLOOKUP(AA196,AG$2:AH$10,2,FALSE)</f>
        <v>2</v>
      </c>
      <c r="AC196" s="87" t="s">
        <v>610</v>
      </c>
      <c r="AD196" s="88">
        <v>14</v>
      </c>
      <c r="AE196" s="90"/>
      <c r="AF196" s="92"/>
      <c r="AG196" s="92"/>
      <c r="AH196" s="92"/>
    </row>
    <row r="197" spans="1:34" ht="16.5" customHeight="1" thickBot="1">
      <c r="A197" s="67">
        <v>195</v>
      </c>
      <c r="B197" s="68" t="s">
        <v>611</v>
      </c>
      <c r="C197" s="68" t="s">
        <v>612</v>
      </c>
      <c r="D197" s="69">
        <v>4</v>
      </c>
      <c r="E197" s="70">
        <v>4</v>
      </c>
      <c r="F197" s="70">
        <v>7.5</v>
      </c>
      <c r="G197" s="71">
        <f t="shared" si="28"/>
        <v>5.166666666666667</v>
      </c>
      <c r="H197" s="72">
        <v>5</v>
      </c>
      <c r="I197" s="73">
        <v>6.5</v>
      </c>
      <c r="J197" s="74">
        <v>4.5</v>
      </c>
      <c r="K197" s="74">
        <v>5</v>
      </c>
      <c r="L197" s="75">
        <v>2</v>
      </c>
      <c r="M197" s="76">
        <f t="shared" si="29"/>
        <v>3.8333333333333335</v>
      </c>
      <c r="N197" s="77">
        <f t="shared" si="30"/>
        <v>50.962962962962962</v>
      </c>
      <c r="O197" s="78">
        <v>4.5</v>
      </c>
      <c r="P197" s="79">
        <v>4.5</v>
      </c>
      <c r="Q197" s="80">
        <f t="shared" si="31"/>
        <v>4.5</v>
      </c>
      <c r="R197" s="87" t="s">
        <v>613</v>
      </c>
      <c r="S197" s="81">
        <v>4.5</v>
      </c>
      <c r="T197" s="82"/>
      <c r="U197" s="83"/>
      <c r="V197" s="84"/>
      <c r="W197" s="84"/>
      <c r="X197" s="84"/>
      <c r="Y197" s="85"/>
      <c r="Z197" s="86">
        <f t="shared" si="32"/>
        <v>22.74074074074074</v>
      </c>
      <c r="AA197" s="61">
        <f t="shared" si="33"/>
        <v>2</v>
      </c>
      <c r="AB197" s="62">
        <f t="shared" si="34"/>
        <v>2</v>
      </c>
      <c r="AC197" s="87" t="s">
        <v>613</v>
      </c>
      <c r="AD197" s="88">
        <v>14</v>
      </c>
      <c r="AE197" s="90"/>
      <c r="AF197" s="92"/>
      <c r="AG197" s="92"/>
      <c r="AH197" s="92"/>
    </row>
    <row r="198" spans="1:34" ht="16.5" customHeight="1" thickBot="1">
      <c r="A198" s="67">
        <v>196</v>
      </c>
      <c r="B198" s="68" t="s">
        <v>614</v>
      </c>
      <c r="C198" s="68" t="s">
        <v>615</v>
      </c>
      <c r="D198" s="69">
        <v>5</v>
      </c>
      <c r="E198" s="70">
        <v>6</v>
      </c>
      <c r="F198" s="70">
        <v>8</v>
      </c>
      <c r="G198" s="71">
        <f t="shared" si="28"/>
        <v>6.333333333333333</v>
      </c>
      <c r="H198" s="72">
        <v>6.5</v>
      </c>
      <c r="I198" s="73">
        <v>10</v>
      </c>
      <c r="J198" s="74">
        <v>4</v>
      </c>
      <c r="K198" s="74">
        <v>4</v>
      </c>
      <c r="L198" s="75">
        <v>6</v>
      </c>
      <c r="M198" s="76">
        <f t="shared" si="29"/>
        <v>4.666666666666667</v>
      </c>
      <c r="N198" s="77">
        <f t="shared" si="30"/>
        <v>67.592592592592595</v>
      </c>
      <c r="O198" s="78">
        <v>5</v>
      </c>
      <c r="P198" s="79">
        <v>5</v>
      </c>
      <c r="Q198" s="80">
        <f t="shared" si="31"/>
        <v>5</v>
      </c>
      <c r="R198" s="87" t="s">
        <v>616</v>
      </c>
      <c r="S198" s="89">
        <v>5</v>
      </c>
      <c r="T198" s="82"/>
      <c r="U198" s="83"/>
      <c r="V198" s="84"/>
      <c r="W198" s="84"/>
      <c r="X198" s="84"/>
      <c r="Y198" s="85"/>
      <c r="Z198" s="86">
        <f t="shared" si="32"/>
        <v>28.00925925925926</v>
      </c>
      <c r="AA198" s="61">
        <f t="shared" si="33"/>
        <v>2</v>
      </c>
      <c r="AB198" s="62">
        <f t="shared" si="34"/>
        <v>2</v>
      </c>
      <c r="AC198" s="87" t="s">
        <v>616</v>
      </c>
      <c r="AD198" s="88">
        <v>3</v>
      </c>
      <c r="AE198" s="90"/>
      <c r="AF198" s="92"/>
      <c r="AG198" s="92"/>
      <c r="AH198" s="92"/>
    </row>
    <row r="199" spans="1:34" ht="16.5" customHeight="1" thickBot="1">
      <c r="A199" s="67">
        <v>197</v>
      </c>
      <c r="B199" s="68" t="s">
        <v>617</v>
      </c>
      <c r="C199" s="68" t="s">
        <v>618</v>
      </c>
      <c r="D199" s="69">
        <v>5.5</v>
      </c>
      <c r="E199" s="70">
        <v>5.5</v>
      </c>
      <c r="F199" s="70">
        <v>6.5</v>
      </c>
      <c r="G199" s="71">
        <f t="shared" si="28"/>
        <v>5.833333333333333</v>
      </c>
      <c r="H199" s="72">
        <v>6</v>
      </c>
      <c r="I199" s="73">
        <v>4</v>
      </c>
      <c r="J199" s="74">
        <v>6</v>
      </c>
      <c r="K199" s="74">
        <v>5</v>
      </c>
      <c r="L199" s="75">
        <v>6</v>
      </c>
      <c r="M199" s="76">
        <f t="shared" si="29"/>
        <v>5.666666666666667</v>
      </c>
      <c r="N199" s="77">
        <f t="shared" si="30"/>
        <v>59.481481481481481</v>
      </c>
      <c r="O199" s="78">
        <v>5.5</v>
      </c>
      <c r="P199" s="79">
        <v>6</v>
      </c>
      <c r="Q199" s="80">
        <f t="shared" si="31"/>
        <v>5.75</v>
      </c>
      <c r="R199" s="87" t="s">
        <v>619</v>
      </c>
      <c r="S199" s="89">
        <v>6</v>
      </c>
      <c r="T199" s="82"/>
      <c r="U199" s="83"/>
      <c r="V199" s="84"/>
      <c r="W199" s="84"/>
      <c r="X199" s="84"/>
      <c r="Y199" s="85"/>
      <c r="Z199" s="86">
        <f t="shared" si="32"/>
        <v>27.648148148148149</v>
      </c>
      <c r="AA199" s="61">
        <f t="shared" si="33"/>
        <v>2</v>
      </c>
      <c r="AB199" s="62">
        <f t="shared" si="34"/>
        <v>2</v>
      </c>
      <c r="AC199" s="87" t="s">
        <v>619</v>
      </c>
      <c r="AD199" s="88">
        <v>16</v>
      </c>
      <c r="AE199" s="90"/>
      <c r="AF199" s="92"/>
      <c r="AG199" s="92"/>
      <c r="AH199" s="92"/>
    </row>
    <row r="200" spans="1:34" ht="16.5" customHeight="1" thickBot="1">
      <c r="A200" s="67">
        <v>198</v>
      </c>
      <c r="B200" s="68" t="s">
        <v>620</v>
      </c>
      <c r="C200" s="68" t="s">
        <v>621</v>
      </c>
      <c r="D200" s="69">
        <v>5.5</v>
      </c>
      <c r="E200" s="70">
        <v>5.5</v>
      </c>
      <c r="F200" s="70">
        <v>7.5</v>
      </c>
      <c r="G200" s="71">
        <f t="shared" si="28"/>
        <v>6.166666666666667</v>
      </c>
      <c r="H200" s="72">
        <v>6</v>
      </c>
      <c r="I200" s="73">
        <v>7</v>
      </c>
      <c r="J200" s="74">
        <v>6</v>
      </c>
      <c r="K200" s="74">
        <v>4</v>
      </c>
      <c r="L200" s="75">
        <v>6.5</v>
      </c>
      <c r="M200" s="76">
        <f t="shared" si="29"/>
        <v>5.5</v>
      </c>
      <c r="N200" s="77">
        <f t="shared" si="30"/>
        <v>64.555555555555557</v>
      </c>
      <c r="O200" s="78">
        <v>6.5</v>
      </c>
      <c r="P200" s="79">
        <v>5</v>
      </c>
      <c r="Q200" s="80">
        <f t="shared" si="31"/>
        <v>5.75</v>
      </c>
      <c r="R200" s="87" t="s">
        <v>622</v>
      </c>
      <c r="S200" s="89">
        <v>6</v>
      </c>
      <c r="T200" s="82"/>
      <c r="U200" s="83"/>
      <c r="V200" s="84"/>
      <c r="W200" s="84"/>
      <c r="X200" s="84"/>
      <c r="Y200" s="85"/>
      <c r="Z200" s="86">
        <f t="shared" si="32"/>
        <v>28.916666666666668</v>
      </c>
      <c r="AA200" s="61">
        <f t="shared" si="33"/>
        <v>2</v>
      </c>
      <c r="AB200" s="62">
        <f t="shared" si="34"/>
        <v>2</v>
      </c>
      <c r="AC200" s="87" t="s">
        <v>622</v>
      </c>
      <c r="AD200" s="88">
        <v>14</v>
      </c>
      <c r="AE200" s="90"/>
      <c r="AF200" s="92"/>
      <c r="AG200" s="92"/>
      <c r="AH200" s="92"/>
    </row>
    <row r="201" spans="1:34" ht="16.5" customHeight="1" thickBot="1">
      <c r="A201" s="67">
        <v>199</v>
      </c>
      <c r="B201" s="68" t="s">
        <v>623</v>
      </c>
      <c r="C201" s="68" t="s">
        <v>624</v>
      </c>
      <c r="D201" s="69">
        <v>5</v>
      </c>
      <c r="E201" s="70">
        <v>6.5</v>
      </c>
      <c r="F201" s="70">
        <v>7.5</v>
      </c>
      <c r="G201" s="71">
        <f t="shared" si="28"/>
        <v>6.333333333333333</v>
      </c>
      <c r="H201" s="72">
        <v>6.5</v>
      </c>
      <c r="I201" s="73">
        <v>4.5</v>
      </c>
      <c r="J201" s="74">
        <v>6</v>
      </c>
      <c r="K201" s="74">
        <v>5</v>
      </c>
      <c r="L201" s="75">
        <v>7</v>
      </c>
      <c r="M201" s="76">
        <f t="shared" si="29"/>
        <v>6</v>
      </c>
      <c r="N201" s="77">
        <f t="shared" si="30"/>
        <v>64</v>
      </c>
      <c r="O201" s="78">
        <v>6.5</v>
      </c>
      <c r="P201" s="79">
        <v>6.5</v>
      </c>
      <c r="Q201" s="80">
        <f t="shared" si="31"/>
        <v>6.5</v>
      </c>
      <c r="R201" s="87" t="s">
        <v>625</v>
      </c>
      <c r="S201" s="81">
        <v>6.5</v>
      </c>
      <c r="T201" s="82"/>
      <c r="U201" s="83"/>
      <c r="V201" s="84"/>
      <c r="W201" s="84"/>
      <c r="X201" s="84"/>
      <c r="Y201" s="85"/>
      <c r="Z201" s="86">
        <f t="shared" si="32"/>
        <v>30.444444444444443</v>
      </c>
      <c r="AA201" s="61">
        <f t="shared" si="33"/>
        <v>2</v>
      </c>
      <c r="AB201" s="62">
        <f t="shared" si="34"/>
        <v>2</v>
      </c>
      <c r="AC201" s="87" t="s">
        <v>625</v>
      </c>
      <c r="AD201" s="88">
        <v>13</v>
      </c>
      <c r="AE201" s="90"/>
      <c r="AF201" s="92"/>
      <c r="AG201" s="92"/>
      <c r="AH201" s="92"/>
    </row>
    <row r="202" spans="1:34" ht="16.5" customHeight="1" thickBot="1">
      <c r="A202" s="67">
        <v>200</v>
      </c>
      <c r="B202" s="68" t="s">
        <v>626</v>
      </c>
      <c r="C202" s="68" t="s">
        <v>627</v>
      </c>
      <c r="D202" s="69">
        <v>5</v>
      </c>
      <c r="E202" s="70">
        <v>5.5</v>
      </c>
      <c r="F202" s="70">
        <v>7</v>
      </c>
      <c r="G202" s="71">
        <f t="shared" si="28"/>
        <v>5.833333333333333</v>
      </c>
      <c r="H202" s="72">
        <v>6</v>
      </c>
      <c r="I202" s="73">
        <v>9</v>
      </c>
      <c r="J202" s="74">
        <v>6</v>
      </c>
      <c r="K202" s="74">
        <v>4</v>
      </c>
      <c r="L202" s="75">
        <v>6</v>
      </c>
      <c r="M202" s="76">
        <f t="shared" si="29"/>
        <v>5.333333333333333</v>
      </c>
      <c r="N202" s="77">
        <f t="shared" si="30"/>
        <v>67.629629629629619</v>
      </c>
      <c r="O202" s="78">
        <v>5.5</v>
      </c>
      <c r="P202" s="79">
        <v>6</v>
      </c>
      <c r="Q202" s="80">
        <f t="shared" si="31"/>
        <v>5.75</v>
      </c>
      <c r="R202" s="87" t="s">
        <v>628</v>
      </c>
      <c r="S202" s="89">
        <v>6</v>
      </c>
      <c r="T202" s="82"/>
      <c r="U202" s="83"/>
      <c r="V202" s="84"/>
      <c r="W202" s="84"/>
      <c r="X202" s="84"/>
      <c r="Y202" s="85"/>
      <c r="Z202" s="86">
        <f t="shared" si="32"/>
        <v>29.685185185185183</v>
      </c>
      <c r="AA202" s="61">
        <f t="shared" si="33"/>
        <v>2</v>
      </c>
      <c r="AB202" s="62">
        <f t="shared" si="34"/>
        <v>2</v>
      </c>
      <c r="AC202" s="87" t="s">
        <v>628</v>
      </c>
      <c r="AD202" s="88">
        <v>5</v>
      </c>
      <c r="AE202" s="90"/>
      <c r="AF202" s="92"/>
      <c r="AG202" s="92"/>
      <c r="AH202" s="92"/>
    </row>
    <row r="203" spans="1:34" ht="16.5" customHeight="1" thickBot="1">
      <c r="A203" s="67">
        <v>201</v>
      </c>
      <c r="B203" s="68" t="s">
        <v>629</v>
      </c>
      <c r="C203" s="68" t="s">
        <v>630</v>
      </c>
      <c r="D203" s="69">
        <v>5</v>
      </c>
      <c r="E203" s="70">
        <v>6</v>
      </c>
      <c r="F203" s="70">
        <v>7.5</v>
      </c>
      <c r="G203" s="71">
        <f t="shared" si="28"/>
        <v>6.166666666666667</v>
      </c>
      <c r="H203" s="72">
        <v>6</v>
      </c>
      <c r="I203" s="73">
        <v>6.5</v>
      </c>
      <c r="J203" s="74">
        <v>5.5</v>
      </c>
      <c r="K203" s="74">
        <v>4</v>
      </c>
      <c r="L203" s="75">
        <v>7</v>
      </c>
      <c r="M203" s="76">
        <f t="shared" si="29"/>
        <v>5.5</v>
      </c>
      <c r="N203" s="77">
        <f t="shared" si="30"/>
        <v>63.555555555555557</v>
      </c>
      <c r="O203" s="78">
        <v>5</v>
      </c>
      <c r="P203" s="79">
        <v>5.5</v>
      </c>
      <c r="Q203" s="80">
        <f t="shared" si="31"/>
        <v>5.25</v>
      </c>
      <c r="R203" s="87" t="s">
        <v>631</v>
      </c>
      <c r="S203" s="81">
        <v>5.5</v>
      </c>
      <c r="T203" s="82"/>
      <c r="U203" s="83"/>
      <c r="V203" s="84"/>
      <c r="W203" s="84"/>
      <c r="X203" s="84"/>
      <c r="Y203" s="85"/>
      <c r="Z203" s="86">
        <f t="shared" si="32"/>
        <v>27.555555555555557</v>
      </c>
      <c r="AA203" s="61">
        <f t="shared" si="33"/>
        <v>2</v>
      </c>
      <c r="AB203" s="62">
        <f t="shared" si="34"/>
        <v>2</v>
      </c>
      <c r="AC203" s="87" t="s">
        <v>631</v>
      </c>
      <c r="AD203" s="88">
        <v>7</v>
      </c>
      <c r="AE203" s="90"/>
      <c r="AF203" s="92"/>
      <c r="AG203" s="92"/>
      <c r="AH203" s="92"/>
    </row>
    <row r="204" spans="1:34" ht="16.5" customHeight="1" thickBot="1">
      <c r="A204" s="67">
        <v>202</v>
      </c>
      <c r="B204" s="68" t="s">
        <v>632</v>
      </c>
      <c r="C204" s="68" t="s">
        <v>633</v>
      </c>
      <c r="D204" s="69">
        <v>5</v>
      </c>
      <c r="E204" s="70">
        <v>7.5</v>
      </c>
      <c r="F204" s="70">
        <v>7.5</v>
      </c>
      <c r="G204" s="71">
        <f t="shared" si="28"/>
        <v>6.666666666666667</v>
      </c>
      <c r="H204" s="72">
        <v>6.5</v>
      </c>
      <c r="I204" s="73">
        <v>8.5</v>
      </c>
      <c r="J204" s="74">
        <v>6</v>
      </c>
      <c r="K204" s="74">
        <v>5.5</v>
      </c>
      <c r="L204" s="75">
        <v>6</v>
      </c>
      <c r="M204" s="76">
        <f t="shared" si="29"/>
        <v>5.833333333333333</v>
      </c>
      <c r="N204" s="77">
        <f t="shared" si="30"/>
        <v>71.074074074074076</v>
      </c>
      <c r="O204" s="78">
        <v>7</v>
      </c>
      <c r="P204" s="79">
        <v>6.5</v>
      </c>
      <c r="Q204" s="80">
        <f t="shared" si="31"/>
        <v>6.75</v>
      </c>
      <c r="R204" s="87" t="s">
        <v>634</v>
      </c>
      <c r="S204" s="89">
        <v>7</v>
      </c>
      <c r="T204" s="82"/>
      <c r="U204" s="83"/>
      <c r="V204" s="84"/>
      <c r="W204" s="84"/>
      <c r="X204" s="84"/>
      <c r="Y204" s="85"/>
      <c r="Z204" s="86">
        <f t="shared" si="32"/>
        <v>32.768518518518519</v>
      </c>
      <c r="AA204" s="61">
        <f t="shared" si="33"/>
        <v>2</v>
      </c>
      <c r="AB204" s="62">
        <f t="shared" si="34"/>
        <v>2</v>
      </c>
      <c r="AC204" s="87" t="s">
        <v>634</v>
      </c>
      <c r="AD204" s="88">
        <v>4</v>
      </c>
      <c r="AE204" s="90"/>
      <c r="AF204" s="92"/>
      <c r="AG204" s="92"/>
      <c r="AH204" s="92"/>
    </row>
    <row r="205" spans="1:34" ht="16.5" customHeight="1" thickBot="1">
      <c r="A205" s="67">
        <v>203</v>
      </c>
      <c r="B205" s="68" t="s">
        <v>635</v>
      </c>
      <c r="C205" s="68" t="s">
        <v>636</v>
      </c>
      <c r="D205" s="69">
        <v>6</v>
      </c>
      <c r="E205" s="70">
        <v>6</v>
      </c>
      <c r="F205" s="70">
        <v>8.5</v>
      </c>
      <c r="G205" s="71">
        <f t="shared" si="28"/>
        <v>6.833333333333333</v>
      </c>
      <c r="H205" s="72">
        <v>7</v>
      </c>
      <c r="I205" s="73">
        <v>7</v>
      </c>
      <c r="J205" s="74">
        <v>6</v>
      </c>
      <c r="K205" s="74">
        <v>4</v>
      </c>
      <c r="L205" s="75">
        <v>6.5</v>
      </c>
      <c r="M205" s="76">
        <f t="shared" si="29"/>
        <v>5.5</v>
      </c>
      <c r="N205" s="77">
        <f t="shared" si="30"/>
        <v>67.888888888888886</v>
      </c>
      <c r="O205" s="78">
        <v>5.5</v>
      </c>
      <c r="P205" s="79">
        <v>5</v>
      </c>
      <c r="Q205" s="80">
        <f t="shared" si="31"/>
        <v>5.25</v>
      </c>
      <c r="R205" s="87" t="s">
        <v>637</v>
      </c>
      <c r="S205" s="81">
        <v>5.5</v>
      </c>
      <c r="T205" s="82"/>
      <c r="U205" s="83"/>
      <c r="V205" s="84"/>
      <c r="W205" s="84"/>
      <c r="X205" s="84"/>
      <c r="Y205" s="85"/>
      <c r="Z205" s="86">
        <f t="shared" si="32"/>
        <v>28.638888888888889</v>
      </c>
      <c r="AA205" s="61">
        <f t="shared" si="33"/>
        <v>2</v>
      </c>
      <c r="AB205" s="62">
        <f t="shared" si="34"/>
        <v>2</v>
      </c>
      <c r="AC205" s="87" t="s">
        <v>637</v>
      </c>
      <c r="AD205" s="88">
        <v>8</v>
      </c>
      <c r="AE205" s="90"/>
      <c r="AF205" s="92"/>
      <c r="AG205" s="92"/>
      <c r="AH205" s="92"/>
    </row>
    <row r="206" spans="1:34" ht="16.5" customHeight="1" thickBot="1">
      <c r="A206" s="67">
        <v>204</v>
      </c>
      <c r="B206" s="68" t="s">
        <v>638</v>
      </c>
      <c r="C206" s="68" t="s">
        <v>639</v>
      </c>
      <c r="D206" s="69">
        <v>4.5</v>
      </c>
      <c r="E206" s="70">
        <v>4</v>
      </c>
      <c r="F206" s="70">
        <v>5.5</v>
      </c>
      <c r="G206" s="71">
        <f t="shared" si="28"/>
        <v>4.666666666666667</v>
      </c>
      <c r="H206" s="72">
        <v>4.5</v>
      </c>
      <c r="I206" s="73">
        <v>2.5</v>
      </c>
      <c r="J206" s="74">
        <v>4</v>
      </c>
      <c r="K206" s="74">
        <v>3</v>
      </c>
      <c r="L206" s="75">
        <v>5</v>
      </c>
      <c r="M206" s="76">
        <f t="shared" si="29"/>
        <v>4</v>
      </c>
      <c r="N206" s="77">
        <f t="shared" si="30"/>
        <v>42.222222222222221</v>
      </c>
      <c r="O206" s="78">
        <v>5</v>
      </c>
      <c r="P206" s="79"/>
      <c r="Q206" s="80">
        <f t="shared" si="31"/>
        <v>5</v>
      </c>
      <c r="R206" s="87" t="s">
        <v>640</v>
      </c>
      <c r="S206" s="89">
        <v>5</v>
      </c>
      <c r="T206" s="82"/>
      <c r="U206" s="83"/>
      <c r="V206" s="84"/>
      <c r="W206" s="84"/>
      <c r="X206" s="84"/>
      <c r="Y206" s="85"/>
      <c r="Z206" s="86">
        <f t="shared" si="32"/>
        <v>21.666666666666664</v>
      </c>
      <c r="AA206" s="61">
        <f t="shared" si="33"/>
        <v>2</v>
      </c>
      <c r="AB206" s="62">
        <f t="shared" si="34"/>
        <v>2</v>
      </c>
      <c r="AC206" s="87" t="s">
        <v>640</v>
      </c>
      <c r="AD206" s="88">
        <v>16</v>
      </c>
      <c r="AE206" s="90"/>
      <c r="AF206" s="92"/>
      <c r="AG206" s="92"/>
      <c r="AH206" s="92"/>
    </row>
    <row r="207" spans="1:34" ht="16.5" customHeight="1" thickBot="1">
      <c r="A207" s="67">
        <v>205</v>
      </c>
      <c r="B207" s="68" t="s">
        <v>641</v>
      </c>
      <c r="C207" s="68" t="s">
        <v>642</v>
      </c>
      <c r="D207" s="69">
        <v>6</v>
      </c>
      <c r="E207" s="70">
        <v>6.5</v>
      </c>
      <c r="F207" s="70">
        <v>7</v>
      </c>
      <c r="G207" s="71">
        <f t="shared" si="28"/>
        <v>6.5</v>
      </c>
      <c r="H207" s="72">
        <v>6.5</v>
      </c>
      <c r="I207" s="73">
        <v>7</v>
      </c>
      <c r="J207" s="74">
        <v>5</v>
      </c>
      <c r="K207" s="74">
        <v>5</v>
      </c>
      <c r="L207" s="75">
        <v>6.5</v>
      </c>
      <c r="M207" s="76">
        <f t="shared" si="29"/>
        <v>5.5</v>
      </c>
      <c r="N207" s="77">
        <f t="shared" si="30"/>
        <v>66.222222222222229</v>
      </c>
      <c r="O207" s="78">
        <v>6</v>
      </c>
      <c r="P207" s="79">
        <v>5</v>
      </c>
      <c r="Q207" s="80">
        <f t="shared" si="31"/>
        <v>5.5</v>
      </c>
      <c r="R207" s="87" t="s">
        <v>643</v>
      </c>
      <c r="S207" s="81">
        <v>5.5</v>
      </c>
      <c r="T207" s="82"/>
      <c r="U207" s="83"/>
      <c r="V207" s="84"/>
      <c r="W207" s="84"/>
      <c r="X207" s="84"/>
      <c r="Y207" s="85"/>
      <c r="Z207" s="86">
        <f t="shared" si="32"/>
        <v>28.777777777777779</v>
      </c>
      <c r="AA207" s="61">
        <f t="shared" si="33"/>
        <v>2</v>
      </c>
      <c r="AB207" s="62">
        <f t="shared" si="34"/>
        <v>2</v>
      </c>
      <c r="AC207" s="87" t="s">
        <v>643</v>
      </c>
      <c r="AD207" s="88">
        <v>2</v>
      </c>
      <c r="AE207" s="90"/>
      <c r="AF207" s="92"/>
      <c r="AG207" s="92"/>
      <c r="AH207" s="92"/>
    </row>
    <row r="208" spans="1:34" ht="16.5" customHeight="1" thickBot="1">
      <c r="A208" s="67">
        <v>206</v>
      </c>
      <c r="B208" s="68" t="s">
        <v>644</v>
      </c>
      <c r="C208" s="68" t="s">
        <v>645</v>
      </c>
      <c r="D208" s="69"/>
      <c r="E208" s="70"/>
      <c r="F208" s="70"/>
      <c r="G208" s="71">
        <f t="shared" si="28"/>
        <v>0</v>
      </c>
      <c r="H208" s="72"/>
      <c r="I208" s="73">
        <v>0</v>
      </c>
      <c r="J208" s="74"/>
      <c r="K208" s="74"/>
      <c r="L208" s="75"/>
      <c r="M208" s="76" t="e">
        <f t="shared" si="29"/>
        <v>#DIV/0!</v>
      </c>
      <c r="N208" s="77" t="e">
        <f t="shared" si="30"/>
        <v>#DIV/0!</v>
      </c>
      <c r="O208" s="78"/>
      <c r="P208" s="79"/>
      <c r="Q208" s="80" t="e">
        <f t="shared" si="31"/>
        <v>#DIV/0!</v>
      </c>
      <c r="R208" s="87" t="s">
        <v>646</v>
      </c>
      <c r="S208" s="89">
        <v>0</v>
      </c>
      <c r="T208" s="82"/>
      <c r="U208" s="83"/>
      <c r="V208" s="84"/>
      <c r="W208" s="84"/>
      <c r="X208" s="84"/>
      <c r="Y208" s="85"/>
      <c r="Z208" s="86" t="e">
        <f t="shared" si="32"/>
        <v>#DIV/0!</v>
      </c>
      <c r="AA208" s="61" t="e">
        <f t="shared" si="33"/>
        <v>#DIV/0!</v>
      </c>
      <c r="AB208" s="62" t="e">
        <f t="shared" si="34"/>
        <v>#DIV/0!</v>
      </c>
      <c r="AC208" s="87" t="s">
        <v>646</v>
      </c>
      <c r="AD208" s="88">
        <v>10</v>
      </c>
      <c r="AE208" s="90"/>
      <c r="AF208" s="92"/>
      <c r="AG208" s="92"/>
      <c r="AH208" s="92"/>
    </row>
    <row r="209" spans="1:34" ht="16.5" customHeight="1" thickBot="1">
      <c r="A209" s="67">
        <v>207</v>
      </c>
      <c r="B209" s="68" t="s">
        <v>647</v>
      </c>
      <c r="C209" s="68" t="s">
        <v>648</v>
      </c>
      <c r="D209" s="69"/>
      <c r="E209" s="70"/>
      <c r="F209" s="70"/>
      <c r="G209" s="71">
        <f t="shared" si="28"/>
        <v>0</v>
      </c>
      <c r="H209" s="72"/>
      <c r="I209" s="73"/>
      <c r="J209" s="74"/>
      <c r="K209" s="74"/>
      <c r="L209" s="75"/>
      <c r="M209" s="76" t="e">
        <f t="shared" si="29"/>
        <v>#DIV/0!</v>
      </c>
      <c r="N209" s="77" t="e">
        <f t="shared" si="30"/>
        <v>#DIV/0!</v>
      </c>
      <c r="O209" s="78"/>
      <c r="P209" s="79"/>
      <c r="Q209" s="80" t="e">
        <f t="shared" si="31"/>
        <v>#DIV/0!</v>
      </c>
      <c r="R209" s="87" t="s">
        <v>649</v>
      </c>
      <c r="S209" s="89">
        <v>0</v>
      </c>
      <c r="T209" s="82"/>
      <c r="U209" s="83"/>
      <c r="V209" s="84"/>
      <c r="W209" s="84"/>
      <c r="X209" s="84"/>
      <c r="Y209" s="85"/>
      <c r="Z209" s="86" t="e">
        <f t="shared" si="32"/>
        <v>#DIV/0!</v>
      </c>
      <c r="AA209" s="61" t="e">
        <f t="shared" si="33"/>
        <v>#DIV/0!</v>
      </c>
      <c r="AB209" s="62" t="e">
        <f t="shared" si="34"/>
        <v>#DIV/0!</v>
      </c>
      <c r="AC209" s="87" t="s">
        <v>649</v>
      </c>
      <c r="AD209" s="88">
        <v>15</v>
      </c>
      <c r="AE209" s="90"/>
      <c r="AF209" s="92"/>
      <c r="AG209" s="92"/>
      <c r="AH209" s="92"/>
    </row>
    <row r="210" spans="1:34" ht="16.5" customHeight="1" thickBot="1">
      <c r="A210" s="67">
        <v>208</v>
      </c>
      <c r="B210" s="68" t="s">
        <v>650</v>
      </c>
      <c r="C210" s="68" t="s">
        <v>651</v>
      </c>
      <c r="D210" s="69"/>
      <c r="E210" s="70"/>
      <c r="F210" s="70"/>
      <c r="G210" s="71">
        <f t="shared" si="28"/>
        <v>0</v>
      </c>
      <c r="H210" s="72"/>
      <c r="I210" s="73"/>
      <c r="J210" s="74"/>
      <c r="K210" s="74"/>
      <c r="L210" s="75"/>
      <c r="M210" s="76" t="e">
        <f t="shared" si="29"/>
        <v>#DIV/0!</v>
      </c>
      <c r="N210" s="77" t="e">
        <f t="shared" si="30"/>
        <v>#DIV/0!</v>
      </c>
      <c r="O210" s="78"/>
      <c r="P210" s="79"/>
      <c r="Q210" s="80" t="e">
        <f t="shared" si="31"/>
        <v>#DIV/0!</v>
      </c>
      <c r="R210" s="87" t="s">
        <v>652</v>
      </c>
      <c r="S210" s="89">
        <v>0</v>
      </c>
      <c r="T210" s="82"/>
      <c r="U210" s="83"/>
      <c r="V210" s="84"/>
      <c r="W210" s="84"/>
      <c r="X210" s="84"/>
      <c r="Y210" s="85"/>
      <c r="Z210" s="86" t="e">
        <f t="shared" si="32"/>
        <v>#DIV/0!</v>
      </c>
      <c r="AA210" s="61" t="e">
        <f t="shared" si="33"/>
        <v>#DIV/0!</v>
      </c>
      <c r="AB210" s="62" t="e">
        <f t="shared" si="34"/>
        <v>#DIV/0!</v>
      </c>
      <c r="AC210" s="87" t="s">
        <v>652</v>
      </c>
      <c r="AD210" s="88">
        <v>12</v>
      </c>
      <c r="AE210" s="90"/>
      <c r="AF210" s="92"/>
      <c r="AG210" s="92"/>
      <c r="AH210" s="92"/>
    </row>
    <row r="211" spans="1:34" ht="16.5" customHeight="1" thickBot="1">
      <c r="A211" s="67">
        <v>209</v>
      </c>
      <c r="B211" s="68" t="s">
        <v>653</v>
      </c>
      <c r="C211" s="68" t="s">
        <v>654</v>
      </c>
      <c r="D211" s="69">
        <v>6</v>
      </c>
      <c r="E211" s="70">
        <v>6</v>
      </c>
      <c r="F211" s="70">
        <v>6</v>
      </c>
      <c r="G211" s="71">
        <f t="shared" si="28"/>
        <v>6</v>
      </c>
      <c r="H211" s="72">
        <v>6</v>
      </c>
      <c r="I211" s="73">
        <v>9</v>
      </c>
      <c r="J211" s="74">
        <v>6</v>
      </c>
      <c r="K211" s="74">
        <v>5</v>
      </c>
      <c r="L211" s="75">
        <v>6</v>
      </c>
      <c r="M211" s="76">
        <f t="shared" si="29"/>
        <v>5.666666666666667</v>
      </c>
      <c r="N211" s="77">
        <f t="shared" si="30"/>
        <v>69.481481481481481</v>
      </c>
      <c r="O211" s="78">
        <v>6</v>
      </c>
      <c r="P211" s="79">
        <v>5.5</v>
      </c>
      <c r="Q211" s="80">
        <f t="shared" si="31"/>
        <v>5.75</v>
      </c>
      <c r="R211" s="87" t="s">
        <v>655</v>
      </c>
      <c r="S211" s="89">
        <v>6</v>
      </c>
      <c r="T211" s="82"/>
      <c r="U211" s="83"/>
      <c r="V211" s="84"/>
      <c r="W211" s="84"/>
      <c r="X211" s="84"/>
      <c r="Y211" s="85"/>
      <c r="Z211" s="86">
        <f t="shared" si="32"/>
        <v>30.148148148148149</v>
      </c>
      <c r="AA211" s="61">
        <f t="shared" si="33"/>
        <v>2</v>
      </c>
      <c r="AB211" s="62">
        <f t="shared" si="34"/>
        <v>2</v>
      </c>
      <c r="AC211" s="87" t="s">
        <v>655</v>
      </c>
      <c r="AD211" s="88">
        <v>5</v>
      </c>
      <c r="AE211" s="90"/>
      <c r="AF211" s="92"/>
      <c r="AG211" s="92"/>
      <c r="AH211" s="92"/>
    </row>
    <row r="212" spans="1:34" ht="16.5" customHeight="1" thickBot="1">
      <c r="A212" s="67">
        <v>210</v>
      </c>
      <c r="B212" s="68" t="s">
        <v>656</v>
      </c>
      <c r="C212" s="68" t="s">
        <v>657</v>
      </c>
      <c r="D212" s="69">
        <v>4.5</v>
      </c>
      <c r="E212" s="70">
        <v>4.5</v>
      </c>
      <c r="F212" s="70">
        <v>6</v>
      </c>
      <c r="G212" s="71">
        <f t="shared" si="28"/>
        <v>5</v>
      </c>
      <c r="H212" s="72">
        <v>5</v>
      </c>
      <c r="I212" s="73">
        <v>4</v>
      </c>
      <c r="J212" s="74">
        <v>4</v>
      </c>
      <c r="K212" s="74">
        <v>4.5</v>
      </c>
      <c r="L212" s="75">
        <v>6</v>
      </c>
      <c r="M212" s="76">
        <f t="shared" si="29"/>
        <v>4.833333333333333</v>
      </c>
      <c r="N212" s="77">
        <f t="shared" si="30"/>
        <v>51.518518518518519</v>
      </c>
      <c r="O212" s="78">
        <v>4.5</v>
      </c>
      <c r="P212" s="79">
        <v>4</v>
      </c>
      <c r="Q212" s="80">
        <f t="shared" si="31"/>
        <v>4.25</v>
      </c>
      <c r="R212" s="87" t="s">
        <v>658</v>
      </c>
      <c r="S212" s="89">
        <v>4.5</v>
      </c>
      <c r="T212" s="82"/>
      <c r="U212" s="83"/>
      <c r="V212" s="84"/>
      <c r="W212" s="84"/>
      <c r="X212" s="84"/>
      <c r="Y212" s="85"/>
      <c r="Z212" s="86">
        <f t="shared" si="32"/>
        <v>22.324074074074076</v>
      </c>
      <c r="AA212" s="61">
        <f t="shared" si="33"/>
        <v>2</v>
      </c>
      <c r="AB212" s="62">
        <f t="shared" si="34"/>
        <v>2</v>
      </c>
      <c r="AC212" s="87" t="s">
        <v>658</v>
      </c>
      <c r="AD212" s="88">
        <v>16</v>
      </c>
      <c r="AE212" s="90"/>
      <c r="AF212" s="92"/>
      <c r="AG212" s="92"/>
      <c r="AH212" s="92"/>
    </row>
    <row r="213" spans="1:34" ht="16.5" customHeight="1" thickBot="1">
      <c r="A213" s="67">
        <v>211</v>
      </c>
      <c r="B213" s="68" t="s">
        <v>659</v>
      </c>
      <c r="C213" s="68" t="s">
        <v>660</v>
      </c>
      <c r="D213" s="69">
        <v>4.5</v>
      </c>
      <c r="E213" s="70">
        <v>5</v>
      </c>
      <c r="F213" s="70">
        <v>7.5</v>
      </c>
      <c r="G213" s="71">
        <f t="shared" si="28"/>
        <v>5.666666666666667</v>
      </c>
      <c r="H213" s="72">
        <v>5.5</v>
      </c>
      <c r="I213" s="73">
        <v>0</v>
      </c>
      <c r="J213" s="74">
        <v>5</v>
      </c>
      <c r="K213" s="74">
        <v>4</v>
      </c>
      <c r="L213" s="75">
        <v>5.5</v>
      </c>
      <c r="M213" s="76">
        <f t="shared" si="29"/>
        <v>4.833333333333333</v>
      </c>
      <c r="N213" s="77">
        <f t="shared" si="30"/>
        <v>45.185185185185183</v>
      </c>
      <c r="O213" s="78">
        <v>4.5</v>
      </c>
      <c r="P213" s="79">
        <v>4</v>
      </c>
      <c r="Q213" s="80">
        <f t="shared" si="31"/>
        <v>4.25</v>
      </c>
      <c r="R213" s="87" t="s">
        <v>661</v>
      </c>
      <c r="S213" s="81">
        <v>4.5</v>
      </c>
      <c r="T213" s="82"/>
      <c r="U213" s="83"/>
      <c r="V213" s="84"/>
      <c r="W213" s="84"/>
      <c r="X213" s="84"/>
      <c r="Y213" s="85"/>
      <c r="Z213" s="86">
        <f t="shared" si="32"/>
        <v>20.74074074074074</v>
      </c>
      <c r="AA213" s="61">
        <f t="shared" si="33"/>
        <v>2</v>
      </c>
      <c r="AB213" s="62">
        <f t="shared" si="34"/>
        <v>2</v>
      </c>
      <c r="AC213" s="87" t="s">
        <v>661</v>
      </c>
      <c r="AD213" s="88">
        <v>16</v>
      </c>
      <c r="AE213" s="90"/>
      <c r="AF213" s="92"/>
      <c r="AG213" s="92"/>
      <c r="AH213" s="92"/>
    </row>
    <row r="214" spans="1:34" ht="16.5" customHeight="1" thickBot="1">
      <c r="A214" s="67">
        <v>212</v>
      </c>
      <c r="B214" s="68" t="s">
        <v>662</v>
      </c>
      <c r="C214" s="68" t="s">
        <v>663</v>
      </c>
      <c r="D214" s="69">
        <v>7.5</v>
      </c>
      <c r="E214" s="70">
        <v>7</v>
      </c>
      <c r="F214" s="70">
        <v>8</v>
      </c>
      <c r="G214" s="71">
        <f t="shared" si="28"/>
        <v>7.5</v>
      </c>
      <c r="H214" s="72">
        <v>7.5</v>
      </c>
      <c r="I214" s="73">
        <v>5.5</v>
      </c>
      <c r="J214" s="74">
        <v>8</v>
      </c>
      <c r="K214" s="74">
        <v>7</v>
      </c>
      <c r="L214" s="75">
        <v>7</v>
      </c>
      <c r="M214" s="76">
        <f t="shared" si="29"/>
        <v>7.333333333333333</v>
      </c>
      <c r="N214" s="77">
        <f t="shared" si="30"/>
        <v>76.740740740740733</v>
      </c>
      <c r="O214" s="78">
        <v>8.5</v>
      </c>
      <c r="P214" s="79">
        <v>8.5</v>
      </c>
      <c r="Q214" s="80">
        <f t="shared" si="31"/>
        <v>8.5</v>
      </c>
      <c r="R214" s="87" t="s">
        <v>664</v>
      </c>
      <c r="S214" s="81">
        <v>8.5</v>
      </c>
      <c r="T214" s="82"/>
      <c r="U214" s="83"/>
      <c r="V214" s="84"/>
      <c r="W214" s="84"/>
      <c r="X214" s="84"/>
      <c r="Y214" s="85"/>
      <c r="Z214" s="86">
        <f t="shared" si="32"/>
        <v>38.074074074074076</v>
      </c>
      <c r="AA214" s="61">
        <f t="shared" si="33"/>
        <v>4</v>
      </c>
      <c r="AB214" s="62">
        <f t="shared" si="34"/>
        <v>3</v>
      </c>
      <c r="AC214" s="87" t="s">
        <v>664</v>
      </c>
      <c r="AD214" s="88">
        <v>4</v>
      </c>
      <c r="AE214" s="90"/>
      <c r="AF214" s="92"/>
      <c r="AG214" s="92"/>
      <c r="AH214" s="92"/>
    </row>
    <row r="215" spans="1:34" ht="16.5" customHeight="1" thickBot="1">
      <c r="A215" s="67">
        <v>213</v>
      </c>
      <c r="B215" s="68" t="s">
        <v>665</v>
      </c>
      <c r="C215" s="68" t="s">
        <v>666</v>
      </c>
      <c r="D215" s="69">
        <v>6.5</v>
      </c>
      <c r="E215" s="70">
        <v>6</v>
      </c>
      <c r="F215" s="70">
        <v>7.5</v>
      </c>
      <c r="G215" s="71">
        <f t="shared" si="28"/>
        <v>6.666666666666667</v>
      </c>
      <c r="H215" s="72">
        <v>6.5</v>
      </c>
      <c r="I215" s="73">
        <v>4</v>
      </c>
      <c r="J215" s="74">
        <v>5</v>
      </c>
      <c r="K215" s="74">
        <v>4.5</v>
      </c>
      <c r="L215" s="75">
        <v>6</v>
      </c>
      <c r="M215" s="76">
        <f t="shared" si="29"/>
        <v>5.166666666666667</v>
      </c>
      <c r="N215" s="77">
        <f t="shared" si="30"/>
        <v>58.370370370370381</v>
      </c>
      <c r="O215" s="78">
        <v>5.5</v>
      </c>
      <c r="P215" s="79">
        <v>4.5</v>
      </c>
      <c r="Q215" s="80">
        <f t="shared" si="31"/>
        <v>5</v>
      </c>
      <c r="R215" s="87" t="s">
        <v>667</v>
      </c>
      <c r="S215" s="89">
        <v>5</v>
      </c>
      <c r="T215" s="82"/>
      <c r="U215" s="83"/>
      <c r="V215" s="84"/>
      <c r="W215" s="84"/>
      <c r="X215" s="84"/>
      <c r="Y215" s="85"/>
      <c r="Z215" s="86">
        <f t="shared" si="32"/>
        <v>25.703703703703706</v>
      </c>
      <c r="AA215" s="61">
        <f t="shared" si="33"/>
        <v>2</v>
      </c>
      <c r="AB215" s="62">
        <f t="shared" si="34"/>
        <v>2</v>
      </c>
      <c r="AC215" s="87" t="s">
        <v>667</v>
      </c>
      <c r="AD215" s="88">
        <v>15</v>
      </c>
      <c r="AE215" s="90"/>
      <c r="AF215" s="92"/>
      <c r="AG215" s="92"/>
      <c r="AH215" s="92"/>
    </row>
    <row r="216" spans="1:34" ht="16.5" customHeight="1" thickBot="1">
      <c r="A216" s="67">
        <v>214</v>
      </c>
      <c r="B216" s="68" t="s">
        <v>668</v>
      </c>
      <c r="C216" s="68" t="s">
        <v>669</v>
      </c>
      <c r="D216" s="69">
        <v>6.5</v>
      </c>
      <c r="E216" s="70">
        <v>7</v>
      </c>
      <c r="F216" s="70">
        <v>7.5</v>
      </c>
      <c r="G216" s="71">
        <f t="shared" si="28"/>
        <v>7</v>
      </c>
      <c r="H216" s="72">
        <v>7</v>
      </c>
      <c r="I216" s="73">
        <v>7.5</v>
      </c>
      <c r="J216" s="74">
        <v>6</v>
      </c>
      <c r="K216" s="74">
        <v>4</v>
      </c>
      <c r="L216" s="75">
        <v>6.5</v>
      </c>
      <c r="M216" s="76">
        <f t="shared" si="29"/>
        <v>5.5</v>
      </c>
      <c r="N216" s="77">
        <f t="shared" si="30"/>
        <v>68.888888888888886</v>
      </c>
      <c r="O216" s="78">
        <v>6</v>
      </c>
      <c r="P216" s="79">
        <v>8</v>
      </c>
      <c r="Q216" s="80">
        <f t="shared" si="31"/>
        <v>7</v>
      </c>
      <c r="R216" s="87" t="s">
        <v>670</v>
      </c>
      <c r="S216" s="89">
        <v>7</v>
      </c>
      <c r="T216" s="82"/>
      <c r="U216" s="83"/>
      <c r="V216" s="84"/>
      <c r="W216" s="84"/>
      <c r="X216" s="84"/>
      <c r="Y216" s="85"/>
      <c r="Z216" s="86">
        <f t="shared" si="32"/>
        <v>32.777777777777779</v>
      </c>
      <c r="AA216" s="61">
        <f t="shared" si="33"/>
        <v>2</v>
      </c>
      <c r="AB216" s="62">
        <f t="shared" si="34"/>
        <v>2</v>
      </c>
      <c r="AC216" s="87" t="s">
        <v>670</v>
      </c>
      <c r="AD216" s="88">
        <v>13</v>
      </c>
      <c r="AE216" s="90"/>
      <c r="AF216" s="92"/>
      <c r="AG216" s="92"/>
      <c r="AH216" s="92"/>
    </row>
    <row r="217" spans="1:34" ht="16.5" customHeight="1" thickBot="1">
      <c r="A217" s="67">
        <v>215</v>
      </c>
      <c r="B217" s="68" t="s">
        <v>671</v>
      </c>
      <c r="C217" s="68" t="s">
        <v>672</v>
      </c>
      <c r="D217" s="69">
        <v>5</v>
      </c>
      <c r="E217" s="70">
        <v>6</v>
      </c>
      <c r="F217" s="70">
        <v>7</v>
      </c>
      <c r="G217" s="71">
        <f t="shared" si="28"/>
        <v>6</v>
      </c>
      <c r="H217" s="72">
        <v>6</v>
      </c>
      <c r="I217" s="73">
        <v>7</v>
      </c>
      <c r="J217" s="74">
        <v>6.5</v>
      </c>
      <c r="K217" s="74">
        <v>5</v>
      </c>
      <c r="L217" s="75">
        <v>3.5</v>
      </c>
      <c r="M217" s="76">
        <f t="shared" si="29"/>
        <v>5</v>
      </c>
      <c r="N217" s="77">
        <f t="shared" si="30"/>
        <v>61.777777777777779</v>
      </c>
      <c r="O217" s="78">
        <v>6</v>
      </c>
      <c r="P217" s="79">
        <v>5</v>
      </c>
      <c r="Q217" s="80">
        <f t="shared" si="31"/>
        <v>5.5</v>
      </c>
      <c r="R217" s="87" t="s">
        <v>673</v>
      </c>
      <c r="S217" s="81">
        <v>5.5</v>
      </c>
      <c r="T217" s="82"/>
      <c r="U217" s="83"/>
      <c r="V217" s="84"/>
      <c r="W217" s="84"/>
      <c r="X217" s="84"/>
      <c r="Y217" s="85"/>
      <c r="Z217" s="86">
        <f t="shared" si="32"/>
        <v>27.666666666666668</v>
      </c>
      <c r="AA217" s="61">
        <f t="shared" si="33"/>
        <v>2</v>
      </c>
      <c r="AB217" s="62">
        <f t="shared" si="34"/>
        <v>2</v>
      </c>
      <c r="AC217" s="87" t="s">
        <v>673</v>
      </c>
      <c r="AD217" s="88">
        <v>8</v>
      </c>
      <c r="AE217" s="90"/>
      <c r="AF217" s="92"/>
      <c r="AG217" s="92"/>
      <c r="AH217" s="92"/>
    </row>
    <row r="218" spans="1:34" ht="16.5" customHeight="1" thickBot="1">
      <c r="A218" s="67">
        <v>216</v>
      </c>
      <c r="B218" s="68" t="s">
        <v>674</v>
      </c>
      <c r="C218" s="68" t="s">
        <v>675</v>
      </c>
      <c r="D218" s="69">
        <v>5</v>
      </c>
      <c r="E218" s="70">
        <v>6.5</v>
      </c>
      <c r="F218" s="70">
        <v>8.5</v>
      </c>
      <c r="G218" s="71">
        <f t="shared" si="28"/>
        <v>6.666666666666667</v>
      </c>
      <c r="H218" s="72">
        <v>6.5</v>
      </c>
      <c r="I218" s="73">
        <v>7</v>
      </c>
      <c r="J218" s="74">
        <v>6</v>
      </c>
      <c r="K218" s="74">
        <v>4.5</v>
      </c>
      <c r="L218" s="75">
        <v>6.5</v>
      </c>
      <c r="M218" s="76">
        <f t="shared" si="29"/>
        <v>5.666666666666667</v>
      </c>
      <c r="N218" s="77">
        <f t="shared" si="30"/>
        <v>67.148148148148152</v>
      </c>
      <c r="O218" s="78">
        <v>4.5</v>
      </c>
      <c r="P218" s="79">
        <v>5</v>
      </c>
      <c r="Q218" s="80">
        <f t="shared" si="31"/>
        <v>4.75</v>
      </c>
      <c r="R218" s="87" t="s">
        <v>676</v>
      </c>
      <c r="S218" s="89">
        <v>5</v>
      </c>
      <c r="T218" s="82"/>
      <c r="U218" s="83"/>
      <c r="V218" s="84"/>
      <c r="W218" s="84"/>
      <c r="X218" s="84"/>
      <c r="Y218" s="85"/>
      <c r="Z218" s="86">
        <f t="shared" si="32"/>
        <v>27.342592592592595</v>
      </c>
      <c r="AA218" s="61">
        <f t="shared" si="33"/>
        <v>2</v>
      </c>
      <c r="AB218" s="62">
        <f t="shared" si="34"/>
        <v>2</v>
      </c>
      <c r="AC218" s="87" t="s">
        <v>676</v>
      </c>
      <c r="AD218" s="88">
        <v>7</v>
      </c>
      <c r="AE218" s="90"/>
      <c r="AF218" s="92"/>
      <c r="AG218" s="92"/>
      <c r="AH218" s="92"/>
    </row>
    <row r="219" spans="1:34" ht="16.5" customHeight="1" thickBot="1">
      <c r="A219" s="67">
        <v>217</v>
      </c>
      <c r="B219" s="68" t="s">
        <v>677</v>
      </c>
      <c r="C219" s="68" t="s">
        <v>678</v>
      </c>
      <c r="D219" s="69">
        <v>6</v>
      </c>
      <c r="E219" s="70">
        <v>4.5</v>
      </c>
      <c r="F219" s="70">
        <v>7.5</v>
      </c>
      <c r="G219" s="71">
        <f t="shared" si="28"/>
        <v>6</v>
      </c>
      <c r="H219" s="72">
        <v>6</v>
      </c>
      <c r="I219" s="73">
        <v>7</v>
      </c>
      <c r="J219" s="74">
        <v>4.5</v>
      </c>
      <c r="K219" s="74">
        <v>5</v>
      </c>
      <c r="L219" s="75">
        <v>7</v>
      </c>
      <c r="M219" s="76">
        <f t="shared" si="29"/>
        <v>5.5</v>
      </c>
      <c r="N219" s="77">
        <f t="shared" si="30"/>
        <v>64.555555555555557</v>
      </c>
      <c r="O219" s="78">
        <v>6</v>
      </c>
      <c r="P219" s="79">
        <v>6</v>
      </c>
      <c r="Q219" s="80">
        <f t="shared" si="31"/>
        <v>6</v>
      </c>
      <c r="R219" s="87" t="s">
        <v>679</v>
      </c>
      <c r="S219" s="89">
        <v>6</v>
      </c>
      <c r="T219" s="82"/>
      <c r="U219" s="83"/>
      <c r="V219" s="84"/>
      <c r="W219" s="84"/>
      <c r="X219" s="84"/>
      <c r="Y219" s="85"/>
      <c r="Z219" s="86">
        <f t="shared" si="32"/>
        <v>29.472222222222221</v>
      </c>
      <c r="AA219" s="61">
        <f t="shared" si="33"/>
        <v>2</v>
      </c>
      <c r="AB219" s="62">
        <f t="shared" si="34"/>
        <v>2</v>
      </c>
      <c r="AC219" s="87" t="s">
        <v>679</v>
      </c>
      <c r="AD219" s="88">
        <v>2</v>
      </c>
      <c r="AE219" s="90"/>
      <c r="AF219" s="92"/>
      <c r="AG219" s="92"/>
      <c r="AH219" s="92"/>
    </row>
    <row r="220" spans="1:34" ht="16.5" customHeight="1" thickBot="1">
      <c r="A220" s="67">
        <v>218</v>
      </c>
      <c r="B220" s="68" t="s">
        <v>680</v>
      </c>
      <c r="C220" s="68" t="s">
        <v>681</v>
      </c>
      <c r="D220" s="69">
        <v>6</v>
      </c>
      <c r="E220" s="70">
        <v>6.5</v>
      </c>
      <c r="F220" s="70">
        <v>8.5</v>
      </c>
      <c r="G220" s="71">
        <f t="shared" si="28"/>
        <v>7</v>
      </c>
      <c r="H220" s="72">
        <v>7</v>
      </c>
      <c r="I220" s="73">
        <v>5</v>
      </c>
      <c r="J220" s="74">
        <v>6</v>
      </c>
      <c r="K220" s="74">
        <v>6.5</v>
      </c>
      <c r="L220" s="75">
        <v>7</v>
      </c>
      <c r="M220" s="76">
        <f t="shared" si="29"/>
        <v>6.5</v>
      </c>
      <c r="N220" s="77">
        <f t="shared" si="30"/>
        <v>69.444444444444443</v>
      </c>
      <c r="O220" s="78">
        <v>7</v>
      </c>
      <c r="P220" s="79">
        <v>8.5</v>
      </c>
      <c r="Q220" s="80">
        <f t="shared" si="31"/>
        <v>7.75</v>
      </c>
      <c r="R220" s="87" t="s">
        <v>682</v>
      </c>
      <c r="S220" s="89">
        <v>8</v>
      </c>
      <c r="T220" s="82"/>
      <c r="U220" s="83"/>
      <c r="V220" s="84"/>
      <c r="W220" s="84"/>
      <c r="X220" s="84"/>
      <c r="Y220" s="85"/>
      <c r="Z220" s="86">
        <f t="shared" si="32"/>
        <v>34.583333333333329</v>
      </c>
      <c r="AA220" s="61">
        <f t="shared" si="33"/>
        <v>4</v>
      </c>
      <c r="AB220" s="62">
        <f t="shared" si="34"/>
        <v>3</v>
      </c>
      <c r="AC220" s="87" t="s">
        <v>682</v>
      </c>
      <c r="AD220" s="88">
        <v>4</v>
      </c>
      <c r="AE220" s="90"/>
      <c r="AF220" s="92"/>
      <c r="AG220" s="92"/>
      <c r="AH220" s="92"/>
    </row>
    <row r="221" spans="1:34" ht="16.5" customHeight="1" thickBot="1">
      <c r="A221" s="67">
        <v>219</v>
      </c>
      <c r="B221" s="68" t="s">
        <v>683</v>
      </c>
      <c r="C221" s="68" t="s">
        <v>684</v>
      </c>
      <c r="D221" s="69">
        <v>6</v>
      </c>
      <c r="E221" s="70">
        <v>7</v>
      </c>
      <c r="F221" s="70">
        <v>8</v>
      </c>
      <c r="G221" s="71">
        <f t="shared" si="28"/>
        <v>7</v>
      </c>
      <c r="H221" s="72">
        <v>7</v>
      </c>
      <c r="I221" s="73">
        <v>3</v>
      </c>
      <c r="J221" s="74">
        <v>6</v>
      </c>
      <c r="K221" s="74">
        <v>5</v>
      </c>
      <c r="L221" s="75">
        <v>6</v>
      </c>
      <c r="M221" s="76">
        <f t="shared" si="29"/>
        <v>5.666666666666667</v>
      </c>
      <c r="N221" s="77">
        <f t="shared" si="30"/>
        <v>60.814814814814817</v>
      </c>
      <c r="O221" s="78">
        <v>6</v>
      </c>
      <c r="P221" s="79">
        <v>6</v>
      </c>
      <c r="Q221" s="80">
        <f t="shared" si="31"/>
        <v>6</v>
      </c>
      <c r="R221" s="87" t="s">
        <v>685</v>
      </c>
      <c r="S221" s="89">
        <v>6</v>
      </c>
      <c r="T221" s="82"/>
      <c r="U221" s="83"/>
      <c r="V221" s="84"/>
      <c r="W221" s="84"/>
      <c r="X221" s="84"/>
      <c r="Y221" s="85"/>
      <c r="Z221" s="86">
        <f t="shared" si="32"/>
        <v>28.537037037037038</v>
      </c>
      <c r="AA221" s="61">
        <f t="shared" si="33"/>
        <v>2</v>
      </c>
      <c r="AB221" s="62">
        <f t="shared" si="34"/>
        <v>2</v>
      </c>
      <c r="AC221" s="87" t="s">
        <v>685</v>
      </c>
      <c r="AD221" s="88">
        <v>5</v>
      </c>
      <c r="AE221" s="90"/>
      <c r="AF221" s="92"/>
      <c r="AG221" s="92"/>
      <c r="AH221" s="92"/>
    </row>
    <row r="222" spans="1:34" ht="16.5" customHeight="1" thickBot="1">
      <c r="A222" s="67">
        <v>220</v>
      </c>
      <c r="B222" s="68" t="s">
        <v>686</v>
      </c>
      <c r="C222" s="68" t="s">
        <v>687</v>
      </c>
      <c r="D222" s="69">
        <v>6.5</v>
      </c>
      <c r="E222" s="70">
        <v>8</v>
      </c>
      <c r="F222" s="70">
        <v>8.5</v>
      </c>
      <c r="G222" s="71">
        <f t="shared" si="28"/>
        <v>7.666666666666667</v>
      </c>
      <c r="H222" s="72">
        <v>7.5</v>
      </c>
      <c r="I222" s="73">
        <v>7</v>
      </c>
      <c r="J222" s="74">
        <v>7</v>
      </c>
      <c r="K222" s="74">
        <v>5</v>
      </c>
      <c r="L222" s="75">
        <v>7</v>
      </c>
      <c r="M222" s="76">
        <f t="shared" si="29"/>
        <v>6.333333333333333</v>
      </c>
      <c r="N222" s="77">
        <f t="shared" si="30"/>
        <v>74.18518518518519</v>
      </c>
      <c r="O222" s="78">
        <v>7.5</v>
      </c>
      <c r="P222" s="79">
        <v>8</v>
      </c>
      <c r="Q222" s="80">
        <f t="shared" si="31"/>
        <v>7.75</v>
      </c>
      <c r="R222" s="87" t="s">
        <v>688</v>
      </c>
      <c r="S222" s="89">
        <v>8</v>
      </c>
      <c r="T222" s="82"/>
      <c r="U222" s="83"/>
      <c r="V222" s="84"/>
      <c r="W222" s="84"/>
      <c r="X222" s="84"/>
      <c r="Y222" s="85"/>
      <c r="Z222" s="86">
        <f t="shared" si="32"/>
        <v>35.768518518518519</v>
      </c>
      <c r="AA222" s="61">
        <f t="shared" si="33"/>
        <v>4</v>
      </c>
      <c r="AB222" s="62">
        <f t="shared" si="34"/>
        <v>3</v>
      </c>
      <c r="AC222" s="87" t="s">
        <v>688</v>
      </c>
      <c r="AD222" s="88">
        <v>1</v>
      </c>
      <c r="AE222" s="90"/>
      <c r="AF222" s="92"/>
      <c r="AG222" s="92"/>
      <c r="AH222" s="92"/>
    </row>
    <row r="223" spans="1:34" ht="16.5" customHeight="1" thickBot="1">
      <c r="A223" s="67">
        <v>221</v>
      </c>
      <c r="B223" s="68" t="s">
        <v>689</v>
      </c>
      <c r="C223" s="68" t="s">
        <v>690</v>
      </c>
      <c r="D223" s="69">
        <v>5.5</v>
      </c>
      <c r="E223" s="118" t="s">
        <v>691</v>
      </c>
      <c r="F223" s="70">
        <v>8</v>
      </c>
      <c r="G223" s="71">
        <f t="shared" si="28"/>
        <v>6.75</v>
      </c>
      <c r="H223" s="72">
        <v>7</v>
      </c>
      <c r="I223" s="73">
        <v>6.5</v>
      </c>
      <c r="J223" s="74">
        <v>6</v>
      </c>
      <c r="K223" s="74">
        <v>5</v>
      </c>
      <c r="L223" s="75">
        <v>6</v>
      </c>
      <c r="M223" s="76">
        <f t="shared" si="29"/>
        <v>5.666666666666667</v>
      </c>
      <c r="N223" s="77">
        <f t="shared" si="30"/>
        <v>67.81481481481481</v>
      </c>
      <c r="O223" s="78">
        <v>7.5</v>
      </c>
      <c r="P223" s="79">
        <v>6</v>
      </c>
      <c r="Q223" s="80">
        <f t="shared" si="31"/>
        <v>6.75</v>
      </c>
      <c r="R223" s="87" t="s">
        <v>692</v>
      </c>
      <c r="S223" s="89">
        <v>7</v>
      </c>
      <c r="T223" s="82"/>
      <c r="U223" s="83"/>
      <c r="V223" s="84"/>
      <c r="W223" s="84"/>
      <c r="X223" s="84"/>
      <c r="Y223" s="85"/>
      <c r="Z223" s="86">
        <f t="shared" si="32"/>
        <v>31.953703703703702</v>
      </c>
      <c r="AA223" s="61">
        <f t="shared" si="33"/>
        <v>2</v>
      </c>
      <c r="AB223" s="62">
        <f t="shared" si="34"/>
        <v>2</v>
      </c>
      <c r="AC223" s="87" t="s">
        <v>692</v>
      </c>
      <c r="AD223" s="88">
        <v>7</v>
      </c>
      <c r="AE223" s="90"/>
      <c r="AF223" s="92"/>
      <c r="AG223" s="92"/>
      <c r="AH223" s="92"/>
    </row>
    <row r="224" spans="1:34" ht="16.5" customHeight="1" thickBot="1">
      <c r="A224" s="67">
        <v>222</v>
      </c>
      <c r="B224" s="68" t="s">
        <v>693</v>
      </c>
      <c r="C224" s="68" t="s">
        <v>694</v>
      </c>
      <c r="D224" s="69">
        <v>5.5</v>
      </c>
      <c r="E224" s="70">
        <v>7</v>
      </c>
      <c r="F224" s="70">
        <v>8.5</v>
      </c>
      <c r="G224" s="71">
        <f t="shared" si="28"/>
        <v>7</v>
      </c>
      <c r="H224" s="72">
        <v>7</v>
      </c>
      <c r="I224" s="73">
        <v>7</v>
      </c>
      <c r="J224" s="74">
        <v>4.5</v>
      </c>
      <c r="K224" s="74">
        <v>5.5</v>
      </c>
      <c r="L224" s="75">
        <v>6.5</v>
      </c>
      <c r="M224" s="76">
        <f t="shared" si="29"/>
        <v>5.5</v>
      </c>
      <c r="N224" s="77">
        <f t="shared" si="30"/>
        <v>67.888888888888886</v>
      </c>
      <c r="O224" s="78">
        <v>6</v>
      </c>
      <c r="P224" s="79">
        <v>5.5</v>
      </c>
      <c r="Q224" s="80">
        <f t="shared" si="31"/>
        <v>5.75</v>
      </c>
      <c r="R224" s="87" t="s">
        <v>695</v>
      </c>
      <c r="S224" s="89">
        <v>6</v>
      </c>
      <c r="T224" s="82"/>
      <c r="U224" s="83"/>
      <c r="V224" s="84"/>
      <c r="W224" s="84"/>
      <c r="X224" s="84"/>
      <c r="Y224" s="85"/>
      <c r="Z224" s="86">
        <f t="shared" si="32"/>
        <v>29.75</v>
      </c>
      <c r="AA224" s="61">
        <f t="shared" si="33"/>
        <v>2</v>
      </c>
      <c r="AB224" s="62">
        <f t="shared" si="34"/>
        <v>2</v>
      </c>
      <c r="AC224" s="87" t="s">
        <v>695</v>
      </c>
      <c r="AD224" s="88">
        <v>2</v>
      </c>
      <c r="AE224" s="90"/>
      <c r="AF224" s="92"/>
      <c r="AG224" s="92"/>
      <c r="AH224" s="92"/>
    </row>
    <row r="225" spans="1:34" ht="16.5" customHeight="1" thickBot="1">
      <c r="A225" s="67">
        <v>223</v>
      </c>
      <c r="B225" s="66" t="s">
        <v>696</v>
      </c>
      <c r="C225" s="66"/>
      <c r="D225" s="94"/>
      <c r="E225" s="95"/>
      <c r="F225" s="95"/>
      <c r="G225" s="96"/>
      <c r="H225" s="97"/>
      <c r="I225" s="98"/>
      <c r="J225" s="116"/>
      <c r="K225" s="116"/>
      <c r="L225" s="117"/>
      <c r="M225" s="101"/>
      <c r="N225" s="102"/>
      <c r="O225" s="78">
        <v>6.5</v>
      </c>
      <c r="P225" s="79">
        <v>5.5</v>
      </c>
      <c r="Q225" s="103">
        <v>6</v>
      </c>
      <c r="R225" s="101">
        <v>0</v>
      </c>
      <c r="S225" s="89">
        <v>6</v>
      </c>
      <c r="T225" s="104"/>
      <c r="U225" s="105"/>
      <c r="V225" s="95"/>
      <c r="W225" s="95"/>
      <c r="X225" s="95"/>
      <c r="Y225" s="106"/>
      <c r="Z225" s="105"/>
      <c r="AA225" s="61" t="b">
        <f t="shared" si="33"/>
        <v>0</v>
      </c>
      <c r="AB225" s="62" t="e">
        <f t="shared" si="34"/>
        <v>#N/A</v>
      </c>
      <c r="AC225" s="101">
        <v>0</v>
      </c>
      <c r="AD225" s="107"/>
      <c r="AE225" s="90"/>
      <c r="AF225" s="92"/>
      <c r="AG225" s="92"/>
      <c r="AH225" s="92"/>
    </row>
    <row r="226" spans="1:34" ht="16.5" customHeight="1" thickBot="1">
      <c r="A226" s="67">
        <v>224</v>
      </c>
      <c r="B226" s="68" t="s">
        <v>697</v>
      </c>
      <c r="C226" s="68" t="s">
        <v>698</v>
      </c>
      <c r="D226" s="69">
        <v>6</v>
      </c>
      <c r="E226" s="70">
        <v>7</v>
      </c>
      <c r="F226" s="70">
        <v>7.5</v>
      </c>
      <c r="G226" s="71">
        <f>IFERROR(AVERAGE(D226:F226),)</f>
        <v>6.833333333333333</v>
      </c>
      <c r="H226" s="72">
        <v>7</v>
      </c>
      <c r="I226" s="73">
        <v>7</v>
      </c>
      <c r="J226" s="74">
        <v>5</v>
      </c>
      <c r="K226" s="74">
        <v>5</v>
      </c>
      <c r="L226" s="75">
        <v>6.5</v>
      </c>
      <c r="M226" s="76">
        <f>AVERAGE(J226:L226)</f>
        <v>5.5</v>
      </c>
      <c r="N226" s="77">
        <f>H226*30/9+2*I226+M226*50/9</f>
        <v>67.888888888888886</v>
      </c>
      <c r="O226" s="78">
        <v>6</v>
      </c>
      <c r="P226" s="79">
        <v>6</v>
      </c>
      <c r="Q226" s="80">
        <f>AVERAGE(O226:P226)</f>
        <v>6</v>
      </c>
      <c r="R226" s="87" t="s">
        <v>699</v>
      </c>
      <c r="S226" s="89">
        <v>6</v>
      </c>
      <c r="T226" s="82"/>
      <c r="U226" s="83"/>
      <c r="V226" s="84"/>
      <c r="W226" s="84"/>
      <c r="X226" s="84"/>
      <c r="Y226" s="85"/>
      <c r="Z226" s="86">
        <f>0.25*N226+0.15*T226*10+20/9*Q226+40/9*Y226</f>
        <v>30.305555555555557</v>
      </c>
      <c r="AA226" s="61">
        <f t="shared" si="33"/>
        <v>2</v>
      </c>
      <c r="AB226" s="62">
        <f t="shared" si="34"/>
        <v>2</v>
      </c>
      <c r="AC226" s="87" t="s">
        <v>699</v>
      </c>
      <c r="AD226" s="88">
        <v>2</v>
      </c>
      <c r="AE226" s="90"/>
      <c r="AF226" s="92"/>
      <c r="AG226" s="92"/>
      <c r="AH226" s="92"/>
    </row>
    <row r="227" spans="1:34" ht="16.5" customHeight="1" thickBot="1">
      <c r="A227" s="67">
        <v>225</v>
      </c>
      <c r="B227" s="68" t="s">
        <v>700</v>
      </c>
      <c r="C227" s="68" t="s">
        <v>701</v>
      </c>
      <c r="D227" s="69">
        <v>4.5</v>
      </c>
      <c r="E227" s="70">
        <v>6</v>
      </c>
      <c r="F227" s="70">
        <v>8</v>
      </c>
      <c r="G227" s="71">
        <f>IFERROR(AVERAGE(D227:F227),)</f>
        <v>6.166666666666667</v>
      </c>
      <c r="H227" s="72">
        <v>6</v>
      </c>
      <c r="I227" s="73">
        <v>5</v>
      </c>
      <c r="J227" s="74">
        <v>5.5</v>
      </c>
      <c r="K227" s="74">
        <v>5.5</v>
      </c>
      <c r="L227" s="75">
        <v>6.5</v>
      </c>
      <c r="M227" s="76">
        <f>AVERAGE(J227:L227)</f>
        <v>5.833333333333333</v>
      </c>
      <c r="N227" s="77">
        <f>H227*30/9+2*I227+M227*50/9</f>
        <v>62.407407407407405</v>
      </c>
      <c r="O227" s="78">
        <v>5</v>
      </c>
      <c r="P227" s="79">
        <v>4.5</v>
      </c>
      <c r="Q227" s="80">
        <f>AVERAGE(O227:P227)</f>
        <v>4.75</v>
      </c>
      <c r="R227" s="87" t="s">
        <v>702</v>
      </c>
      <c r="S227" s="89">
        <v>5</v>
      </c>
      <c r="T227" s="82"/>
      <c r="U227" s="83"/>
      <c r="V227" s="84"/>
      <c r="W227" s="84"/>
      <c r="X227" s="84"/>
      <c r="Y227" s="85"/>
      <c r="Z227" s="86">
        <f>0.25*N227+0.15*T227*10+20/9*Q227+40/9*Y227</f>
        <v>26.157407407407405</v>
      </c>
      <c r="AA227" s="61">
        <f t="shared" si="33"/>
        <v>2</v>
      </c>
      <c r="AB227" s="62">
        <f t="shared" si="34"/>
        <v>2</v>
      </c>
      <c r="AC227" s="87" t="s">
        <v>702</v>
      </c>
      <c r="AD227" s="88">
        <v>8</v>
      </c>
      <c r="AE227" s="90"/>
      <c r="AF227" s="92"/>
      <c r="AG227" s="92"/>
      <c r="AH227" s="92"/>
    </row>
    <row r="228" spans="1:34" ht="16.5" customHeight="1" thickBot="1">
      <c r="A228" s="67">
        <v>226</v>
      </c>
      <c r="B228" s="68" t="s">
        <v>703</v>
      </c>
      <c r="C228" s="68" t="s">
        <v>704</v>
      </c>
      <c r="D228" s="69">
        <v>5</v>
      </c>
      <c r="E228" s="70">
        <v>6</v>
      </c>
      <c r="F228" s="70">
        <v>7</v>
      </c>
      <c r="G228" s="71">
        <f>IFERROR(AVERAGE(D228:F228),)</f>
        <v>6</v>
      </c>
      <c r="H228" s="72">
        <v>6</v>
      </c>
      <c r="I228" s="73">
        <v>6</v>
      </c>
      <c r="J228" s="74">
        <v>5</v>
      </c>
      <c r="K228" s="74">
        <v>5</v>
      </c>
      <c r="L228" s="75">
        <v>6</v>
      </c>
      <c r="M228" s="76">
        <f>AVERAGE(J228:L228)</f>
        <v>5.333333333333333</v>
      </c>
      <c r="N228" s="77">
        <f>H228*30/9+2*I228+M228*50/9</f>
        <v>61.629629629629626</v>
      </c>
      <c r="O228" s="78">
        <v>5</v>
      </c>
      <c r="P228" s="79">
        <v>5</v>
      </c>
      <c r="Q228" s="80">
        <f>AVERAGE(O228:P228)</f>
        <v>5</v>
      </c>
      <c r="R228" s="87" t="s">
        <v>705</v>
      </c>
      <c r="S228" s="89">
        <v>5</v>
      </c>
      <c r="T228" s="82"/>
      <c r="U228" s="83"/>
      <c r="V228" s="84"/>
      <c r="W228" s="84"/>
      <c r="X228" s="84"/>
      <c r="Y228" s="85"/>
      <c r="Z228" s="86">
        <f>0.25*N228+0.15*T228*10+20/9*Q228+40/9*Y228</f>
        <v>26.518518518518519</v>
      </c>
      <c r="AA228" s="61">
        <f t="shared" si="33"/>
        <v>2</v>
      </c>
      <c r="AB228" s="62">
        <f t="shared" si="34"/>
        <v>2</v>
      </c>
      <c r="AC228" s="87" t="s">
        <v>705</v>
      </c>
      <c r="AD228" s="88">
        <v>11</v>
      </c>
      <c r="AE228" s="90"/>
      <c r="AF228" s="92"/>
      <c r="AG228" s="92"/>
      <c r="AH228" s="92"/>
    </row>
    <row r="229" spans="1:34" ht="16.5" customHeight="1" thickBot="1">
      <c r="A229" s="67">
        <v>227</v>
      </c>
      <c r="B229" s="68" t="s">
        <v>706</v>
      </c>
      <c r="C229" s="68" t="s">
        <v>707</v>
      </c>
      <c r="D229" s="69">
        <v>3</v>
      </c>
      <c r="E229" s="70">
        <v>5</v>
      </c>
      <c r="F229" s="70">
        <v>6.5</v>
      </c>
      <c r="G229" s="71">
        <f>IFERROR(AVERAGE(D229:F229),)</f>
        <v>4.833333333333333</v>
      </c>
      <c r="H229" s="72">
        <v>5</v>
      </c>
      <c r="I229" s="98">
        <v>4.5</v>
      </c>
      <c r="J229" s="99">
        <v>4.5</v>
      </c>
      <c r="K229" s="99">
        <v>4.5</v>
      </c>
      <c r="L229" s="100">
        <v>4.5</v>
      </c>
      <c r="M229" s="76">
        <f>AVERAGE(J229:L229)</f>
        <v>4.5</v>
      </c>
      <c r="N229" s="77">
        <f>H229*30/9+2*I229+M229*50/9</f>
        <v>50.666666666666671</v>
      </c>
      <c r="O229" s="78">
        <v>4</v>
      </c>
      <c r="P229" s="79">
        <v>2</v>
      </c>
      <c r="Q229" s="80">
        <f>AVERAGE(O229:P229)</f>
        <v>3</v>
      </c>
      <c r="R229" s="87" t="s">
        <v>708</v>
      </c>
      <c r="S229" s="89">
        <v>3</v>
      </c>
      <c r="T229" s="104"/>
      <c r="U229" s="83"/>
      <c r="V229" s="84"/>
      <c r="W229" s="84"/>
      <c r="X229" s="84"/>
      <c r="Y229" s="85"/>
      <c r="Z229" s="86">
        <f>0.25*N229+0.15*T229*10+20/9*Q229+40/9*Y229</f>
        <v>19.333333333333336</v>
      </c>
      <c r="AA229" s="61">
        <f t="shared" si="33"/>
        <v>2</v>
      </c>
      <c r="AB229" s="62">
        <f t="shared" si="34"/>
        <v>2</v>
      </c>
      <c r="AC229" s="87" t="s">
        <v>708</v>
      </c>
      <c r="AD229" s="88">
        <v>9</v>
      </c>
      <c r="AE229" s="90"/>
      <c r="AF229" s="92"/>
      <c r="AG229" s="92"/>
      <c r="AH229" s="92"/>
    </row>
    <row r="230" spans="1:34" ht="16.5" customHeight="1" thickBot="1">
      <c r="A230" s="67">
        <v>228</v>
      </c>
      <c r="B230" s="68" t="s">
        <v>709</v>
      </c>
      <c r="C230" s="68" t="s">
        <v>710</v>
      </c>
      <c r="D230" s="69">
        <v>7</v>
      </c>
      <c r="E230" s="70">
        <v>9</v>
      </c>
      <c r="F230" s="70">
        <v>7.5</v>
      </c>
      <c r="G230" s="71">
        <f>IFERROR(AVERAGE(D230:F230),)</f>
        <v>7.833333333333333</v>
      </c>
      <c r="H230" s="72">
        <v>8</v>
      </c>
      <c r="I230" s="73">
        <v>6.5</v>
      </c>
      <c r="J230" s="74">
        <v>7.5</v>
      </c>
      <c r="K230" s="74">
        <v>6</v>
      </c>
      <c r="L230" s="75">
        <v>6.5</v>
      </c>
      <c r="M230" s="76">
        <f>AVERAGE(J230:L230)</f>
        <v>6.666666666666667</v>
      </c>
      <c r="N230" s="77">
        <f>H230*30/9+2*I230+M230*50/9</f>
        <v>76.703703703703709</v>
      </c>
      <c r="O230" s="78">
        <v>7</v>
      </c>
      <c r="P230" s="79">
        <v>8.5</v>
      </c>
      <c r="Q230" s="80">
        <f>AVERAGE(O230:P230)</f>
        <v>7.75</v>
      </c>
      <c r="R230" s="87" t="s">
        <v>711</v>
      </c>
      <c r="S230" s="89">
        <v>8</v>
      </c>
      <c r="T230" s="82"/>
      <c r="U230" s="83"/>
      <c r="V230" s="84"/>
      <c r="W230" s="84"/>
      <c r="X230" s="84"/>
      <c r="Y230" s="85"/>
      <c r="Z230" s="86">
        <f>0.25*N230+0.15*T230*10+20/9*Q230+40/9*Y230</f>
        <v>36.398148148148152</v>
      </c>
      <c r="AA230" s="61">
        <f t="shared" si="33"/>
        <v>4</v>
      </c>
      <c r="AB230" s="62">
        <f t="shared" si="34"/>
        <v>3</v>
      </c>
      <c r="AC230" s="87" t="s">
        <v>711</v>
      </c>
      <c r="AD230" s="88">
        <v>4</v>
      </c>
      <c r="AE230" s="90"/>
      <c r="AF230" s="92"/>
      <c r="AG230" s="92"/>
      <c r="AH230" s="92"/>
    </row>
    <row r="231" spans="1:34" ht="16.5" customHeight="1" thickBot="1">
      <c r="A231" s="67">
        <v>229</v>
      </c>
      <c r="B231" s="66" t="s">
        <v>712</v>
      </c>
      <c r="C231" s="66"/>
      <c r="D231" s="94"/>
      <c r="E231" s="95"/>
      <c r="F231" s="95"/>
      <c r="G231" s="96"/>
      <c r="H231" s="97"/>
      <c r="I231" s="98"/>
      <c r="J231" s="116"/>
      <c r="K231" s="116"/>
      <c r="L231" s="117"/>
      <c r="M231" s="101"/>
      <c r="N231" s="102"/>
      <c r="O231" s="78">
        <v>5.5</v>
      </c>
      <c r="P231" s="79">
        <v>4.5</v>
      </c>
      <c r="Q231" s="103">
        <v>5</v>
      </c>
      <c r="R231" s="101">
        <v>0</v>
      </c>
      <c r="S231" s="89">
        <v>5</v>
      </c>
      <c r="T231" s="104"/>
      <c r="U231" s="105"/>
      <c r="V231" s="95"/>
      <c r="W231" s="95"/>
      <c r="X231" s="95"/>
      <c r="Y231" s="106"/>
      <c r="Z231" s="105"/>
      <c r="AA231" s="61" t="b">
        <f t="shared" si="33"/>
        <v>0</v>
      </c>
      <c r="AB231" s="62" t="e">
        <f t="shared" si="34"/>
        <v>#N/A</v>
      </c>
      <c r="AC231" s="101">
        <v>0</v>
      </c>
      <c r="AD231" s="107"/>
      <c r="AE231" s="90"/>
      <c r="AF231" s="92"/>
      <c r="AG231" s="92"/>
      <c r="AH231" s="92"/>
    </row>
    <row r="232" spans="1:34" ht="16.5" customHeight="1" thickBot="1">
      <c r="A232" s="67">
        <v>230</v>
      </c>
      <c r="B232" s="68" t="s">
        <v>713</v>
      </c>
      <c r="C232" s="68" t="s">
        <v>714</v>
      </c>
      <c r="D232" s="69">
        <v>6.5</v>
      </c>
      <c r="E232" s="70">
        <v>7.5</v>
      </c>
      <c r="F232" s="70">
        <v>8.5</v>
      </c>
      <c r="G232" s="71">
        <f t="shared" ref="G232:G266" si="35">IFERROR(AVERAGE(D232:F232),)</f>
        <v>7.5</v>
      </c>
      <c r="H232" s="72">
        <v>7.5</v>
      </c>
      <c r="I232" s="73">
        <v>6</v>
      </c>
      <c r="J232" s="74">
        <v>6</v>
      </c>
      <c r="K232" s="74">
        <v>5</v>
      </c>
      <c r="L232" s="75">
        <v>7</v>
      </c>
      <c r="M232" s="76">
        <f t="shared" ref="M232:M266" si="36">AVERAGE(J232:L232)</f>
        <v>6</v>
      </c>
      <c r="N232" s="77">
        <f>H232*30/9+2*I232+M232*50/9</f>
        <v>70.333333333333343</v>
      </c>
      <c r="O232" s="78">
        <v>7.5</v>
      </c>
      <c r="P232" s="79">
        <v>7</v>
      </c>
      <c r="Q232" s="80">
        <f t="shared" ref="Q232:Q264" si="37">AVERAGE(O232:P232)</f>
        <v>7.25</v>
      </c>
      <c r="R232" s="87" t="s">
        <v>715</v>
      </c>
      <c r="S232" s="81">
        <v>7.5</v>
      </c>
      <c r="T232" s="82"/>
      <c r="U232" s="83"/>
      <c r="V232" s="84"/>
      <c r="W232" s="84"/>
      <c r="X232" s="84"/>
      <c r="Y232" s="85"/>
      <c r="Z232" s="86">
        <f t="shared" ref="Z232:Z266" si="38">0.25*N232+0.15*T232*10+20/9*Q232+40/9*Y232</f>
        <v>33.694444444444443</v>
      </c>
      <c r="AA232" s="61">
        <f t="shared" si="33"/>
        <v>2</v>
      </c>
      <c r="AB232" s="62">
        <f t="shared" si="34"/>
        <v>2</v>
      </c>
      <c r="AC232" s="87" t="s">
        <v>715</v>
      </c>
      <c r="AD232" s="88">
        <v>4</v>
      </c>
      <c r="AE232" s="90"/>
      <c r="AF232" s="92"/>
      <c r="AG232" s="92"/>
      <c r="AH232" s="92"/>
    </row>
    <row r="233" spans="1:34" ht="16.5" customHeight="1" thickBot="1">
      <c r="A233" s="67">
        <v>231</v>
      </c>
      <c r="B233" s="68" t="s">
        <v>716</v>
      </c>
      <c r="C233" s="68" t="s">
        <v>717</v>
      </c>
      <c r="D233" s="69"/>
      <c r="E233" s="70"/>
      <c r="F233" s="70"/>
      <c r="G233" s="71">
        <f t="shared" si="35"/>
        <v>0</v>
      </c>
      <c r="H233" s="72"/>
      <c r="I233" s="98">
        <v>7.5</v>
      </c>
      <c r="J233" s="99">
        <v>8</v>
      </c>
      <c r="K233" s="99">
        <v>6</v>
      </c>
      <c r="L233" s="100">
        <v>6.5</v>
      </c>
      <c r="M233" s="76">
        <f t="shared" si="36"/>
        <v>6.833333333333333</v>
      </c>
      <c r="N233" s="77">
        <f>(H233*30/9+2*I233+M233*50/9)*1.15</f>
        <v>60.907407407407405</v>
      </c>
      <c r="O233" s="78">
        <v>7.5</v>
      </c>
      <c r="P233" s="79">
        <v>7.5</v>
      </c>
      <c r="Q233" s="80">
        <f t="shared" si="37"/>
        <v>7.5</v>
      </c>
      <c r="R233" s="87" t="s">
        <v>718</v>
      </c>
      <c r="S233" s="81">
        <v>7.5</v>
      </c>
      <c r="T233" s="104"/>
      <c r="U233" s="83"/>
      <c r="V233" s="84"/>
      <c r="W233" s="84"/>
      <c r="X233" s="84"/>
      <c r="Y233" s="85"/>
      <c r="Z233" s="86">
        <f t="shared" si="38"/>
        <v>31.893518518518519</v>
      </c>
      <c r="AA233" s="61">
        <f t="shared" si="33"/>
        <v>2</v>
      </c>
      <c r="AB233" s="62">
        <f t="shared" si="34"/>
        <v>2</v>
      </c>
      <c r="AC233" s="87" t="s">
        <v>718</v>
      </c>
      <c r="AD233" s="88">
        <v>14</v>
      </c>
      <c r="AE233" s="90"/>
      <c r="AF233" s="92"/>
      <c r="AG233" s="92"/>
      <c r="AH233" s="92"/>
    </row>
    <row r="234" spans="1:34" ht="16.5" customHeight="1" thickBot="1">
      <c r="A234" s="67">
        <v>232</v>
      </c>
      <c r="B234" s="68" t="s">
        <v>719</v>
      </c>
      <c r="C234" s="68" t="s">
        <v>720</v>
      </c>
      <c r="D234" s="69">
        <v>4.5</v>
      </c>
      <c r="E234" s="70">
        <v>4</v>
      </c>
      <c r="F234" s="70">
        <v>8</v>
      </c>
      <c r="G234" s="71">
        <f t="shared" si="35"/>
        <v>5.5</v>
      </c>
      <c r="H234" s="72">
        <v>5.5</v>
      </c>
      <c r="I234" s="98">
        <v>0</v>
      </c>
      <c r="J234" s="99">
        <v>4</v>
      </c>
      <c r="K234" s="99">
        <v>2</v>
      </c>
      <c r="L234" s="100">
        <v>2</v>
      </c>
      <c r="M234" s="76">
        <f t="shared" si="36"/>
        <v>2.6666666666666665</v>
      </c>
      <c r="N234" s="77">
        <f t="shared" ref="N234:N266" si="39">H234*30/9+2*I234+M234*50/9</f>
        <v>33.148148148148145</v>
      </c>
      <c r="O234" s="78">
        <v>5.5</v>
      </c>
      <c r="P234" s="79">
        <v>5.5</v>
      </c>
      <c r="Q234" s="80">
        <f t="shared" si="37"/>
        <v>5.5</v>
      </c>
      <c r="R234" s="87" t="s">
        <v>721</v>
      </c>
      <c r="S234" s="81">
        <v>5.5</v>
      </c>
      <c r="T234" s="104"/>
      <c r="U234" s="83"/>
      <c r="V234" s="84"/>
      <c r="W234" s="84"/>
      <c r="X234" s="84"/>
      <c r="Y234" s="85"/>
      <c r="Z234" s="86">
        <f t="shared" si="38"/>
        <v>20.50925925925926</v>
      </c>
      <c r="AA234" s="61">
        <f t="shared" si="33"/>
        <v>2</v>
      </c>
      <c r="AB234" s="62">
        <f t="shared" si="34"/>
        <v>2</v>
      </c>
      <c r="AC234" s="87" t="s">
        <v>721</v>
      </c>
      <c r="AD234" s="88">
        <v>16</v>
      </c>
      <c r="AE234" s="90"/>
      <c r="AF234" s="92"/>
      <c r="AG234" s="92"/>
      <c r="AH234" s="92"/>
    </row>
    <row r="235" spans="1:34" ht="16.5" customHeight="1" thickBot="1">
      <c r="A235" s="67">
        <v>233</v>
      </c>
      <c r="B235" s="68" t="s">
        <v>722</v>
      </c>
      <c r="C235" s="68" t="s">
        <v>723</v>
      </c>
      <c r="D235" s="69">
        <v>4</v>
      </c>
      <c r="E235" s="70">
        <v>5</v>
      </c>
      <c r="F235" s="70">
        <v>7</v>
      </c>
      <c r="G235" s="71">
        <f t="shared" si="35"/>
        <v>5.333333333333333</v>
      </c>
      <c r="H235" s="72">
        <v>5.5</v>
      </c>
      <c r="I235" s="98">
        <v>7</v>
      </c>
      <c r="J235" s="99">
        <v>5</v>
      </c>
      <c r="K235" s="99">
        <v>3.5</v>
      </c>
      <c r="L235" s="100">
        <v>6</v>
      </c>
      <c r="M235" s="76">
        <f t="shared" si="36"/>
        <v>4.833333333333333</v>
      </c>
      <c r="N235" s="77">
        <f t="shared" si="39"/>
        <v>59.185185185185176</v>
      </c>
      <c r="O235" s="78">
        <v>4.5</v>
      </c>
      <c r="P235" s="79">
        <v>4.5</v>
      </c>
      <c r="Q235" s="80">
        <f t="shared" si="37"/>
        <v>4.5</v>
      </c>
      <c r="R235" s="87" t="s">
        <v>724</v>
      </c>
      <c r="S235" s="81">
        <v>4.5</v>
      </c>
      <c r="T235" s="104"/>
      <c r="U235" s="83"/>
      <c r="V235" s="84"/>
      <c r="W235" s="84"/>
      <c r="X235" s="84"/>
      <c r="Y235" s="85"/>
      <c r="Z235" s="86">
        <f t="shared" si="38"/>
        <v>24.796296296296294</v>
      </c>
      <c r="AA235" s="61">
        <f t="shared" si="33"/>
        <v>2</v>
      </c>
      <c r="AB235" s="62">
        <f t="shared" si="34"/>
        <v>2</v>
      </c>
      <c r="AC235" s="87" t="s">
        <v>724</v>
      </c>
      <c r="AD235" s="88">
        <v>15</v>
      </c>
      <c r="AE235" s="90"/>
      <c r="AF235" s="92"/>
      <c r="AG235" s="92"/>
      <c r="AH235" s="92"/>
    </row>
    <row r="236" spans="1:34" ht="14.25" customHeight="1" thickBot="1">
      <c r="A236" s="67">
        <v>234</v>
      </c>
      <c r="B236" s="68" t="s">
        <v>725</v>
      </c>
      <c r="C236" s="68" t="s">
        <v>726</v>
      </c>
      <c r="D236" s="69">
        <v>5.5</v>
      </c>
      <c r="E236" s="70">
        <v>6</v>
      </c>
      <c r="F236" s="70">
        <v>7.5</v>
      </c>
      <c r="G236" s="71">
        <f t="shared" si="35"/>
        <v>6.333333333333333</v>
      </c>
      <c r="H236" s="72">
        <v>6.5</v>
      </c>
      <c r="I236" s="98">
        <v>5</v>
      </c>
      <c r="J236" s="99">
        <v>4.5</v>
      </c>
      <c r="K236" s="99">
        <v>9</v>
      </c>
      <c r="L236" s="100">
        <v>5.5</v>
      </c>
      <c r="M236" s="76">
        <f t="shared" si="36"/>
        <v>6.333333333333333</v>
      </c>
      <c r="N236" s="77">
        <f t="shared" si="39"/>
        <v>66.851851851851848</v>
      </c>
      <c r="O236" s="78">
        <v>6</v>
      </c>
      <c r="P236" s="79">
        <v>5.5</v>
      </c>
      <c r="Q236" s="80">
        <f t="shared" si="37"/>
        <v>5.75</v>
      </c>
      <c r="R236" s="87" t="s">
        <v>727</v>
      </c>
      <c r="S236" s="89">
        <v>6</v>
      </c>
      <c r="T236" s="104"/>
      <c r="U236" s="83"/>
      <c r="V236" s="84"/>
      <c r="W236" s="84"/>
      <c r="X236" s="84"/>
      <c r="Y236" s="85"/>
      <c r="Z236" s="86">
        <f t="shared" si="38"/>
        <v>29.49074074074074</v>
      </c>
      <c r="AA236" s="61">
        <f t="shared" si="33"/>
        <v>2</v>
      </c>
      <c r="AB236" s="62">
        <f t="shared" si="34"/>
        <v>2</v>
      </c>
      <c r="AC236" s="87" t="s">
        <v>727</v>
      </c>
      <c r="AD236" s="88">
        <v>11</v>
      </c>
      <c r="AE236" s="90"/>
      <c r="AF236" s="92"/>
      <c r="AG236" s="92"/>
      <c r="AH236" s="92"/>
    </row>
    <row r="237" spans="1:34" ht="16.5" customHeight="1" thickBot="1">
      <c r="A237" s="67">
        <v>235</v>
      </c>
      <c r="B237" s="68" t="s">
        <v>728</v>
      </c>
      <c r="C237" s="68" t="s">
        <v>729</v>
      </c>
      <c r="D237" s="69">
        <v>5</v>
      </c>
      <c r="E237" s="70">
        <v>4</v>
      </c>
      <c r="F237" s="70">
        <v>7</v>
      </c>
      <c r="G237" s="71">
        <f t="shared" si="35"/>
        <v>5.333333333333333</v>
      </c>
      <c r="H237" s="72">
        <v>5.5</v>
      </c>
      <c r="I237" s="98">
        <v>8</v>
      </c>
      <c r="J237" s="99">
        <v>5</v>
      </c>
      <c r="K237" s="99">
        <v>4</v>
      </c>
      <c r="L237" s="100">
        <v>6.5</v>
      </c>
      <c r="M237" s="76">
        <f t="shared" si="36"/>
        <v>5.166666666666667</v>
      </c>
      <c r="N237" s="77">
        <f t="shared" si="39"/>
        <v>63.037037037037038</v>
      </c>
      <c r="O237" s="78">
        <v>6</v>
      </c>
      <c r="P237" s="79">
        <v>7</v>
      </c>
      <c r="Q237" s="80">
        <f t="shared" si="37"/>
        <v>6.5</v>
      </c>
      <c r="R237" s="87" t="s">
        <v>730</v>
      </c>
      <c r="S237" s="81">
        <v>6.5</v>
      </c>
      <c r="T237" s="104"/>
      <c r="U237" s="83"/>
      <c r="V237" s="84"/>
      <c r="W237" s="84"/>
      <c r="X237" s="84"/>
      <c r="Y237" s="85"/>
      <c r="Z237" s="86">
        <f t="shared" si="38"/>
        <v>30.203703703703702</v>
      </c>
      <c r="AA237" s="61">
        <f t="shared" si="33"/>
        <v>2</v>
      </c>
      <c r="AB237" s="62">
        <f t="shared" si="34"/>
        <v>2</v>
      </c>
      <c r="AC237" s="87" t="s">
        <v>730</v>
      </c>
      <c r="AD237" s="108" t="s">
        <v>113</v>
      </c>
      <c r="AE237" s="90"/>
      <c r="AF237" s="92"/>
      <c r="AG237" s="92"/>
      <c r="AH237" s="92"/>
    </row>
    <row r="238" spans="1:34" ht="16.5" customHeight="1" thickBot="1">
      <c r="A238" s="67">
        <v>236</v>
      </c>
      <c r="B238" s="68" t="s">
        <v>731</v>
      </c>
      <c r="C238" s="68" t="s">
        <v>732</v>
      </c>
      <c r="D238" s="69">
        <v>6</v>
      </c>
      <c r="E238" s="70">
        <v>6</v>
      </c>
      <c r="F238" s="70">
        <v>7.5</v>
      </c>
      <c r="G238" s="71">
        <f t="shared" si="35"/>
        <v>6.5</v>
      </c>
      <c r="H238" s="72">
        <v>6.5</v>
      </c>
      <c r="I238" s="98">
        <v>7</v>
      </c>
      <c r="J238" s="99">
        <v>6</v>
      </c>
      <c r="K238" s="99">
        <v>6</v>
      </c>
      <c r="L238" s="100">
        <v>6</v>
      </c>
      <c r="M238" s="76">
        <f t="shared" si="36"/>
        <v>6</v>
      </c>
      <c r="N238" s="77">
        <f t="shared" si="39"/>
        <v>69</v>
      </c>
      <c r="O238" s="78">
        <v>6</v>
      </c>
      <c r="P238" s="79">
        <v>5.5</v>
      </c>
      <c r="Q238" s="80">
        <f t="shared" si="37"/>
        <v>5.75</v>
      </c>
      <c r="R238" s="87" t="s">
        <v>733</v>
      </c>
      <c r="S238" s="89">
        <v>6</v>
      </c>
      <c r="T238" s="104"/>
      <c r="U238" s="83"/>
      <c r="V238" s="84"/>
      <c r="W238" s="84"/>
      <c r="X238" s="84"/>
      <c r="Y238" s="85"/>
      <c r="Z238" s="86">
        <f t="shared" si="38"/>
        <v>30.027777777777779</v>
      </c>
      <c r="AA238" s="61">
        <f t="shared" si="33"/>
        <v>2</v>
      </c>
      <c r="AB238" s="62">
        <f t="shared" si="34"/>
        <v>2</v>
      </c>
      <c r="AC238" s="87" t="s">
        <v>733</v>
      </c>
      <c r="AD238" s="88">
        <v>7</v>
      </c>
      <c r="AE238" s="90"/>
      <c r="AF238" s="92"/>
      <c r="AG238" s="92"/>
      <c r="AH238" s="92"/>
    </row>
    <row r="239" spans="1:34" ht="16.5" customHeight="1" thickBot="1">
      <c r="A239" s="67">
        <v>237</v>
      </c>
      <c r="B239" s="68" t="s">
        <v>734</v>
      </c>
      <c r="C239" s="68" t="s">
        <v>735</v>
      </c>
      <c r="D239" s="69">
        <v>5.5</v>
      </c>
      <c r="E239" s="70">
        <v>5.5</v>
      </c>
      <c r="F239" s="70">
        <v>7.5</v>
      </c>
      <c r="G239" s="71">
        <f t="shared" si="35"/>
        <v>6.166666666666667</v>
      </c>
      <c r="H239" s="72">
        <v>6</v>
      </c>
      <c r="I239" s="98">
        <v>6</v>
      </c>
      <c r="J239" s="99">
        <v>5.5</v>
      </c>
      <c r="K239" s="99">
        <v>5.5</v>
      </c>
      <c r="L239" s="100">
        <v>6</v>
      </c>
      <c r="M239" s="76">
        <f t="shared" si="36"/>
        <v>5.666666666666667</v>
      </c>
      <c r="N239" s="77">
        <f t="shared" si="39"/>
        <v>63.481481481481481</v>
      </c>
      <c r="O239" s="78">
        <v>6</v>
      </c>
      <c r="P239" s="79">
        <v>5.5</v>
      </c>
      <c r="Q239" s="80">
        <f t="shared" si="37"/>
        <v>5.75</v>
      </c>
      <c r="R239" s="87" t="s">
        <v>736</v>
      </c>
      <c r="S239" s="89">
        <v>6</v>
      </c>
      <c r="T239" s="104"/>
      <c r="U239" s="83"/>
      <c r="V239" s="84"/>
      <c r="W239" s="84"/>
      <c r="X239" s="84"/>
      <c r="Y239" s="85"/>
      <c r="Z239" s="86">
        <f t="shared" si="38"/>
        <v>28.648148148148149</v>
      </c>
      <c r="AA239" s="61">
        <f t="shared" si="33"/>
        <v>2</v>
      </c>
      <c r="AB239" s="62">
        <f t="shared" si="34"/>
        <v>2</v>
      </c>
      <c r="AC239" s="87" t="s">
        <v>736</v>
      </c>
      <c r="AD239" s="88">
        <v>6</v>
      </c>
      <c r="AE239" s="90"/>
      <c r="AF239" s="92"/>
      <c r="AG239" s="92"/>
      <c r="AH239" s="92"/>
    </row>
    <row r="240" spans="1:34" ht="16.5" customHeight="1" thickBot="1">
      <c r="A240" s="67">
        <v>238</v>
      </c>
      <c r="B240" s="68" t="s">
        <v>737</v>
      </c>
      <c r="C240" s="68" t="s">
        <v>738</v>
      </c>
      <c r="D240" s="69">
        <v>7</v>
      </c>
      <c r="E240" s="70">
        <v>8</v>
      </c>
      <c r="F240" s="70">
        <v>9</v>
      </c>
      <c r="G240" s="71">
        <f t="shared" si="35"/>
        <v>8</v>
      </c>
      <c r="H240" s="72">
        <v>8</v>
      </c>
      <c r="I240" s="73">
        <v>7.5</v>
      </c>
      <c r="J240" s="74">
        <v>6.5</v>
      </c>
      <c r="K240" s="74">
        <v>6</v>
      </c>
      <c r="L240" s="75">
        <v>7.5</v>
      </c>
      <c r="M240" s="76">
        <f t="shared" si="36"/>
        <v>6.666666666666667</v>
      </c>
      <c r="N240" s="77">
        <f t="shared" si="39"/>
        <v>78.703703703703709</v>
      </c>
      <c r="O240" s="78">
        <v>8</v>
      </c>
      <c r="P240" s="79">
        <v>8</v>
      </c>
      <c r="Q240" s="80">
        <f t="shared" si="37"/>
        <v>8</v>
      </c>
      <c r="R240" s="87" t="s">
        <v>739</v>
      </c>
      <c r="S240" s="89">
        <v>8</v>
      </c>
      <c r="T240" s="82"/>
      <c r="U240" s="83"/>
      <c r="V240" s="84"/>
      <c r="W240" s="84"/>
      <c r="X240" s="84"/>
      <c r="Y240" s="85"/>
      <c r="Z240" s="86">
        <f t="shared" si="38"/>
        <v>37.453703703703709</v>
      </c>
      <c r="AA240" s="61">
        <f t="shared" si="33"/>
        <v>4</v>
      </c>
      <c r="AB240" s="62">
        <f t="shared" si="34"/>
        <v>3</v>
      </c>
      <c r="AC240" s="87" t="s">
        <v>739</v>
      </c>
      <c r="AD240" s="88">
        <v>7</v>
      </c>
      <c r="AE240" s="90"/>
      <c r="AF240" s="92"/>
      <c r="AG240" s="92"/>
      <c r="AH240" s="92"/>
    </row>
    <row r="241" spans="1:34" ht="16.5" customHeight="1" thickBot="1">
      <c r="A241" s="67">
        <v>239</v>
      </c>
      <c r="B241" s="68" t="s">
        <v>740</v>
      </c>
      <c r="C241" s="68" t="s">
        <v>741</v>
      </c>
      <c r="D241" s="69">
        <v>5.5</v>
      </c>
      <c r="E241" s="70">
        <v>6.5</v>
      </c>
      <c r="F241" s="70">
        <v>7.5</v>
      </c>
      <c r="G241" s="71">
        <f t="shared" si="35"/>
        <v>6.5</v>
      </c>
      <c r="H241" s="72">
        <v>6.5</v>
      </c>
      <c r="I241" s="73">
        <v>9</v>
      </c>
      <c r="J241" s="74">
        <v>6</v>
      </c>
      <c r="K241" s="74">
        <v>5</v>
      </c>
      <c r="L241" s="75">
        <v>6.5</v>
      </c>
      <c r="M241" s="76">
        <f t="shared" si="36"/>
        <v>5.833333333333333</v>
      </c>
      <c r="N241" s="77">
        <f t="shared" si="39"/>
        <v>72.074074074074076</v>
      </c>
      <c r="O241" s="78">
        <v>7</v>
      </c>
      <c r="P241" s="79">
        <v>6</v>
      </c>
      <c r="Q241" s="80">
        <f t="shared" si="37"/>
        <v>6.5</v>
      </c>
      <c r="R241" s="87" t="s">
        <v>742</v>
      </c>
      <c r="S241" s="81">
        <v>6.5</v>
      </c>
      <c r="T241" s="82"/>
      <c r="U241" s="83"/>
      <c r="V241" s="84"/>
      <c r="W241" s="84"/>
      <c r="X241" s="84"/>
      <c r="Y241" s="85"/>
      <c r="Z241" s="86">
        <f t="shared" si="38"/>
        <v>32.462962962962962</v>
      </c>
      <c r="AA241" s="61">
        <f t="shared" si="33"/>
        <v>2</v>
      </c>
      <c r="AB241" s="62">
        <f t="shared" si="34"/>
        <v>2</v>
      </c>
      <c r="AC241" s="87" t="s">
        <v>742</v>
      </c>
      <c r="AD241" s="88">
        <v>14</v>
      </c>
      <c r="AE241" s="90"/>
      <c r="AF241" s="92"/>
      <c r="AG241" s="92"/>
      <c r="AH241" s="92"/>
    </row>
    <row r="242" spans="1:34" ht="16.5" customHeight="1" thickBot="1">
      <c r="A242" s="67">
        <v>240</v>
      </c>
      <c r="B242" s="68" t="s">
        <v>743</v>
      </c>
      <c r="C242" s="68" t="s">
        <v>744</v>
      </c>
      <c r="D242" s="69">
        <v>6.5</v>
      </c>
      <c r="E242" s="70">
        <v>7</v>
      </c>
      <c r="F242" s="70">
        <v>7.5</v>
      </c>
      <c r="G242" s="71">
        <f t="shared" si="35"/>
        <v>7</v>
      </c>
      <c r="H242" s="72">
        <v>7</v>
      </c>
      <c r="I242" s="73">
        <v>8</v>
      </c>
      <c r="J242" s="74">
        <v>5.5</v>
      </c>
      <c r="K242" s="74">
        <v>6</v>
      </c>
      <c r="L242" s="75">
        <v>7</v>
      </c>
      <c r="M242" s="76">
        <f t="shared" si="36"/>
        <v>6.166666666666667</v>
      </c>
      <c r="N242" s="77">
        <f t="shared" si="39"/>
        <v>73.592592592592595</v>
      </c>
      <c r="O242" s="78">
        <v>6</v>
      </c>
      <c r="P242" s="79">
        <v>8</v>
      </c>
      <c r="Q242" s="80">
        <f t="shared" si="37"/>
        <v>7</v>
      </c>
      <c r="R242" s="87" t="s">
        <v>745</v>
      </c>
      <c r="S242" s="89">
        <v>7</v>
      </c>
      <c r="T242" s="82"/>
      <c r="U242" s="83"/>
      <c r="V242" s="84"/>
      <c r="W242" s="84"/>
      <c r="X242" s="84"/>
      <c r="Y242" s="85"/>
      <c r="Z242" s="86">
        <f t="shared" si="38"/>
        <v>33.953703703703709</v>
      </c>
      <c r="AA242" s="61">
        <f t="shared" si="33"/>
        <v>2</v>
      </c>
      <c r="AB242" s="62">
        <f t="shared" si="34"/>
        <v>2</v>
      </c>
      <c r="AC242" s="87" t="s">
        <v>745</v>
      </c>
      <c r="AD242" s="88">
        <v>10</v>
      </c>
      <c r="AE242" s="90"/>
      <c r="AF242" s="92"/>
      <c r="AG242" s="92"/>
      <c r="AH242" s="92"/>
    </row>
    <row r="243" spans="1:34" ht="16.5" customHeight="1" thickBot="1">
      <c r="A243" s="67">
        <v>241</v>
      </c>
      <c r="B243" s="68" t="s">
        <v>746</v>
      </c>
      <c r="C243" s="68" t="s">
        <v>747</v>
      </c>
      <c r="D243" s="69">
        <v>6</v>
      </c>
      <c r="E243" s="70">
        <v>6.5</v>
      </c>
      <c r="F243" s="70">
        <v>8</v>
      </c>
      <c r="G243" s="71">
        <f t="shared" si="35"/>
        <v>6.833333333333333</v>
      </c>
      <c r="H243" s="72">
        <v>7</v>
      </c>
      <c r="I243" s="98">
        <v>0</v>
      </c>
      <c r="J243" s="99">
        <v>5.5</v>
      </c>
      <c r="K243" s="99">
        <v>5</v>
      </c>
      <c r="L243" s="100">
        <v>6.5</v>
      </c>
      <c r="M243" s="76">
        <f t="shared" si="36"/>
        <v>5.666666666666667</v>
      </c>
      <c r="N243" s="77">
        <f t="shared" si="39"/>
        <v>54.814814814814817</v>
      </c>
      <c r="O243" s="78">
        <v>6</v>
      </c>
      <c r="P243" s="79">
        <v>7.5</v>
      </c>
      <c r="Q243" s="80">
        <f t="shared" si="37"/>
        <v>6.75</v>
      </c>
      <c r="R243" s="87" t="s">
        <v>748</v>
      </c>
      <c r="S243" s="89">
        <v>7</v>
      </c>
      <c r="T243" s="104"/>
      <c r="U243" s="83"/>
      <c r="V243" s="84"/>
      <c r="W243" s="84"/>
      <c r="X243" s="84"/>
      <c r="Y243" s="85"/>
      <c r="Z243" s="86">
        <f t="shared" si="38"/>
        <v>28.703703703703702</v>
      </c>
      <c r="AA243" s="61">
        <f t="shared" si="33"/>
        <v>2</v>
      </c>
      <c r="AB243" s="62">
        <f t="shared" si="34"/>
        <v>2</v>
      </c>
      <c r="AC243" s="87" t="s">
        <v>748</v>
      </c>
      <c r="AD243" s="88">
        <v>6</v>
      </c>
      <c r="AE243" s="90"/>
      <c r="AF243" s="92"/>
      <c r="AG243" s="92"/>
      <c r="AH243" s="92"/>
    </row>
    <row r="244" spans="1:34" ht="16.5" customHeight="1" thickBot="1">
      <c r="A244" s="67">
        <v>242</v>
      </c>
      <c r="B244" s="68" t="s">
        <v>749</v>
      </c>
      <c r="C244" s="68" t="s">
        <v>750</v>
      </c>
      <c r="D244" s="69"/>
      <c r="E244" s="70"/>
      <c r="F244" s="70"/>
      <c r="G244" s="71">
        <f t="shared" si="35"/>
        <v>0</v>
      </c>
      <c r="H244" s="72"/>
      <c r="I244" s="98"/>
      <c r="J244" s="99"/>
      <c r="K244" s="99"/>
      <c r="L244" s="100"/>
      <c r="M244" s="76" t="e">
        <f t="shared" si="36"/>
        <v>#DIV/0!</v>
      </c>
      <c r="N244" s="77" t="e">
        <f t="shared" si="39"/>
        <v>#DIV/0!</v>
      </c>
      <c r="O244" s="78"/>
      <c r="P244" s="79"/>
      <c r="Q244" s="80" t="e">
        <f t="shared" si="37"/>
        <v>#DIV/0!</v>
      </c>
      <c r="R244" s="87" t="s">
        <v>751</v>
      </c>
      <c r="S244" s="89">
        <v>0</v>
      </c>
      <c r="T244" s="104"/>
      <c r="U244" s="83"/>
      <c r="V244" s="84"/>
      <c r="W244" s="84"/>
      <c r="X244" s="84"/>
      <c r="Y244" s="85"/>
      <c r="Z244" s="86" t="e">
        <f t="shared" si="38"/>
        <v>#DIV/0!</v>
      </c>
      <c r="AA244" s="61" t="e">
        <f t="shared" si="33"/>
        <v>#DIV/0!</v>
      </c>
      <c r="AB244" s="62" t="e">
        <f t="shared" si="34"/>
        <v>#DIV/0!</v>
      </c>
      <c r="AC244" s="87" t="s">
        <v>751</v>
      </c>
      <c r="AD244" s="108" t="s">
        <v>120</v>
      </c>
      <c r="AE244" s="90"/>
      <c r="AF244" s="92"/>
      <c r="AG244" s="92"/>
      <c r="AH244" s="92"/>
    </row>
    <row r="245" spans="1:34" ht="16.5" customHeight="1" thickBot="1">
      <c r="A245" s="67">
        <v>243</v>
      </c>
      <c r="B245" s="68" t="s">
        <v>752</v>
      </c>
      <c r="C245" s="68" t="s">
        <v>753</v>
      </c>
      <c r="D245" s="69">
        <v>5</v>
      </c>
      <c r="E245" s="70">
        <v>4.5</v>
      </c>
      <c r="F245" s="70">
        <v>7.5</v>
      </c>
      <c r="G245" s="71">
        <f t="shared" si="35"/>
        <v>5.666666666666667</v>
      </c>
      <c r="H245" s="72">
        <v>6</v>
      </c>
      <c r="I245" s="98">
        <v>7</v>
      </c>
      <c r="J245" s="99">
        <v>6</v>
      </c>
      <c r="K245" s="99">
        <v>5</v>
      </c>
      <c r="L245" s="100">
        <v>7</v>
      </c>
      <c r="M245" s="76">
        <f t="shared" si="36"/>
        <v>6</v>
      </c>
      <c r="N245" s="77">
        <f t="shared" si="39"/>
        <v>67.333333333333343</v>
      </c>
      <c r="O245" s="78">
        <v>5.5</v>
      </c>
      <c r="P245" s="79">
        <v>5</v>
      </c>
      <c r="Q245" s="80">
        <f t="shared" si="37"/>
        <v>5.25</v>
      </c>
      <c r="R245" s="87" t="s">
        <v>754</v>
      </c>
      <c r="S245" s="81">
        <v>5.5</v>
      </c>
      <c r="T245" s="104"/>
      <c r="U245" s="83"/>
      <c r="V245" s="84"/>
      <c r="W245" s="84"/>
      <c r="X245" s="84"/>
      <c r="Y245" s="85"/>
      <c r="Z245" s="86">
        <f t="shared" si="38"/>
        <v>28.500000000000004</v>
      </c>
      <c r="AA245" s="61">
        <f t="shared" si="33"/>
        <v>2</v>
      </c>
      <c r="AB245" s="62">
        <f t="shared" si="34"/>
        <v>2</v>
      </c>
      <c r="AC245" s="87" t="s">
        <v>754</v>
      </c>
      <c r="AD245" s="88">
        <v>2</v>
      </c>
      <c r="AE245" s="90"/>
      <c r="AF245" s="92"/>
      <c r="AG245" s="92"/>
      <c r="AH245" s="92"/>
    </row>
    <row r="246" spans="1:34" ht="16.5" customHeight="1" thickBot="1">
      <c r="A246" s="67">
        <v>244</v>
      </c>
      <c r="B246" s="68" t="s">
        <v>755</v>
      </c>
      <c r="C246" s="68" t="s">
        <v>756</v>
      </c>
      <c r="D246" s="69">
        <v>5</v>
      </c>
      <c r="E246" s="70">
        <v>6</v>
      </c>
      <c r="F246" s="70">
        <v>6.5</v>
      </c>
      <c r="G246" s="71">
        <f t="shared" si="35"/>
        <v>5.833333333333333</v>
      </c>
      <c r="H246" s="72">
        <v>6</v>
      </c>
      <c r="I246" s="98">
        <v>5</v>
      </c>
      <c r="J246" s="99">
        <v>6</v>
      </c>
      <c r="K246" s="99">
        <v>4.5</v>
      </c>
      <c r="L246" s="100">
        <v>6</v>
      </c>
      <c r="M246" s="76">
        <f t="shared" si="36"/>
        <v>5.5</v>
      </c>
      <c r="N246" s="77">
        <f t="shared" si="39"/>
        <v>60.555555555555557</v>
      </c>
      <c r="O246" s="78">
        <v>4.5</v>
      </c>
      <c r="P246" s="110">
        <v>5.5</v>
      </c>
      <c r="Q246" s="80">
        <f t="shared" si="37"/>
        <v>5</v>
      </c>
      <c r="R246" s="87" t="s">
        <v>757</v>
      </c>
      <c r="S246" s="89">
        <v>5</v>
      </c>
      <c r="T246" s="104"/>
      <c r="U246" s="83"/>
      <c r="V246" s="84"/>
      <c r="W246" s="84"/>
      <c r="X246" s="84"/>
      <c r="Y246" s="85"/>
      <c r="Z246" s="86">
        <f t="shared" si="38"/>
        <v>26.25</v>
      </c>
      <c r="AA246" s="61">
        <f t="shared" si="33"/>
        <v>2</v>
      </c>
      <c r="AB246" s="62">
        <f t="shared" si="34"/>
        <v>2</v>
      </c>
      <c r="AC246" s="87" t="s">
        <v>757</v>
      </c>
      <c r="AD246" s="88">
        <v>11</v>
      </c>
      <c r="AE246" s="90"/>
      <c r="AF246" s="92"/>
      <c r="AG246" s="92"/>
      <c r="AH246" s="92"/>
    </row>
    <row r="247" spans="1:34" ht="16.5" customHeight="1" thickBot="1">
      <c r="A247" s="67">
        <v>245</v>
      </c>
      <c r="B247" s="68" t="s">
        <v>758</v>
      </c>
      <c r="C247" s="68" t="s">
        <v>759</v>
      </c>
      <c r="D247" s="69">
        <v>5.5</v>
      </c>
      <c r="E247" s="70">
        <v>6.5</v>
      </c>
      <c r="F247" s="70">
        <v>7.5</v>
      </c>
      <c r="G247" s="71">
        <f t="shared" si="35"/>
        <v>6.5</v>
      </c>
      <c r="H247" s="72">
        <v>6.5</v>
      </c>
      <c r="I247" s="98">
        <v>4</v>
      </c>
      <c r="J247" s="99">
        <v>5.5</v>
      </c>
      <c r="K247" s="99">
        <v>4.5</v>
      </c>
      <c r="L247" s="100">
        <v>6</v>
      </c>
      <c r="M247" s="76">
        <f t="shared" si="36"/>
        <v>5.333333333333333</v>
      </c>
      <c r="N247" s="77">
        <f t="shared" si="39"/>
        <v>59.296296296296291</v>
      </c>
      <c r="O247" s="78">
        <v>6</v>
      </c>
      <c r="P247" s="79">
        <v>7</v>
      </c>
      <c r="Q247" s="80">
        <f t="shared" si="37"/>
        <v>6.5</v>
      </c>
      <c r="R247" s="87" t="s">
        <v>760</v>
      </c>
      <c r="S247" s="81">
        <v>6.5</v>
      </c>
      <c r="T247" s="104"/>
      <c r="U247" s="83"/>
      <c r="V247" s="84"/>
      <c r="W247" s="84"/>
      <c r="X247" s="84"/>
      <c r="Y247" s="85"/>
      <c r="Z247" s="86">
        <f t="shared" si="38"/>
        <v>29.268518518518519</v>
      </c>
      <c r="AA247" s="61">
        <f t="shared" si="33"/>
        <v>2</v>
      </c>
      <c r="AB247" s="62">
        <f t="shared" si="34"/>
        <v>2</v>
      </c>
      <c r="AC247" s="87" t="s">
        <v>760</v>
      </c>
      <c r="AD247" s="88">
        <v>6</v>
      </c>
      <c r="AE247" s="90"/>
      <c r="AF247" s="92"/>
      <c r="AG247" s="92"/>
      <c r="AH247" s="92"/>
    </row>
    <row r="248" spans="1:34" ht="16.5" customHeight="1" thickBot="1">
      <c r="A248" s="67">
        <v>246</v>
      </c>
      <c r="B248" s="68" t="s">
        <v>761</v>
      </c>
      <c r="C248" s="68" t="s">
        <v>762</v>
      </c>
      <c r="D248" s="69">
        <v>6</v>
      </c>
      <c r="E248" s="70">
        <v>7</v>
      </c>
      <c r="F248" s="70">
        <v>8</v>
      </c>
      <c r="G248" s="71">
        <f t="shared" si="35"/>
        <v>7</v>
      </c>
      <c r="H248" s="72">
        <v>7</v>
      </c>
      <c r="I248" s="98">
        <v>9</v>
      </c>
      <c r="J248" s="99">
        <v>6.5</v>
      </c>
      <c r="K248" s="99">
        <v>5.5</v>
      </c>
      <c r="L248" s="100">
        <v>7</v>
      </c>
      <c r="M248" s="76">
        <f t="shared" si="36"/>
        <v>6.333333333333333</v>
      </c>
      <c r="N248" s="77">
        <f t="shared" si="39"/>
        <v>76.518518518518505</v>
      </c>
      <c r="O248" s="78">
        <v>8</v>
      </c>
      <c r="P248" s="79">
        <v>7.5</v>
      </c>
      <c r="Q248" s="80">
        <f t="shared" si="37"/>
        <v>7.75</v>
      </c>
      <c r="R248" s="87" t="s">
        <v>763</v>
      </c>
      <c r="S248" s="89">
        <v>8</v>
      </c>
      <c r="T248" s="104"/>
      <c r="U248" s="83"/>
      <c r="V248" s="84"/>
      <c r="W248" s="84"/>
      <c r="X248" s="84"/>
      <c r="Y248" s="85"/>
      <c r="Z248" s="86">
        <f t="shared" si="38"/>
        <v>36.351851851851848</v>
      </c>
      <c r="AA248" s="61">
        <f t="shared" si="33"/>
        <v>4</v>
      </c>
      <c r="AB248" s="62">
        <f t="shared" si="34"/>
        <v>3</v>
      </c>
      <c r="AC248" s="87" t="s">
        <v>763</v>
      </c>
      <c r="AD248" s="88">
        <v>14</v>
      </c>
      <c r="AE248" s="90"/>
      <c r="AF248" s="92"/>
      <c r="AG248" s="92"/>
      <c r="AH248" s="92"/>
    </row>
    <row r="249" spans="1:34" ht="16.5" customHeight="1" thickBot="1">
      <c r="A249" s="67">
        <v>247</v>
      </c>
      <c r="B249" s="68" t="s">
        <v>764</v>
      </c>
      <c r="C249" s="68" t="s">
        <v>765</v>
      </c>
      <c r="D249" s="69">
        <v>6</v>
      </c>
      <c r="E249" s="118" t="s">
        <v>766</v>
      </c>
      <c r="F249" s="70">
        <v>9</v>
      </c>
      <c r="G249" s="71">
        <f t="shared" si="35"/>
        <v>7.5</v>
      </c>
      <c r="H249" s="72">
        <v>7.5</v>
      </c>
      <c r="I249" s="98">
        <v>6</v>
      </c>
      <c r="J249" s="99">
        <v>5.5</v>
      </c>
      <c r="K249" s="99">
        <v>5</v>
      </c>
      <c r="L249" s="100">
        <v>6</v>
      </c>
      <c r="M249" s="76">
        <f t="shared" si="36"/>
        <v>5.5</v>
      </c>
      <c r="N249" s="77">
        <f t="shared" si="39"/>
        <v>67.555555555555557</v>
      </c>
      <c r="O249" s="78">
        <v>6</v>
      </c>
      <c r="P249" s="79">
        <v>5</v>
      </c>
      <c r="Q249" s="80">
        <f t="shared" si="37"/>
        <v>5.5</v>
      </c>
      <c r="R249" s="87" t="s">
        <v>767</v>
      </c>
      <c r="S249" s="81">
        <v>5.5</v>
      </c>
      <c r="T249" s="104"/>
      <c r="U249" s="83"/>
      <c r="V249" s="84"/>
      <c r="W249" s="84"/>
      <c r="X249" s="84"/>
      <c r="Y249" s="85"/>
      <c r="Z249" s="86">
        <f t="shared" si="38"/>
        <v>29.111111111111114</v>
      </c>
      <c r="AA249" s="61">
        <f t="shared" si="33"/>
        <v>2</v>
      </c>
      <c r="AB249" s="62">
        <f t="shared" si="34"/>
        <v>2</v>
      </c>
      <c r="AC249" s="87" t="s">
        <v>767</v>
      </c>
      <c r="AD249" s="88">
        <v>8</v>
      </c>
      <c r="AE249" s="90"/>
      <c r="AF249" s="92"/>
      <c r="AG249" s="92"/>
      <c r="AH249" s="92"/>
    </row>
    <row r="250" spans="1:34" ht="16.5" customHeight="1" thickBot="1">
      <c r="A250" s="67">
        <v>248</v>
      </c>
      <c r="B250" s="68" t="s">
        <v>768</v>
      </c>
      <c r="C250" s="68" t="s">
        <v>769</v>
      </c>
      <c r="D250" s="69">
        <v>6.5</v>
      </c>
      <c r="E250" s="118" t="s">
        <v>691</v>
      </c>
      <c r="F250" s="70">
        <v>8.5</v>
      </c>
      <c r="G250" s="71">
        <f t="shared" si="35"/>
        <v>7.5</v>
      </c>
      <c r="H250" s="72">
        <v>7.5</v>
      </c>
      <c r="I250" s="98">
        <v>3</v>
      </c>
      <c r="J250" s="99">
        <v>8</v>
      </c>
      <c r="K250" s="99">
        <v>6.5</v>
      </c>
      <c r="L250" s="100">
        <v>6</v>
      </c>
      <c r="M250" s="76">
        <f t="shared" si="36"/>
        <v>6.833333333333333</v>
      </c>
      <c r="N250" s="77">
        <f t="shared" si="39"/>
        <v>68.962962962962962</v>
      </c>
      <c r="O250" s="78">
        <v>7.5</v>
      </c>
      <c r="P250" s="79">
        <v>7.5</v>
      </c>
      <c r="Q250" s="80">
        <f t="shared" si="37"/>
        <v>7.5</v>
      </c>
      <c r="R250" s="87" t="s">
        <v>770</v>
      </c>
      <c r="S250" s="81">
        <v>7.5</v>
      </c>
      <c r="T250" s="104"/>
      <c r="U250" s="83"/>
      <c r="V250" s="84"/>
      <c r="W250" s="84"/>
      <c r="X250" s="84"/>
      <c r="Y250" s="85"/>
      <c r="Z250" s="86">
        <f t="shared" si="38"/>
        <v>33.907407407407405</v>
      </c>
      <c r="AA250" s="61">
        <f t="shared" si="33"/>
        <v>2</v>
      </c>
      <c r="AB250" s="62">
        <f t="shared" si="34"/>
        <v>2</v>
      </c>
      <c r="AC250" s="87" t="s">
        <v>770</v>
      </c>
      <c r="AD250" s="88">
        <v>14</v>
      </c>
      <c r="AE250" s="90"/>
      <c r="AF250" s="92"/>
      <c r="AG250" s="92"/>
      <c r="AH250" s="92"/>
    </row>
    <row r="251" spans="1:34" ht="16.5" customHeight="1" thickBot="1">
      <c r="A251" s="67">
        <v>249</v>
      </c>
      <c r="B251" s="68" t="s">
        <v>771</v>
      </c>
      <c r="C251" s="68" t="s">
        <v>772</v>
      </c>
      <c r="D251" s="69">
        <v>5</v>
      </c>
      <c r="E251" s="70">
        <v>6</v>
      </c>
      <c r="F251" s="70">
        <v>7.5</v>
      </c>
      <c r="G251" s="71">
        <f t="shared" si="35"/>
        <v>6.166666666666667</v>
      </c>
      <c r="H251" s="72">
        <v>6</v>
      </c>
      <c r="I251" s="98">
        <v>7</v>
      </c>
      <c r="J251" s="99">
        <v>6.5</v>
      </c>
      <c r="K251" s="99">
        <v>6</v>
      </c>
      <c r="L251" s="100">
        <v>7</v>
      </c>
      <c r="M251" s="76">
        <f t="shared" si="36"/>
        <v>6.5</v>
      </c>
      <c r="N251" s="77">
        <f t="shared" si="39"/>
        <v>70.111111111111114</v>
      </c>
      <c r="O251" s="78">
        <v>6</v>
      </c>
      <c r="P251" s="79">
        <v>6</v>
      </c>
      <c r="Q251" s="80">
        <f t="shared" si="37"/>
        <v>6</v>
      </c>
      <c r="R251" s="87" t="s">
        <v>773</v>
      </c>
      <c r="S251" s="89">
        <v>6</v>
      </c>
      <c r="T251" s="104"/>
      <c r="U251" s="83"/>
      <c r="V251" s="84"/>
      <c r="W251" s="84"/>
      <c r="X251" s="84"/>
      <c r="Y251" s="85"/>
      <c r="Z251" s="86">
        <f t="shared" si="38"/>
        <v>30.861111111111114</v>
      </c>
      <c r="AA251" s="61">
        <f t="shared" si="33"/>
        <v>2</v>
      </c>
      <c r="AB251" s="62">
        <f t="shared" si="34"/>
        <v>2</v>
      </c>
      <c r="AC251" s="87" t="s">
        <v>773</v>
      </c>
      <c r="AD251" s="88">
        <v>1</v>
      </c>
      <c r="AE251" s="90"/>
      <c r="AF251" s="92"/>
      <c r="AG251" s="92"/>
      <c r="AH251" s="92"/>
    </row>
    <row r="252" spans="1:34" ht="16.5" customHeight="1" thickBot="1">
      <c r="A252" s="67">
        <v>250</v>
      </c>
      <c r="B252" s="68" t="s">
        <v>774</v>
      </c>
      <c r="C252" s="68" t="s">
        <v>775</v>
      </c>
      <c r="D252" s="69">
        <v>6</v>
      </c>
      <c r="E252" s="70">
        <v>6.5</v>
      </c>
      <c r="F252" s="70">
        <v>8</v>
      </c>
      <c r="G252" s="71">
        <f t="shared" si="35"/>
        <v>6.833333333333333</v>
      </c>
      <c r="H252" s="72">
        <v>7</v>
      </c>
      <c r="I252" s="98">
        <v>7.5</v>
      </c>
      <c r="J252" s="99">
        <v>7</v>
      </c>
      <c r="K252" s="99">
        <v>7</v>
      </c>
      <c r="L252" s="100">
        <v>6.5</v>
      </c>
      <c r="M252" s="76">
        <f t="shared" si="36"/>
        <v>6.833333333333333</v>
      </c>
      <c r="N252" s="77">
        <f t="shared" si="39"/>
        <v>76.296296296296291</v>
      </c>
      <c r="O252" s="78">
        <v>6.5</v>
      </c>
      <c r="P252" s="79">
        <v>8</v>
      </c>
      <c r="Q252" s="80">
        <f t="shared" si="37"/>
        <v>7.25</v>
      </c>
      <c r="R252" s="87" t="s">
        <v>776</v>
      </c>
      <c r="S252" s="81">
        <v>7.5</v>
      </c>
      <c r="T252" s="104"/>
      <c r="U252" s="83"/>
      <c r="V252" s="84"/>
      <c r="W252" s="84"/>
      <c r="X252" s="84"/>
      <c r="Y252" s="85"/>
      <c r="Z252" s="86">
        <f t="shared" si="38"/>
        <v>35.185185185185183</v>
      </c>
      <c r="AA252" s="61">
        <f t="shared" si="33"/>
        <v>4</v>
      </c>
      <c r="AB252" s="62">
        <f t="shared" si="34"/>
        <v>3</v>
      </c>
      <c r="AC252" s="87" t="s">
        <v>776</v>
      </c>
      <c r="AD252" s="88">
        <v>10</v>
      </c>
      <c r="AE252" s="90"/>
      <c r="AF252" s="92"/>
      <c r="AG252" s="92"/>
      <c r="AH252" s="92"/>
    </row>
    <row r="253" spans="1:34" ht="16.5" customHeight="1" thickBot="1">
      <c r="A253" s="67">
        <v>251</v>
      </c>
      <c r="B253" s="68" t="s">
        <v>777</v>
      </c>
      <c r="C253" s="68" t="s">
        <v>778</v>
      </c>
      <c r="D253" s="69"/>
      <c r="E253" s="70"/>
      <c r="F253" s="70"/>
      <c r="G253" s="71">
        <f t="shared" si="35"/>
        <v>0</v>
      </c>
      <c r="H253" s="72"/>
      <c r="I253" s="98">
        <v>0</v>
      </c>
      <c r="J253" s="99"/>
      <c r="K253" s="99"/>
      <c r="L253" s="100"/>
      <c r="M253" s="76" t="e">
        <f t="shared" si="36"/>
        <v>#DIV/0!</v>
      </c>
      <c r="N253" s="77" t="e">
        <f t="shared" si="39"/>
        <v>#DIV/0!</v>
      </c>
      <c r="O253" s="78"/>
      <c r="P253" s="79"/>
      <c r="Q253" s="80" t="e">
        <f t="shared" si="37"/>
        <v>#DIV/0!</v>
      </c>
      <c r="R253" s="87" t="s">
        <v>779</v>
      </c>
      <c r="S253" s="89">
        <v>0</v>
      </c>
      <c r="T253" s="104"/>
      <c r="U253" s="83"/>
      <c r="V253" s="84"/>
      <c r="W253" s="84"/>
      <c r="X253" s="84"/>
      <c r="Y253" s="85"/>
      <c r="Z253" s="86" t="e">
        <f t="shared" si="38"/>
        <v>#DIV/0!</v>
      </c>
      <c r="AA253" s="61" t="e">
        <f t="shared" si="33"/>
        <v>#DIV/0!</v>
      </c>
      <c r="AB253" s="62" t="e">
        <f t="shared" si="34"/>
        <v>#DIV/0!</v>
      </c>
      <c r="AC253" s="87" t="s">
        <v>779</v>
      </c>
      <c r="AD253" s="88">
        <v>12</v>
      </c>
      <c r="AE253" s="90"/>
      <c r="AF253" s="92"/>
      <c r="AG253" s="92"/>
      <c r="AH253" s="92"/>
    </row>
    <row r="254" spans="1:34" ht="16.5" customHeight="1" thickBot="1">
      <c r="A254" s="67">
        <v>252</v>
      </c>
      <c r="B254" s="68" t="s">
        <v>780</v>
      </c>
      <c r="C254" s="68" t="s">
        <v>781</v>
      </c>
      <c r="D254" s="69">
        <v>4</v>
      </c>
      <c r="E254" s="70">
        <v>4.5</v>
      </c>
      <c r="F254" s="70">
        <v>7</v>
      </c>
      <c r="G254" s="71">
        <f t="shared" si="35"/>
        <v>5.166666666666667</v>
      </c>
      <c r="H254" s="72">
        <v>5</v>
      </c>
      <c r="I254" s="98">
        <v>7</v>
      </c>
      <c r="J254" s="99">
        <v>5</v>
      </c>
      <c r="K254" s="99">
        <v>5.5</v>
      </c>
      <c r="L254" s="100">
        <v>7</v>
      </c>
      <c r="M254" s="76">
        <f t="shared" si="36"/>
        <v>5.833333333333333</v>
      </c>
      <c r="N254" s="77">
        <f t="shared" si="39"/>
        <v>63.074074074074076</v>
      </c>
      <c r="O254" s="78">
        <v>4</v>
      </c>
      <c r="P254" s="79">
        <v>3.5</v>
      </c>
      <c r="Q254" s="80">
        <f t="shared" si="37"/>
        <v>3.75</v>
      </c>
      <c r="R254" s="87" t="s">
        <v>782</v>
      </c>
      <c r="S254" s="89">
        <v>4</v>
      </c>
      <c r="T254" s="104"/>
      <c r="U254" s="83"/>
      <c r="V254" s="84"/>
      <c r="W254" s="84"/>
      <c r="X254" s="84"/>
      <c r="Y254" s="85"/>
      <c r="Z254" s="86">
        <f t="shared" si="38"/>
        <v>24.101851851851855</v>
      </c>
      <c r="AA254" s="61">
        <f t="shared" si="33"/>
        <v>2</v>
      </c>
      <c r="AB254" s="62">
        <f t="shared" si="34"/>
        <v>2</v>
      </c>
      <c r="AC254" s="87" t="s">
        <v>782</v>
      </c>
      <c r="AD254" s="88">
        <v>9</v>
      </c>
      <c r="AE254" s="90"/>
      <c r="AF254" s="92"/>
      <c r="AG254" s="92"/>
      <c r="AH254" s="92"/>
    </row>
    <row r="255" spans="1:34" ht="16.5" customHeight="1" thickBot="1">
      <c r="A255" s="67">
        <v>253</v>
      </c>
      <c r="B255" s="68" t="s">
        <v>783</v>
      </c>
      <c r="C255" s="68" t="s">
        <v>784</v>
      </c>
      <c r="D255" s="69">
        <v>7</v>
      </c>
      <c r="E255" s="70">
        <v>7</v>
      </c>
      <c r="F255" s="70">
        <v>8</v>
      </c>
      <c r="G255" s="71">
        <f t="shared" si="35"/>
        <v>7.333333333333333</v>
      </c>
      <c r="H255" s="72">
        <v>7.5</v>
      </c>
      <c r="I255" s="73">
        <v>1</v>
      </c>
      <c r="J255" s="74">
        <v>7</v>
      </c>
      <c r="K255" s="74">
        <v>5.5</v>
      </c>
      <c r="L255" s="75">
        <v>7</v>
      </c>
      <c r="M255" s="76">
        <f t="shared" si="36"/>
        <v>6.5</v>
      </c>
      <c r="N255" s="77">
        <f t="shared" si="39"/>
        <v>63.111111111111114</v>
      </c>
      <c r="O255" s="78">
        <v>8.5</v>
      </c>
      <c r="P255" s="110">
        <v>8.5</v>
      </c>
      <c r="Q255" s="80">
        <f t="shared" si="37"/>
        <v>8.5</v>
      </c>
      <c r="R255" s="87" t="s">
        <v>785</v>
      </c>
      <c r="S255" s="81">
        <v>8.5</v>
      </c>
      <c r="T255" s="82"/>
      <c r="U255" s="83"/>
      <c r="V255" s="84"/>
      <c r="W255" s="84"/>
      <c r="X255" s="84"/>
      <c r="Y255" s="85"/>
      <c r="Z255" s="86">
        <f t="shared" si="38"/>
        <v>34.666666666666671</v>
      </c>
      <c r="AA255" s="61">
        <f t="shared" si="33"/>
        <v>4</v>
      </c>
      <c r="AB255" s="62">
        <f t="shared" si="34"/>
        <v>3</v>
      </c>
      <c r="AC255" s="87" t="s">
        <v>785</v>
      </c>
      <c r="AD255" s="88">
        <v>12</v>
      </c>
      <c r="AE255" s="90"/>
      <c r="AF255" s="92"/>
      <c r="AG255" s="92"/>
      <c r="AH255" s="92"/>
    </row>
    <row r="256" spans="1:34" ht="16.5" customHeight="1" thickBot="1">
      <c r="A256" s="67">
        <v>254</v>
      </c>
      <c r="B256" s="68" t="s">
        <v>786</v>
      </c>
      <c r="C256" s="68" t="s">
        <v>787</v>
      </c>
      <c r="D256" s="69"/>
      <c r="E256" s="70"/>
      <c r="F256" s="70"/>
      <c r="G256" s="71">
        <f t="shared" si="35"/>
        <v>0</v>
      </c>
      <c r="H256" s="72"/>
      <c r="I256" s="73"/>
      <c r="J256" s="74"/>
      <c r="K256" s="74"/>
      <c r="L256" s="75"/>
      <c r="M256" s="76" t="e">
        <f t="shared" si="36"/>
        <v>#DIV/0!</v>
      </c>
      <c r="N256" s="77" t="e">
        <f t="shared" si="39"/>
        <v>#DIV/0!</v>
      </c>
      <c r="O256" s="78"/>
      <c r="P256" s="79"/>
      <c r="Q256" s="80" t="e">
        <f t="shared" si="37"/>
        <v>#DIV/0!</v>
      </c>
      <c r="R256" s="87" t="s">
        <v>788</v>
      </c>
      <c r="S256" s="89">
        <v>0</v>
      </c>
      <c r="T256" s="82"/>
      <c r="U256" s="83"/>
      <c r="V256" s="84"/>
      <c r="W256" s="84"/>
      <c r="X256" s="84"/>
      <c r="Y256" s="85"/>
      <c r="Z256" s="86" t="e">
        <f t="shared" si="38"/>
        <v>#DIV/0!</v>
      </c>
      <c r="AA256" s="61" t="e">
        <f t="shared" si="33"/>
        <v>#DIV/0!</v>
      </c>
      <c r="AB256" s="62" t="e">
        <f t="shared" si="34"/>
        <v>#DIV/0!</v>
      </c>
      <c r="AC256" s="87" t="s">
        <v>788</v>
      </c>
      <c r="AD256" s="108" t="s">
        <v>120</v>
      </c>
      <c r="AE256" s="109" t="s">
        <v>789</v>
      </c>
      <c r="AF256" s="92"/>
      <c r="AG256" s="92"/>
      <c r="AH256" s="92"/>
    </row>
    <row r="257" spans="1:34" ht="16.5" customHeight="1" thickBot="1">
      <c r="A257" s="67">
        <v>255</v>
      </c>
      <c r="B257" s="68" t="s">
        <v>790</v>
      </c>
      <c r="C257" s="68" t="s">
        <v>791</v>
      </c>
      <c r="D257" s="69"/>
      <c r="E257" s="70"/>
      <c r="F257" s="70"/>
      <c r="G257" s="71">
        <f t="shared" si="35"/>
        <v>0</v>
      </c>
      <c r="H257" s="72"/>
      <c r="I257" s="98"/>
      <c r="J257" s="99"/>
      <c r="K257" s="99"/>
      <c r="L257" s="100"/>
      <c r="M257" s="76" t="e">
        <f t="shared" si="36"/>
        <v>#DIV/0!</v>
      </c>
      <c r="N257" s="77" t="e">
        <f t="shared" si="39"/>
        <v>#DIV/0!</v>
      </c>
      <c r="O257" s="78"/>
      <c r="P257" s="79"/>
      <c r="Q257" s="80" t="e">
        <f t="shared" si="37"/>
        <v>#DIV/0!</v>
      </c>
      <c r="R257" s="87" t="s">
        <v>430</v>
      </c>
      <c r="S257" s="89">
        <v>0</v>
      </c>
      <c r="T257" s="104"/>
      <c r="U257" s="83"/>
      <c r="V257" s="84"/>
      <c r="W257" s="84"/>
      <c r="X257" s="84"/>
      <c r="Y257" s="85"/>
      <c r="Z257" s="86" t="e">
        <f t="shared" si="38"/>
        <v>#DIV/0!</v>
      </c>
      <c r="AA257" s="61" t="e">
        <f t="shared" si="33"/>
        <v>#DIV/0!</v>
      </c>
      <c r="AB257" s="62" t="e">
        <f t="shared" si="34"/>
        <v>#DIV/0!</v>
      </c>
      <c r="AC257" s="87" t="s">
        <v>430</v>
      </c>
      <c r="AD257" s="88">
        <v>14</v>
      </c>
      <c r="AE257" s="109" t="s">
        <v>792</v>
      </c>
      <c r="AF257" s="92"/>
      <c r="AG257" s="92"/>
      <c r="AH257" s="92"/>
    </row>
    <row r="258" spans="1:34" ht="16.5" customHeight="1" thickBot="1">
      <c r="A258" s="67">
        <v>256</v>
      </c>
      <c r="B258" s="68" t="s">
        <v>793</v>
      </c>
      <c r="C258" s="68" t="s">
        <v>794</v>
      </c>
      <c r="D258" s="69"/>
      <c r="E258" s="70"/>
      <c r="F258" s="70"/>
      <c r="G258" s="71">
        <f t="shared" si="35"/>
        <v>0</v>
      </c>
      <c r="H258" s="72"/>
      <c r="I258" s="98"/>
      <c r="J258" s="99"/>
      <c r="K258" s="99"/>
      <c r="L258" s="100"/>
      <c r="M258" s="76" t="e">
        <f t="shared" si="36"/>
        <v>#DIV/0!</v>
      </c>
      <c r="N258" s="77" t="e">
        <f t="shared" si="39"/>
        <v>#DIV/0!</v>
      </c>
      <c r="O258" s="78"/>
      <c r="P258" s="79"/>
      <c r="Q258" s="80" t="e">
        <f t="shared" si="37"/>
        <v>#DIV/0!</v>
      </c>
      <c r="R258" s="87" t="s">
        <v>788</v>
      </c>
      <c r="S258" s="89">
        <v>0</v>
      </c>
      <c r="T258" s="104"/>
      <c r="U258" s="83"/>
      <c r="V258" s="84"/>
      <c r="W258" s="84"/>
      <c r="X258" s="84"/>
      <c r="Y258" s="85"/>
      <c r="Z258" s="86" t="e">
        <f t="shared" si="38"/>
        <v>#DIV/0!</v>
      </c>
      <c r="AA258" s="61" t="e">
        <f t="shared" si="33"/>
        <v>#DIV/0!</v>
      </c>
      <c r="AB258" s="62" t="e">
        <f t="shared" si="34"/>
        <v>#DIV/0!</v>
      </c>
      <c r="AC258" s="87" t="s">
        <v>788</v>
      </c>
      <c r="AD258" s="108" t="s">
        <v>120</v>
      </c>
      <c r="AE258" s="109" t="s">
        <v>795</v>
      </c>
      <c r="AF258" s="92"/>
      <c r="AG258" s="92"/>
      <c r="AH258" s="92"/>
    </row>
    <row r="259" spans="1:34" ht="16.5" customHeight="1" thickBot="1">
      <c r="A259" s="67">
        <v>257</v>
      </c>
      <c r="B259" s="68" t="s">
        <v>796</v>
      </c>
      <c r="C259" s="68" t="s">
        <v>797</v>
      </c>
      <c r="D259" s="69">
        <v>6.5</v>
      </c>
      <c r="E259" s="70">
        <v>6.5</v>
      </c>
      <c r="F259" s="70">
        <v>8</v>
      </c>
      <c r="G259" s="71">
        <f t="shared" si="35"/>
        <v>7</v>
      </c>
      <c r="H259" s="72">
        <v>7</v>
      </c>
      <c r="I259" s="98">
        <v>3</v>
      </c>
      <c r="J259" s="99">
        <v>5</v>
      </c>
      <c r="K259" s="99">
        <v>5</v>
      </c>
      <c r="L259" s="100">
        <v>2</v>
      </c>
      <c r="M259" s="76">
        <f t="shared" si="36"/>
        <v>4</v>
      </c>
      <c r="N259" s="77">
        <f t="shared" si="39"/>
        <v>51.555555555555557</v>
      </c>
      <c r="O259" s="78">
        <v>6</v>
      </c>
      <c r="P259" s="79">
        <v>5</v>
      </c>
      <c r="Q259" s="80">
        <f t="shared" si="37"/>
        <v>5.5</v>
      </c>
      <c r="R259" s="87" t="s">
        <v>798</v>
      </c>
      <c r="S259" s="81">
        <v>5.5</v>
      </c>
      <c r="T259" s="104"/>
      <c r="U259" s="83"/>
      <c r="V259" s="84"/>
      <c r="W259" s="84"/>
      <c r="X259" s="84"/>
      <c r="Y259" s="85"/>
      <c r="Z259" s="86">
        <f t="shared" si="38"/>
        <v>25.111111111111114</v>
      </c>
      <c r="AA259" s="61">
        <f t="shared" si="33"/>
        <v>2</v>
      </c>
      <c r="AB259" s="62">
        <f t="shared" si="34"/>
        <v>2</v>
      </c>
      <c r="AC259" s="87" t="s">
        <v>798</v>
      </c>
      <c r="AD259" s="88">
        <v>3</v>
      </c>
      <c r="AE259" s="90"/>
      <c r="AF259" s="92"/>
      <c r="AG259" s="92"/>
      <c r="AH259" s="92"/>
    </row>
    <row r="260" spans="1:34" ht="16.5" customHeight="1" thickBot="1">
      <c r="A260" s="67">
        <v>258</v>
      </c>
      <c r="B260" s="68" t="s">
        <v>799</v>
      </c>
      <c r="C260" s="68" t="s">
        <v>800</v>
      </c>
      <c r="D260" s="69">
        <v>3</v>
      </c>
      <c r="E260" s="70">
        <v>3.5</v>
      </c>
      <c r="F260" s="70">
        <v>4</v>
      </c>
      <c r="G260" s="71">
        <f t="shared" si="35"/>
        <v>3.5</v>
      </c>
      <c r="H260" s="72">
        <v>3.5</v>
      </c>
      <c r="I260" s="98">
        <v>1</v>
      </c>
      <c r="J260" s="99">
        <v>3.5</v>
      </c>
      <c r="K260" s="99">
        <v>4</v>
      </c>
      <c r="L260" s="100">
        <v>5.5</v>
      </c>
      <c r="M260" s="76">
        <f t="shared" si="36"/>
        <v>4.333333333333333</v>
      </c>
      <c r="N260" s="77">
        <f t="shared" si="39"/>
        <v>37.74074074074074</v>
      </c>
      <c r="O260" s="78">
        <v>4.5</v>
      </c>
      <c r="P260" s="79">
        <v>3.5</v>
      </c>
      <c r="Q260" s="80">
        <f t="shared" si="37"/>
        <v>4</v>
      </c>
      <c r="R260" s="87" t="s">
        <v>801</v>
      </c>
      <c r="S260" s="89">
        <v>4</v>
      </c>
      <c r="T260" s="104"/>
      <c r="U260" s="83"/>
      <c r="V260" s="84"/>
      <c r="W260" s="84"/>
      <c r="X260" s="84"/>
      <c r="Y260" s="85"/>
      <c r="Z260" s="86">
        <f t="shared" si="38"/>
        <v>18.324074074074076</v>
      </c>
      <c r="AA260" s="61">
        <f t="shared" ref="AA260:AA319" si="40">IF(Z260&gt;AF$10,AG$10,IF(Z260&gt;AF$9,AG$9,IF(Z260&gt;AF$8,AG$8,IF(Z260&gt;AF$7,AG$7,IF(Z260&gt;AF$6,AG$6,IF(Z260&gt;AF$5,AG$5,IF(Z260&gt;AF$4,AG$4,IF(Z260&gt;AF$3,AG$3,IF(Z260&gt;AF$2,AG$2)))))))))</f>
        <v>2</v>
      </c>
      <c r="AB260" s="62">
        <f t="shared" ref="AB260:AB319" si="41">VLOOKUP(AA260,AG$2:AH$10,2,FALSE)</f>
        <v>2</v>
      </c>
      <c r="AC260" s="87" t="s">
        <v>801</v>
      </c>
      <c r="AD260" s="88">
        <v>12</v>
      </c>
      <c r="AE260" s="90"/>
      <c r="AF260" s="92"/>
      <c r="AG260" s="92"/>
      <c r="AH260" s="92"/>
    </row>
    <row r="261" spans="1:34" ht="16.5" customHeight="1" thickBot="1">
      <c r="A261" s="67">
        <v>259</v>
      </c>
      <c r="B261" s="68" t="s">
        <v>802</v>
      </c>
      <c r="C261" s="68" t="s">
        <v>803</v>
      </c>
      <c r="D261" s="69">
        <v>5.5</v>
      </c>
      <c r="E261" s="70">
        <v>5.5</v>
      </c>
      <c r="F261" s="70">
        <v>7.5</v>
      </c>
      <c r="G261" s="71">
        <f t="shared" si="35"/>
        <v>6.166666666666667</v>
      </c>
      <c r="H261" s="72">
        <v>6</v>
      </c>
      <c r="I261" s="98">
        <v>6</v>
      </c>
      <c r="J261" s="99">
        <v>5.5</v>
      </c>
      <c r="K261" s="99">
        <v>5.5</v>
      </c>
      <c r="L261" s="100">
        <v>6.5</v>
      </c>
      <c r="M261" s="76">
        <f t="shared" si="36"/>
        <v>5.833333333333333</v>
      </c>
      <c r="N261" s="77">
        <f t="shared" si="39"/>
        <v>64.407407407407405</v>
      </c>
      <c r="O261" s="78">
        <v>6</v>
      </c>
      <c r="P261" s="79">
        <v>5</v>
      </c>
      <c r="Q261" s="80">
        <f t="shared" si="37"/>
        <v>5.5</v>
      </c>
      <c r="R261" s="87" t="s">
        <v>804</v>
      </c>
      <c r="S261" s="81">
        <v>5.5</v>
      </c>
      <c r="T261" s="104"/>
      <c r="U261" s="83"/>
      <c r="V261" s="84"/>
      <c r="W261" s="84"/>
      <c r="X261" s="84"/>
      <c r="Y261" s="85"/>
      <c r="Z261" s="86">
        <f t="shared" si="38"/>
        <v>28.324074074074076</v>
      </c>
      <c r="AA261" s="61">
        <f t="shared" si="40"/>
        <v>2</v>
      </c>
      <c r="AB261" s="62">
        <f t="shared" si="41"/>
        <v>2</v>
      </c>
      <c r="AC261" s="87" t="s">
        <v>804</v>
      </c>
      <c r="AD261" s="88">
        <v>15</v>
      </c>
      <c r="AE261" s="90"/>
      <c r="AF261" s="92"/>
      <c r="AG261" s="92"/>
      <c r="AH261" s="92"/>
    </row>
    <row r="262" spans="1:34" ht="16.5" customHeight="1" thickBot="1">
      <c r="A262" s="67">
        <v>260</v>
      </c>
      <c r="B262" s="68" t="s">
        <v>805</v>
      </c>
      <c r="C262" s="68" t="s">
        <v>806</v>
      </c>
      <c r="D262" s="69">
        <v>5.5</v>
      </c>
      <c r="E262" s="118" t="s">
        <v>766</v>
      </c>
      <c r="F262" s="70">
        <v>8</v>
      </c>
      <c r="G262" s="71">
        <f t="shared" si="35"/>
        <v>6.75</v>
      </c>
      <c r="H262" s="72">
        <v>7</v>
      </c>
      <c r="I262" s="98">
        <v>6</v>
      </c>
      <c r="J262" s="99">
        <v>5.5</v>
      </c>
      <c r="K262" s="99">
        <v>4.5</v>
      </c>
      <c r="L262" s="100">
        <v>6</v>
      </c>
      <c r="M262" s="76">
        <f t="shared" si="36"/>
        <v>5.333333333333333</v>
      </c>
      <c r="N262" s="77">
        <f t="shared" si="39"/>
        <v>64.962962962962962</v>
      </c>
      <c r="O262" s="78">
        <v>5</v>
      </c>
      <c r="P262" s="79">
        <v>6</v>
      </c>
      <c r="Q262" s="80">
        <f t="shared" si="37"/>
        <v>5.5</v>
      </c>
      <c r="R262" s="87" t="s">
        <v>807</v>
      </c>
      <c r="S262" s="81">
        <v>5.5</v>
      </c>
      <c r="T262" s="104"/>
      <c r="U262" s="83"/>
      <c r="V262" s="84"/>
      <c r="W262" s="84"/>
      <c r="X262" s="84"/>
      <c r="Y262" s="85"/>
      <c r="Z262" s="86">
        <f t="shared" si="38"/>
        <v>28.462962962962962</v>
      </c>
      <c r="AA262" s="61">
        <f t="shared" si="40"/>
        <v>2</v>
      </c>
      <c r="AB262" s="62">
        <f t="shared" si="41"/>
        <v>2</v>
      </c>
      <c r="AC262" s="87" t="s">
        <v>807</v>
      </c>
      <c r="AD262" s="88">
        <v>2</v>
      </c>
      <c r="AE262" s="90"/>
      <c r="AF262" s="92"/>
      <c r="AG262" s="92"/>
      <c r="AH262" s="92"/>
    </row>
    <row r="263" spans="1:34" ht="16.5" customHeight="1" thickBot="1">
      <c r="A263" s="67">
        <v>261</v>
      </c>
      <c r="B263" s="68" t="s">
        <v>808</v>
      </c>
      <c r="C263" s="68" t="s">
        <v>809</v>
      </c>
      <c r="D263" s="69">
        <v>5.5</v>
      </c>
      <c r="E263" s="70">
        <v>6</v>
      </c>
      <c r="F263" s="70">
        <v>8</v>
      </c>
      <c r="G263" s="71">
        <f t="shared" si="35"/>
        <v>6.5</v>
      </c>
      <c r="H263" s="72">
        <v>6.5</v>
      </c>
      <c r="I263" s="98">
        <v>2</v>
      </c>
      <c r="J263" s="99">
        <v>6</v>
      </c>
      <c r="K263" s="99">
        <v>4.5</v>
      </c>
      <c r="L263" s="100">
        <v>6.5</v>
      </c>
      <c r="M263" s="76">
        <f t="shared" si="36"/>
        <v>5.666666666666667</v>
      </c>
      <c r="N263" s="77">
        <f t="shared" si="39"/>
        <v>57.148148148148152</v>
      </c>
      <c r="O263" s="78">
        <v>5</v>
      </c>
      <c r="P263" s="79">
        <v>6</v>
      </c>
      <c r="Q263" s="80">
        <f t="shared" si="37"/>
        <v>5.5</v>
      </c>
      <c r="R263" s="87" t="s">
        <v>810</v>
      </c>
      <c r="S263" s="81">
        <v>5.5</v>
      </c>
      <c r="T263" s="104"/>
      <c r="U263" s="83"/>
      <c r="V263" s="84"/>
      <c r="W263" s="84"/>
      <c r="X263" s="84"/>
      <c r="Y263" s="85"/>
      <c r="Z263" s="86">
        <f t="shared" si="38"/>
        <v>26.50925925925926</v>
      </c>
      <c r="AA263" s="61">
        <f t="shared" si="40"/>
        <v>2</v>
      </c>
      <c r="AB263" s="62">
        <f t="shared" si="41"/>
        <v>2</v>
      </c>
      <c r="AC263" s="87" t="s">
        <v>810</v>
      </c>
      <c r="AD263" s="108" t="s">
        <v>113</v>
      </c>
      <c r="AE263" s="90"/>
      <c r="AF263" s="92"/>
      <c r="AG263" s="92"/>
      <c r="AH263" s="92"/>
    </row>
    <row r="264" spans="1:34" ht="16.5" customHeight="1" thickBot="1">
      <c r="A264" s="67">
        <v>262</v>
      </c>
      <c r="B264" s="68" t="s">
        <v>811</v>
      </c>
      <c r="C264" s="68" t="s">
        <v>812</v>
      </c>
      <c r="D264" s="69">
        <v>4</v>
      </c>
      <c r="E264" s="70">
        <v>6</v>
      </c>
      <c r="F264" s="70">
        <v>6.5</v>
      </c>
      <c r="G264" s="71">
        <f t="shared" si="35"/>
        <v>5.5</v>
      </c>
      <c r="H264" s="72">
        <v>5.5</v>
      </c>
      <c r="I264" s="98">
        <v>4.5</v>
      </c>
      <c r="J264" s="99">
        <v>5.5</v>
      </c>
      <c r="K264" s="99">
        <v>6</v>
      </c>
      <c r="L264" s="100">
        <v>6.5</v>
      </c>
      <c r="M264" s="76">
        <f t="shared" si="36"/>
        <v>6</v>
      </c>
      <c r="N264" s="77">
        <f t="shared" si="39"/>
        <v>60.666666666666671</v>
      </c>
      <c r="O264" s="78">
        <v>6</v>
      </c>
      <c r="P264" s="79">
        <v>4.5</v>
      </c>
      <c r="Q264" s="80">
        <f t="shared" si="37"/>
        <v>5.25</v>
      </c>
      <c r="R264" s="87" t="s">
        <v>813</v>
      </c>
      <c r="S264" s="81">
        <v>5.5</v>
      </c>
      <c r="T264" s="104"/>
      <c r="U264" s="83"/>
      <c r="V264" s="84"/>
      <c r="W264" s="84"/>
      <c r="X264" s="84"/>
      <c r="Y264" s="85"/>
      <c r="Z264" s="86">
        <f t="shared" si="38"/>
        <v>26.833333333333336</v>
      </c>
      <c r="AA264" s="61">
        <f t="shared" si="40"/>
        <v>2</v>
      </c>
      <c r="AB264" s="62">
        <f t="shared" si="41"/>
        <v>2</v>
      </c>
      <c r="AC264" s="87" t="s">
        <v>813</v>
      </c>
      <c r="AD264" s="108" t="s">
        <v>113</v>
      </c>
      <c r="AE264" s="90"/>
      <c r="AF264" s="92"/>
      <c r="AG264" s="92"/>
      <c r="AH264" s="92"/>
    </row>
    <row r="265" spans="1:34" ht="16.5" customHeight="1" thickBot="1">
      <c r="A265" s="67">
        <v>263</v>
      </c>
      <c r="B265" s="68" t="s">
        <v>814</v>
      </c>
      <c r="C265" s="68" t="s">
        <v>815</v>
      </c>
      <c r="D265" s="69">
        <v>8</v>
      </c>
      <c r="E265" s="118" t="s">
        <v>816</v>
      </c>
      <c r="F265" s="70">
        <v>8</v>
      </c>
      <c r="G265" s="71">
        <f t="shared" si="35"/>
        <v>8</v>
      </c>
      <c r="H265" s="72">
        <v>8</v>
      </c>
      <c r="I265" s="98">
        <v>4</v>
      </c>
      <c r="J265" s="99">
        <v>6.5</v>
      </c>
      <c r="K265" s="99">
        <v>4.5</v>
      </c>
      <c r="L265" s="100">
        <v>6</v>
      </c>
      <c r="M265" s="76">
        <f t="shared" si="36"/>
        <v>5.666666666666667</v>
      </c>
      <c r="N265" s="77">
        <f t="shared" si="39"/>
        <v>66.148148148148152</v>
      </c>
      <c r="O265" s="119">
        <v>5.5</v>
      </c>
      <c r="P265" s="79">
        <v>5</v>
      </c>
      <c r="Q265" s="80">
        <v>5.3</v>
      </c>
      <c r="R265" s="87" t="s">
        <v>817</v>
      </c>
      <c r="S265" s="89">
        <v>5.5</v>
      </c>
      <c r="T265" s="104"/>
      <c r="U265" s="83"/>
      <c r="V265" s="84"/>
      <c r="W265" s="84"/>
      <c r="X265" s="84"/>
      <c r="Y265" s="85"/>
      <c r="Z265" s="86">
        <f t="shared" si="38"/>
        <v>28.314814814814817</v>
      </c>
      <c r="AA265" s="61">
        <f t="shared" si="40"/>
        <v>2</v>
      </c>
      <c r="AB265" s="62">
        <f t="shared" si="41"/>
        <v>2</v>
      </c>
      <c r="AC265" s="87" t="s">
        <v>817</v>
      </c>
      <c r="AD265" s="88">
        <v>12</v>
      </c>
      <c r="AE265" s="90"/>
      <c r="AF265" s="92"/>
      <c r="AG265" s="92"/>
      <c r="AH265" s="92"/>
    </row>
    <row r="266" spans="1:34" ht="16.5" customHeight="1" thickBot="1">
      <c r="A266" s="67">
        <v>264</v>
      </c>
      <c r="B266" s="68" t="s">
        <v>818</v>
      </c>
      <c r="C266" s="68" t="s">
        <v>819</v>
      </c>
      <c r="D266" s="69">
        <v>5</v>
      </c>
      <c r="E266" s="70">
        <v>7</v>
      </c>
      <c r="F266" s="70">
        <v>7.5</v>
      </c>
      <c r="G266" s="71">
        <f t="shared" si="35"/>
        <v>6.5</v>
      </c>
      <c r="H266" s="72">
        <v>6.5</v>
      </c>
      <c r="I266" s="98">
        <v>7.5</v>
      </c>
      <c r="J266" s="99">
        <v>6.5</v>
      </c>
      <c r="K266" s="99">
        <v>6</v>
      </c>
      <c r="L266" s="100">
        <v>8</v>
      </c>
      <c r="M266" s="76">
        <f t="shared" si="36"/>
        <v>6.833333333333333</v>
      </c>
      <c r="N266" s="77">
        <f t="shared" si="39"/>
        <v>74.629629629629633</v>
      </c>
      <c r="O266" s="78">
        <v>6</v>
      </c>
      <c r="P266" s="79">
        <v>7.5</v>
      </c>
      <c r="Q266" s="80">
        <f>AVERAGE(O266:P266)</f>
        <v>6.75</v>
      </c>
      <c r="R266" s="87" t="s">
        <v>820</v>
      </c>
      <c r="S266" s="89">
        <v>7</v>
      </c>
      <c r="T266" s="104"/>
      <c r="U266" s="83"/>
      <c r="V266" s="84"/>
      <c r="W266" s="84"/>
      <c r="X266" s="84"/>
      <c r="Y266" s="85"/>
      <c r="Z266" s="86">
        <f t="shared" si="38"/>
        <v>33.657407407407405</v>
      </c>
      <c r="AA266" s="61">
        <f t="shared" si="40"/>
        <v>2</v>
      </c>
      <c r="AB266" s="62">
        <f t="shared" si="41"/>
        <v>2</v>
      </c>
      <c r="AC266" s="87" t="s">
        <v>820</v>
      </c>
      <c r="AD266" s="88">
        <v>13</v>
      </c>
      <c r="AE266" s="90"/>
      <c r="AF266" s="92"/>
      <c r="AG266" s="92"/>
      <c r="AH266" s="92"/>
    </row>
    <row r="267" spans="1:34" ht="16.5" customHeight="1" thickBot="1">
      <c r="A267" s="67">
        <v>265</v>
      </c>
      <c r="B267" s="66" t="s">
        <v>821</v>
      </c>
      <c r="C267" s="66"/>
      <c r="D267" s="94"/>
      <c r="E267" s="95"/>
      <c r="F267" s="95"/>
      <c r="G267" s="96"/>
      <c r="H267" s="97"/>
      <c r="I267" s="98"/>
      <c r="J267" s="116"/>
      <c r="K267" s="116"/>
      <c r="L267" s="117"/>
      <c r="M267" s="101"/>
      <c r="N267" s="102"/>
      <c r="O267" s="78">
        <v>4</v>
      </c>
      <c r="P267" s="79">
        <v>4</v>
      </c>
      <c r="Q267" s="103">
        <v>4</v>
      </c>
      <c r="R267" s="101">
        <v>0</v>
      </c>
      <c r="S267" s="89">
        <v>4</v>
      </c>
      <c r="T267" s="104"/>
      <c r="U267" s="105"/>
      <c r="V267" s="95"/>
      <c r="W267" s="95"/>
      <c r="X267" s="95"/>
      <c r="Y267" s="106"/>
      <c r="Z267" s="105"/>
      <c r="AA267" s="61" t="b">
        <f t="shared" si="40"/>
        <v>0</v>
      </c>
      <c r="AB267" s="62" t="e">
        <f t="shared" si="41"/>
        <v>#N/A</v>
      </c>
      <c r="AC267" s="101">
        <v>0</v>
      </c>
      <c r="AD267" s="107"/>
      <c r="AE267" s="90"/>
      <c r="AF267" s="92"/>
      <c r="AG267" s="92"/>
      <c r="AH267" s="92"/>
    </row>
    <row r="268" spans="1:34" ht="16.5" customHeight="1" thickBot="1">
      <c r="A268" s="67">
        <v>266</v>
      </c>
      <c r="B268" s="68" t="s">
        <v>822</v>
      </c>
      <c r="C268" s="68" t="s">
        <v>823</v>
      </c>
      <c r="D268" s="69"/>
      <c r="E268" s="70"/>
      <c r="F268" s="70"/>
      <c r="G268" s="71">
        <f t="shared" ref="G268:G279" si="42">IFERROR(AVERAGE(D268:F268),)</f>
        <v>0</v>
      </c>
      <c r="H268" s="72"/>
      <c r="I268" s="98"/>
      <c r="J268" s="99"/>
      <c r="K268" s="99"/>
      <c r="L268" s="100"/>
      <c r="M268" s="76" t="e">
        <f t="shared" ref="M268:M279" si="43">AVERAGE(J268:L268)</f>
        <v>#DIV/0!</v>
      </c>
      <c r="N268" s="77" t="e">
        <f t="shared" ref="N268:N279" si="44">H268*30/9+2*I268+M268*50/9</f>
        <v>#DIV/0!</v>
      </c>
      <c r="O268" s="78"/>
      <c r="P268" s="79"/>
      <c r="Q268" s="80" t="e">
        <f t="shared" ref="Q268:Q279" si="45">AVERAGE(O268:P268)</f>
        <v>#DIV/0!</v>
      </c>
      <c r="R268" s="87" t="s">
        <v>788</v>
      </c>
      <c r="S268" s="89">
        <v>0</v>
      </c>
      <c r="T268" s="104"/>
      <c r="U268" s="83"/>
      <c r="V268" s="84"/>
      <c r="W268" s="84"/>
      <c r="X268" s="84"/>
      <c r="Y268" s="85"/>
      <c r="Z268" s="86" t="e">
        <f t="shared" ref="Z268:Z279" si="46">0.25*N268+0.15*T268*10+20/9*Q268+40/9*Y268</f>
        <v>#DIV/0!</v>
      </c>
      <c r="AA268" s="61" t="e">
        <f t="shared" si="40"/>
        <v>#DIV/0!</v>
      </c>
      <c r="AB268" s="62" t="e">
        <f t="shared" si="41"/>
        <v>#DIV/0!</v>
      </c>
      <c r="AC268" s="87" t="s">
        <v>788</v>
      </c>
      <c r="AD268" s="108" t="s">
        <v>120</v>
      </c>
      <c r="AE268" s="109" t="s">
        <v>795</v>
      </c>
      <c r="AF268" s="92"/>
      <c r="AG268" s="92"/>
      <c r="AH268" s="92"/>
    </row>
    <row r="269" spans="1:34" ht="16.5" customHeight="1" thickBot="1">
      <c r="A269" s="67">
        <v>267</v>
      </c>
      <c r="B269" s="68" t="s">
        <v>824</v>
      </c>
      <c r="C269" s="68" t="s">
        <v>825</v>
      </c>
      <c r="D269" s="69">
        <v>4.5</v>
      </c>
      <c r="E269" s="70">
        <v>5.5</v>
      </c>
      <c r="F269" s="70">
        <v>7</v>
      </c>
      <c r="G269" s="71">
        <f t="shared" si="42"/>
        <v>5.666666666666667</v>
      </c>
      <c r="H269" s="72">
        <v>5.5</v>
      </c>
      <c r="I269" s="73">
        <v>3</v>
      </c>
      <c r="J269" s="74">
        <v>5</v>
      </c>
      <c r="K269" s="74">
        <v>5</v>
      </c>
      <c r="L269" s="75">
        <v>6</v>
      </c>
      <c r="M269" s="76">
        <f t="shared" si="43"/>
        <v>5.333333333333333</v>
      </c>
      <c r="N269" s="77">
        <f t="shared" si="44"/>
        <v>53.962962962962962</v>
      </c>
      <c r="O269" s="78">
        <v>4.5</v>
      </c>
      <c r="P269" s="79">
        <v>4</v>
      </c>
      <c r="Q269" s="80">
        <f t="shared" si="45"/>
        <v>4.25</v>
      </c>
      <c r="R269" s="87" t="s">
        <v>826</v>
      </c>
      <c r="S269" s="81">
        <v>4.5</v>
      </c>
      <c r="T269" s="82"/>
      <c r="U269" s="83"/>
      <c r="V269" s="84"/>
      <c r="W269" s="84"/>
      <c r="X269" s="84"/>
      <c r="Y269" s="85"/>
      <c r="Z269" s="86">
        <f t="shared" si="46"/>
        <v>22.935185185185183</v>
      </c>
      <c r="AA269" s="61">
        <f t="shared" si="40"/>
        <v>2</v>
      </c>
      <c r="AB269" s="62">
        <f t="shared" si="41"/>
        <v>2</v>
      </c>
      <c r="AC269" s="87" t="s">
        <v>826</v>
      </c>
      <c r="AD269" s="88">
        <v>15</v>
      </c>
      <c r="AE269" s="90"/>
      <c r="AF269" s="92"/>
      <c r="AG269" s="92"/>
      <c r="AH269" s="92"/>
    </row>
    <row r="270" spans="1:34" ht="16.5" customHeight="1" thickBot="1">
      <c r="A270" s="67">
        <v>268</v>
      </c>
      <c r="B270" s="68" t="s">
        <v>827</v>
      </c>
      <c r="C270" s="68" t="s">
        <v>828</v>
      </c>
      <c r="D270" s="69">
        <v>4</v>
      </c>
      <c r="E270" s="70">
        <v>6</v>
      </c>
      <c r="F270" s="70">
        <v>4</v>
      </c>
      <c r="G270" s="71">
        <f t="shared" si="42"/>
        <v>4.666666666666667</v>
      </c>
      <c r="H270" s="72">
        <v>4.5</v>
      </c>
      <c r="I270" s="73">
        <v>6</v>
      </c>
      <c r="J270" s="74">
        <v>5.5</v>
      </c>
      <c r="K270" s="74">
        <v>4</v>
      </c>
      <c r="L270" s="75">
        <v>6.5</v>
      </c>
      <c r="M270" s="76">
        <f t="shared" si="43"/>
        <v>5.333333333333333</v>
      </c>
      <c r="N270" s="77">
        <f t="shared" si="44"/>
        <v>56.629629629629626</v>
      </c>
      <c r="O270" s="119">
        <v>5.5</v>
      </c>
      <c r="P270" s="79">
        <v>4.5</v>
      </c>
      <c r="Q270" s="80">
        <f t="shared" si="45"/>
        <v>5</v>
      </c>
      <c r="R270" s="87" t="s">
        <v>829</v>
      </c>
      <c r="S270" s="89">
        <v>5</v>
      </c>
      <c r="T270" s="82"/>
      <c r="U270" s="83"/>
      <c r="V270" s="84"/>
      <c r="W270" s="84"/>
      <c r="X270" s="84"/>
      <c r="Y270" s="85"/>
      <c r="Z270" s="86">
        <f t="shared" si="46"/>
        <v>25.268518518518519</v>
      </c>
      <c r="AA270" s="61">
        <f t="shared" si="40"/>
        <v>2</v>
      </c>
      <c r="AB270" s="62">
        <f t="shared" si="41"/>
        <v>2</v>
      </c>
      <c r="AC270" s="87" t="s">
        <v>829</v>
      </c>
      <c r="AD270" s="88">
        <v>3</v>
      </c>
      <c r="AE270" s="90"/>
      <c r="AF270" s="92"/>
      <c r="AG270" s="92"/>
      <c r="AH270" s="92"/>
    </row>
    <row r="271" spans="1:34" ht="16.5" customHeight="1" thickBot="1">
      <c r="A271" s="67">
        <v>269</v>
      </c>
      <c r="B271" s="68" t="s">
        <v>830</v>
      </c>
      <c r="C271" s="68" t="s">
        <v>831</v>
      </c>
      <c r="D271" s="69">
        <v>6</v>
      </c>
      <c r="E271" s="70">
        <v>6</v>
      </c>
      <c r="F271" s="70">
        <v>8</v>
      </c>
      <c r="G271" s="71">
        <f t="shared" si="42"/>
        <v>6.666666666666667</v>
      </c>
      <c r="H271" s="72">
        <v>6.5</v>
      </c>
      <c r="I271" s="73">
        <v>6</v>
      </c>
      <c r="J271" s="74">
        <v>5.5</v>
      </c>
      <c r="K271" s="74">
        <v>4.5</v>
      </c>
      <c r="L271" s="75">
        <v>7</v>
      </c>
      <c r="M271" s="76">
        <f t="shared" si="43"/>
        <v>5.666666666666667</v>
      </c>
      <c r="N271" s="77">
        <f t="shared" si="44"/>
        <v>65.148148148148152</v>
      </c>
      <c r="O271" s="78">
        <v>7</v>
      </c>
      <c r="P271" s="79">
        <v>4.5</v>
      </c>
      <c r="Q271" s="80">
        <f t="shared" si="45"/>
        <v>5.75</v>
      </c>
      <c r="R271" s="87" t="s">
        <v>832</v>
      </c>
      <c r="S271" s="89">
        <v>6</v>
      </c>
      <c r="T271" s="82"/>
      <c r="U271" s="83"/>
      <c r="V271" s="84"/>
      <c r="W271" s="84"/>
      <c r="X271" s="84"/>
      <c r="Y271" s="85"/>
      <c r="Z271" s="86">
        <f t="shared" si="46"/>
        <v>29.064814814814817</v>
      </c>
      <c r="AA271" s="61">
        <f t="shared" si="40"/>
        <v>2</v>
      </c>
      <c r="AB271" s="62">
        <f t="shared" si="41"/>
        <v>2</v>
      </c>
      <c r="AC271" s="87" t="s">
        <v>832</v>
      </c>
      <c r="AD271" s="88">
        <v>13</v>
      </c>
      <c r="AE271" s="90"/>
      <c r="AF271" s="92"/>
      <c r="AG271" s="92"/>
      <c r="AH271" s="92"/>
    </row>
    <row r="272" spans="1:34" ht="16.5" customHeight="1" thickBot="1">
      <c r="A272" s="67">
        <v>270</v>
      </c>
      <c r="B272" s="68" t="s">
        <v>833</v>
      </c>
      <c r="C272" s="68" t="s">
        <v>834</v>
      </c>
      <c r="D272" s="69">
        <v>3.5</v>
      </c>
      <c r="E272" s="70">
        <v>5</v>
      </c>
      <c r="F272" s="70">
        <v>6</v>
      </c>
      <c r="G272" s="71">
        <f t="shared" si="42"/>
        <v>4.833333333333333</v>
      </c>
      <c r="H272" s="72">
        <v>5</v>
      </c>
      <c r="I272" s="73">
        <v>5</v>
      </c>
      <c r="J272" s="74">
        <v>5</v>
      </c>
      <c r="K272" s="74">
        <v>4.5</v>
      </c>
      <c r="L272" s="75">
        <v>4</v>
      </c>
      <c r="M272" s="76">
        <f t="shared" si="43"/>
        <v>4.5</v>
      </c>
      <c r="N272" s="77">
        <f t="shared" si="44"/>
        <v>51.666666666666671</v>
      </c>
      <c r="O272" s="78">
        <v>5</v>
      </c>
      <c r="P272" s="79">
        <v>3.5</v>
      </c>
      <c r="Q272" s="80">
        <f t="shared" si="45"/>
        <v>4.25</v>
      </c>
      <c r="R272" s="87" t="s">
        <v>835</v>
      </c>
      <c r="S272" s="81">
        <v>4.5</v>
      </c>
      <c r="T272" s="82"/>
      <c r="U272" s="83"/>
      <c r="V272" s="84"/>
      <c r="W272" s="84"/>
      <c r="X272" s="84"/>
      <c r="Y272" s="85"/>
      <c r="Z272" s="86">
        <f t="shared" si="46"/>
        <v>22.361111111111114</v>
      </c>
      <c r="AA272" s="61">
        <f t="shared" si="40"/>
        <v>2</v>
      </c>
      <c r="AB272" s="62">
        <f t="shared" si="41"/>
        <v>2</v>
      </c>
      <c r="AC272" s="87" t="s">
        <v>835</v>
      </c>
      <c r="AD272" s="88">
        <v>14</v>
      </c>
      <c r="AE272" s="90"/>
      <c r="AF272" s="92"/>
      <c r="AG272" s="92"/>
      <c r="AH272" s="92"/>
    </row>
    <row r="273" spans="1:34" ht="16.5" customHeight="1" thickBot="1">
      <c r="A273" s="67">
        <v>271</v>
      </c>
      <c r="B273" s="68" t="s">
        <v>836</v>
      </c>
      <c r="C273" s="68" t="s">
        <v>837</v>
      </c>
      <c r="D273" s="69">
        <v>6</v>
      </c>
      <c r="E273" s="70">
        <v>7</v>
      </c>
      <c r="F273" s="70">
        <v>7.5</v>
      </c>
      <c r="G273" s="71">
        <f t="shared" si="42"/>
        <v>6.833333333333333</v>
      </c>
      <c r="H273" s="72">
        <v>7</v>
      </c>
      <c r="I273" s="73">
        <v>9</v>
      </c>
      <c r="J273" s="74">
        <v>6</v>
      </c>
      <c r="K273" s="74">
        <v>5.5</v>
      </c>
      <c r="L273" s="75">
        <v>7</v>
      </c>
      <c r="M273" s="76">
        <f t="shared" si="43"/>
        <v>6.166666666666667</v>
      </c>
      <c r="N273" s="77">
        <f t="shared" si="44"/>
        <v>75.592592592592595</v>
      </c>
      <c r="O273" s="119">
        <v>6.5</v>
      </c>
      <c r="P273" s="79">
        <v>7</v>
      </c>
      <c r="Q273" s="80">
        <f t="shared" si="45"/>
        <v>6.75</v>
      </c>
      <c r="R273" s="87" t="s">
        <v>838</v>
      </c>
      <c r="S273" s="89">
        <v>7</v>
      </c>
      <c r="T273" s="82"/>
      <c r="U273" s="83"/>
      <c r="V273" s="84"/>
      <c r="W273" s="84"/>
      <c r="X273" s="84"/>
      <c r="Y273" s="85"/>
      <c r="Z273" s="86">
        <f t="shared" si="46"/>
        <v>33.898148148148152</v>
      </c>
      <c r="AA273" s="61">
        <f t="shared" si="40"/>
        <v>2</v>
      </c>
      <c r="AB273" s="62">
        <f t="shared" si="41"/>
        <v>2</v>
      </c>
      <c r="AC273" s="87" t="s">
        <v>838</v>
      </c>
      <c r="AD273" s="88">
        <v>5</v>
      </c>
      <c r="AE273" s="90"/>
      <c r="AF273" s="92"/>
      <c r="AG273" s="92"/>
      <c r="AH273" s="92"/>
    </row>
    <row r="274" spans="1:34" ht="16.5" customHeight="1" thickBot="1">
      <c r="A274" s="67">
        <v>272</v>
      </c>
      <c r="B274" s="68" t="s">
        <v>839</v>
      </c>
      <c r="C274" s="68" t="s">
        <v>840</v>
      </c>
      <c r="D274" s="120">
        <v>5</v>
      </c>
      <c r="E274" s="99">
        <v>6.5</v>
      </c>
      <c r="F274" s="99">
        <v>7</v>
      </c>
      <c r="G274" s="71">
        <f t="shared" si="42"/>
        <v>6.166666666666667</v>
      </c>
      <c r="H274" s="72">
        <v>6</v>
      </c>
      <c r="I274" s="73">
        <v>4</v>
      </c>
      <c r="J274" s="74">
        <v>6</v>
      </c>
      <c r="K274" s="74">
        <v>4.5</v>
      </c>
      <c r="L274" s="75">
        <v>7</v>
      </c>
      <c r="M274" s="76">
        <f t="shared" si="43"/>
        <v>5.833333333333333</v>
      </c>
      <c r="N274" s="77">
        <f t="shared" si="44"/>
        <v>60.407407407407405</v>
      </c>
      <c r="O274" s="78">
        <v>7</v>
      </c>
      <c r="P274" s="79">
        <v>6.5</v>
      </c>
      <c r="Q274" s="80">
        <f t="shared" si="45"/>
        <v>6.75</v>
      </c>
      <c r="R274" s="87" t="s">
        <v>841</v>
      </c>
      <c r="S274" s="89">
        <v>7</v>
      </c>
      <c r="T274" s="82"/>
      <c r="U274" s="83"/>
      <c r="V274" s="84"/>
      <c r="W274" s="84"/>
      <c r="X274" s="84"/>
      <c r="Y274" s="85"/>
      <c r="Z274" s="86">
        <f t="shared" si="46"/>
        <v>30.101851851851851</v>
      </c>
      <c r="AA274" s="61">
        <f t="shared" si="40"/>
        <v>2</v>
      </c>
      <c r="AB274" s="62">
        <f t="shared" si="41"/>
        <v>2</v>
      </c>
      <c r="AC274" s="87" t="s">
        <v>841</v>
      </c>
      <c r="AD274" s="88">
        <v>3</v>
      </c>
      <c r="AE274" s="90"/>
      <c r="AF274" s="92"/>
      <c r="AG274" s="92"/>
      <c r="AH274" s="92"/>
    </row>
    <row r="275" spans="1:34" ht="16.5" customHeight="1" thickBot="1">
      <c r="A275" s="67">
        <v>273</v>
      </c>
      <c r="B275" s="68" t="s">
        <v>842</v>
      </c>
      <c r="C275" s="68" t="s">
        <v>843</v>
      </c>
      <c r="D275" s="120">
        <v>2</v>
      </c>
      <c r="E275" s="99">
        <v>3.5</v>
      </c>
      <c r="F275" s="99">
        <v>5.5</v>
      </c>
      <c r="G275" s="71">
        <f t="shared" si="42"/>
        <v>3.6666666666666665</v>
      </c>
      <c r="H275" s="72">
        <v>3.5</v>
      </c>
      <c r="I275" s="73">
        <v>2.5</v>
      </c>
      <c r="J275" s="74">
        <v>4</v>
      </c>
      <c r="K275" s="74">
        <v>4</v>
      </c>
      <c r="L275" s="75">
        <v>6</v>
      </c>
      <c r="M275" s="76">
        <f t="shared" si="43"/>
        <v>4.666666666666667</v>
      </c>
      <c r="N275" s="77">
        <f t="shared" si="44"/>
        <v>42.592592592592595</v>
      </c>
      <c r="O275" s="78">
        <v>6</v>
      </c>
      <c r="P275" s="79">
        <v>6.5</v>
      </c>
      <c r="Q275" s="80">
        <f t="shared" si="45"/>
        <v>6.25</v>
      </c>
      <c r="R275" s="87" t="s">
        <v>844</v>
      </c>
      <c r="S275" s="81">
        <v>6.5</v>
      </c>
      <c r="T275" s="82"/>
      <c r="U275" s="83"/>
      <c r="V275" s="84"/>
      <c r="W275" s="84"/>
      <c r="X275" s="84"/>
      <c r="Y275" s="85"/>
      <c r="Z275" s="86">
        <f t="shared" si="46"/>
        <v>24.537037037037038</v>
      </c>
      <c r="AA275" s="61">
        <f t="shared" si="40"/>
        <v>2</v>
      </c>
      <c r="AB275" s="62">
        <f t="shared" si="41"/>
        <v>2</v>
      </c>
      <c r="AC275" s="87" t="s">
        <v>844</v>
      </c>
      <c r="AD275" s="88">
        <v>15</v>
      </c>
      <c r="AE275" s="90"/>
      <c r="AF275" s="92"/>
      <c r="AG275" s="92"/>
      <c r="AH275" s="92"/>
    </row>
    <row r="276" spans="1:34" ht="16.5" customHeight="1" thickBot="1">
      <c r="A276" s="67">
        <v>274</v>
      </c>
      <c r="B276" s="68" t="s">
        <v>845</v>
      </c>
      <c r="C276" s="68" t="s">
        <v>846</v>
      </c>
      <c r="D276" s="120">
        <v>4.5</v>
      </c>
      <c r="E276" s="99">
        <v>6</v>
      </c>
      <c r="F276" s="99">
        <v>7</v>
      </c>
      <c r="G276" s="71">
        <f t="shared" si="42"/>
        <v>5.833333333333333</v>
      </c>
      <c r="H276" s="72">
        <v>6</v>
      </c>
      <c r="I276" s="73">
        <v>6.5</v>
      </c>
      <c r="J276" s="74">
        <v>4.5</v>
      </c>
      <c r="K276" s="74">
        <v>4.5</v>
      </c>
      <c r="L276" s="75">
        <v>4.5</v>
      </c>
      <c r="M276" s="76">
        <f t="shared" si="43"/>
        <v>4.5</v>
      </c>
      <c r="N276" s="77">
        <f t="shared" si="44"/>
        <v>58</v>
      </c>
      <c r="O276" s="78">
        <v>6</v>
      </c>
      <c r="P276" s="79">
        <v>5.5</v>
      </c>
      <c r="Q276" s="80">
        <f t="shared" si="45"/>
        <v>5.75</v>
      </c>
      <c r="R276" s="87" t="s">
        <v>847</v>
      </c>
      <c r="S276" s="89">
        <v>6</v>
      </c>
      <c r="T276" s="82"/>
      <c r="U276" s="83"/>
      <c r="V276" s="84"/>
      <c r="W276" s="84"/>
      <c r="X276" s="84"/>
      <c r="Y276" s="85"/>
      <c r="Z276" s="86">
        <f t="shared" si="46"/>
        <v>27.277777777777779</v>
      </c>
      <c r="AA276" s="61">
        <f t="shared" si="40"/>
        <v>2</v>
      </c>
      <c r="AB276" s="62">
        <f t="shared" si="41"/>
        <v>2</v>
      </c>
      <c r="AC276" s="87" t="s">
        <v>847</v>
      </c>
      <c r="AD276" s="88">
        <v>8</v>
      </c>
      <c r="AE276" s="90"/>
      <c r="AF276" s="92"/>
      <c r="AG276" s="92"/>
      <c r="AH276" s="92"/>
    </row>
    <row r="277" spans="1:34" ht="16.5" customHeight="1" thickBot="1">
      <c r="A277" s="67">
        <v>275</v>
      </c>
      <c r="B277" s="68" t="s">
        <v>848</v>
      </c>
      <c r="C277" s="68" t="s">
        <v>849</v>
      </c>
      <c r="D277" s="120">
        <v>5</v>
      </c>
      <c r="E277" s="99">
        <v>6.5</v>
      </c>
      <c r="F277" s="99">
        <v>7.5</v>
      </c>
      <c r="G277" s="71">
        <f t="shared" si="42"/>
        <v>6.333333333333333</v>
      </c>
      <c r="H277" s="72">
        <v>6.5</v>
      </c>
      <c r="I277" s="73">
        <v>2</v>
      </c>
      <c r="J277" s="74">
        <v>6</v>
      </c>
      <c r="K277" s="74">
        <v>4</v>
      </c>
      <c r="L277" s="75">
        <v>2</v>
      </c>
      <c r="M277" s="76">
        <f t="shared" si="43"/>
        <v>4</v>
      </c>
      <c r="N277" s="77">
        <f t="shared" si="44"/>
        <v>47.888888888888886</v>
      </c>
      <c r="O277" s="78">
        <v>5</v>
      </c>
      <c r="P277" s="79">
        <v>4.5</v>
      </c>
      <c r="Q277" s="80">
        <f t="shared" si="45"/>
        <v>4.75</v>
      </c>
      <c r="R277" s="87" t="s">
        <v>850</v>
      </c>
      <c r="S277" s="89">
        <v>5</v>
      </c>
      <c r="T277" s="82"/>
      <c r="U277" s="83"/>
      <c r="V277" s="84"/>
      <c r="W277" s="84"/>
      <c r="X277" s="84"/>
      <c r="Y277" s="85"/>
      <c r="Z277" s="86">
        <f t="shared" si="46"/>
        <v>22.527777777777779</v>
      </c>
      <c r="AA277" s="61">
        <f t="shared" si="40"/>
        <v>2</v>
      </c>
      <c r="AB277" s="62">
        <f t="shared" si="41"/>
        <v>2</v>
      </c>
      <c r="AC277" s="87" t="s">
        <v>850</v>
      </c>
      <c r="AD277" s="88">
        <v>12</v>
      </c>
      <c r="AE277" s="90"/>
      <c r="AF277" s="92"/>
      <c r="AG277" s="92"/>
      <c r="AH277" s="92"/>
    </row>
    <row r="278" spans="1:34" ht="16.5" customHeight="1" thickBot="1">
      <c r="A278" s="67">
        <v>276</v>
      </c>
      <c r="B278" s="68" t="s">
        <v>851</v>
      </c>
      <c r="C278" s="68" t="s">
        <v>852</v>
      </c>
      <c r="D278" s="120">
        <v>7</v>
      </c>
      <c r="E278" s="99">
        <v>6</v>
      </c>
      <c r="F278" s="99">
        <v>8</v>
      </c>
      <c r="G278" s="71">
        <f t="shared" si="42"/>
        <v>7</v>
      </c>
      <c r="H278" s="72">
        <v>7</v>
      </c>
      <c r="I278" s="73">
        <v>8</v>
      </c>
      <c r="J278" s="74">
        <v>6.5</v>
      </c>
      <c r="K278" s="74">
        <v>5</v>
      </c>
      <c r="L278" s="75">
        <v>6.5</v>
      </c>
      <c r="M278" s="76">
        <f t="shared" si="43"/>
        <v>6</v>
      </c>
      <c r="N278" s="77">
        <f t="shared" si="44"/>
        <v>72.666666666666657</v>
      </c>
      <c r="O278" s="78">
        <v>7</v>
      </c>
      <c r="P278" s="79">
        <v>6</v>
      </c>
      <c r="Q278" s="80">
        <f t="shared" si="45"/>
        <v>6.5</v>
      </c>
      <c r="R278" s="87" t="s">
        <v>853</v>
      </c>
      <c r="S278" s="81">
        <v>6.5</v>
      </c>
      <c r="T278" s="82"/>
      <c r="U278" s="83"/>
      <c r="V278" s="84"/>
      <c r="W278" s="84"/>
      <c r="X278" s="84"/>
      <c r="Y278" s="85"/>
      <c r="Z278" s="86">
        <f t="shared" si="46"/>
        <v>32.611111111111107</v>
      </c>
      <c r="AA278" s="61">
        <f t="shared" si="40"/>
        <v>2</v>
      </c>
      <c r="AB278" s="62">
        <f t="shared" si="41"/>
        <v>2</v>
      </c>
      <c r="AC278" s="87" t="s">
        <v>853</v>
      </c>
      <c r="AD278" s="108" t="s">
        <v>113</v>
      </c>
      <c r="AE278" s="90"/>
      <c r="AF278" s="92"/>
      <c r="AG278" s="92"/>
      <c r="AH278" s="92"/>
    </row>
    <row r="279" spans="1:34" ht="16.5" customHeight="1" thickBot="1">
      <c r="A279" s="67">
        <v>277</v>
      </c>
      <c r="B279" s="68" t="s">
        <v>854</v>
      </c>
      <c r="C279" s="68" t="s">
        <v>855</v>
      </c>
      <c r="D279" s="120">
        <v>4</v>
      </c>
      <c r="E279" s="99">
        <v>4.5</v>
      </c>
      <c r="F279" s="99">
        <v>7.5</v>
      </c>
      <c r="G279" s="71">
        <f t="shared" si="42"/>
        <v>5.333333333333333</v>
      </c>
      <c r="H279" s="72">
        <v>5.5</v>
      </c>
      <c r="I279" s="73">
        <v>3</v>
      </c>
      <c r="J279" s="74">
        <v>6</v>
      </c>
      <c r="K279" s="74">
        <v>5</v>
      </c>
      <c r="L279" s="75">
        <v>6.5</v>
      </c>
      <c r="M279" s="76">
        <f t="shared" si="43"/>
        <v>5.833333333333333</v>
      </c>
      <c r="N279" s="77">
        <f t="shared" si="44"/>
        <v>56.740740740740733</v>
      </c>
      <c r="O279" s="78">
        <v>5</v>
      </c>
      <c r="P279" s="79">
        <v>5.5</v>
      </c>
      <c r="Q279" s="80">
        <f t="shared" si="45"/>
        <v>5.25</v>
      </c>
      <c r="R279" s="87" t="s">
        <v>856</v>
      </c>
      <c r="S279" s="81">
        <v>5.5</v>
      </c>
      <c r="T279" s="82"/>
      <c r="U279" s="83"/>
      <c r="V279" s="84"/>
      <c r="W279" s="84"/>
      <c r="X279" s="84"/>
      <c r="Y279" s="85"/>
      <c r="Z279" s="86">
        <f t="shared" si="46"/>
        <v>25.851851851851851</v>
      </c>
      <c r="AA279" s="61">
        <f t="shared" si="40"/>
        <v>2</v>
      </c>
      <c r="AB279" s="62">
        <f t="shared" si="41"/>
        <v>2</v>
      </c>
      <c r="AC279" s="87" t="s">
        <v>856</v>
      </c>
      <c r="AD279" s="88">
        <v>11</v>
      </c>
      <c r="AE279" s="90"/>
      <c r="AF279" s="92"/>
      <c r="AG279" s="92"/>
      <c r="AH279" s="92"/>
    </row>
    <row r="280" spans="1:34" ht="16.5" customHeight="1" thickBot="1">
      <c r="A280" s="67">
        <v>278</v>
      </c>
      <c r="B280" s="93" t="s">
        <v>857</v>
      </c>
      <c r="C280" s="66"/>
      <c r="D280" s="94"/>
      <c r="E280" s="95"/>
      <c r="F280" s="95"/>
      <c r="G280" s="96"/>
      <c r="H280" s="97"/>
      <c r="I280" s="98"/>
      <c r="J280" s="99">
        <v>2</v>
      </c>
      <c r="K280" s="99">
        <v>4</v>
      </c>
      <c r="L280" s="100">
        <v>4</v>
      </c>
      <c r="M280" s="101"/>
      <c r="N280" s="102"/>
      <c r="O280" s="78"/>
      <c r="P280" s="79"/>
      <c r="Q280" s="103"/>
      <c r="R280" s="101">
        <v>0</v>
      </c>
      <c r="S280" s="89">
        <v>0</v>
      </c>
      <c r="T280" s="104"/>
      <c r="U280" s="105"/>
      <c r="V280" s="95"/>
      <c r="W280" s="95"/>
      <c r="X280" s="95"/>
      <c r="Y280" s="106"/>
      <c r="Z280" s="105"/>
      <c r="AA280" s="61" t="b">
        <f t="shared" si="40"/>
        <v>0</v>
      </c>
      <c r="AB280" s="62" t="e">
        <f t="shared" si="41"/>
        <v>#N/A</v>
      </c>
      <c r="AC280" s="101">
        <v>0</v>
      </c>
      <c r="AD280" s="107"/>
      <c r="AE280" s="90"/>
      <c r="AF280" s="92"/>
      <c r="AG280" s="92"/>
      <c r="AH280" s="92"/>
    </row>
    <row r="281" spans="1:34" ht="16.5" customHeight="1" thickBot="1">
      <c r="A281" s="67">
        <v>279</v>
      </c>
      <c r="B281" s="68" t="s">
        <v>858</v>
      </c>
      <c r="C281" s="68" t="s">
        <v>859</v>
      </c>
      <c r="D281" s="120"/>
      <c r="E281" s="99"/>
      <c r="F281" s="99"/>
      <c r="G281" s="71">
        <f t="shared" ref="G281:G319" si="47">IFERROR(AVERAGE(D281:F281),)</f>
        <v>0</v>
      </c>
      <c r="H281" s="72"/>
      <c r="I281" s="73">
        <v>0</v>
      </c>
      <c r="J281" s="74"/>
      <c r="K281" s="74"/>
      <c r="L281" s="75"/>
      <c r="M281" s="76" t="e">
        <f t="shared" ref="M281:M319" si="48">AVERAGE(J281:L281)</f>
        <v>#DIV/0!</v>
      </c>
      <c r="N281" s="77" t="e">
        <f t="shared" ref="N281:N319" si="49">H281*30/9+2*I281+M281*50/9</f>
        <v>#DIV/0!</v>
      </c>
      <c r="O281" s="78"/>
      <c r="P281" s="79"/>
      <c r="Q281" s="80" t="e">
        <f t="shared" ref="Q281:Q294" si="50">AVERAGE(O281:P281)</f>
        <v>#DIV/0!</v>
      </c>
      <c r="R281" s="87" t="s">
        <v>860</v>
      </c>
      <c r="S281" s="89">
        <v>0</v>
      </c>
      <c r="T281" s="82"/>
      <c r="U281" s="83"/>
      <c r="V281" s="84"/>
      <c r="W281" s="84"/>
      <c r="X281" s="84"/>
      <c r="Y281" s="85"/>
      <c r="Z281" s="86" t="e">
        <f t="shared" ref="Z281:Z319" si="51">0.25*N281+0.15*T281*10+20/9*Q281+40/9*Y281</f>
        <v>#DIV/0!</v>
      </c>
      <c r="AA281" s="61" t="e">
        <f t="shared" si="40"/>
        <v>#DIV/0!</v>
      </c>
      <c r="AB281" s="62" t="e">
        <f t="shared" si="41"/>
        <v>#DIV/0!</v>
      </c>
      <c r="AC281" s="87" t="s">
        <v>860</v>
      </c>
      <c r="AD281" s="108" t="s">
        <v>120</v>
      </c>
      <c r="AE281" s="109" t="s">
        <v>431</v>
      </c>
      <c r="AF281" s="92"/>
      <c r="AG281" s="92"/>
      <c r="AH281" s="92"/>
    </row>
    <row r="282" spans="1:34" ht="16.5" customHeight="1" thickBot="1">
      <c r="A282" s="67">
        <v>280</v>
      </c>
      <c r="B282" s="68" t="s">
        <v>861</v>
      </c>
      <c r="C282" s="68" t="s">
        <v>862</v>
      </c>
      <c r="D282" s="120">
        <v>7.5</v>
      </c>
      <c r="E282" s="99">
        <v>6.5</v>
      </c>
      <c r="F282" s="99">
        <v>8.5</v>
      </c>
      <c r="G282" s="71">
        <f t="shared" si="47"/>
        <v>7.5</v>
      </c>
      <c r="H282" s="72">
        <v>7.5</v>
      </c>
      <c r="I282" s="98">
        <v>8</v>
      </c>
      <c r="J282" s="99">
        <v>5.5</v>
      </c>
      <c r="K282" s="99">
        <v>5</v>
      </c>
      <c r="L282" s="100">
        <v>6</v>
      </c>
      <c r="M282" s="76">
        <f t="shared" si="48"/>
        <v>5.5</v>
      </c>
      <c r="N282" s="77">
        <f t="shared" si="49"/>
        <v>71.555555555555557</v>
      </c>
      <c r="O282" s="78">
        <v>8</v>
      </c>
      <c r="P282" s="79">
        <v>7</v>
      </c>
      <c r="Q282" s="80">
        <f t="shared" si="50"/>
        <v>7.5</v>
      </c>
      <c r="R282" s="87" t="s">
        <v>863</v>
      </c>
      <c r="S282" s="81">
        <v>7.5</v>
      </c>
      <c r="T282" s="104"/>
      <c r="U282" s="83"/>
      <c r="V282" s="84"/>
      <c r="W282" s="84"/>
      <c r="X282" s="84"/>
      <c r="Y282" s="85"/>
      <c r="Z282" s="86">
        <f t="shared" si="51"/>
        <v>34.555555555555557</v>
      </c>
      <c r="AA282" s="61">
        <f t="shared" si="40"/>
        <v>4</v>
      </c>
      <c r="AB282" s="62">
        <f t="shared" si="41"/>
        <v>3</v>
      </c>
      <c r="AC282" s="87" t="s">
        <v>863</v>
      </c>
      <c r="AD282" s="108" t="s">
        <v>113</v>
      </c>
      <c r="AE282" s="90"/>
      <c r="AF282" s="92"/>
      <c r="AG282" s="92"/>
      <c r="AH282" s="92"/>
    </row>
    <row r="283" spans="1:34" ht="16.5" customHeight="1" thickBot="1">
      <c r="A283" s="67">
        <v>281</v>
      </c>
      <c r="B283" s="68" t="s">
        <v>864</v>
      </c>
      <c r="C283" s="68" t="s">
        <v>865</v>
      </c>
      <c r="D283" s="120">
        <v>3.5</v>
      </c>
      <c r="E283" s="99">
        <v>5</v>
      </c>
      <c r="F283" s="99">
        <v>7.5</v>
      </c>
      <c r="G283" s="71">
        <f t="shared" si="47"/>
        <v>5.333333333333333</v>
      </c>
      <c r="H283" s="72">
        <v>5.5</v>
      </c>
      <c r="I283" s="98">
        <v>0</v>
      </c>
      <c r="J283" s="99">
        <v>4.5</v>
      </c>
      <c r="K283" s="99">
        <v>3</v>
      </c>
      <c r="L283" s="100"/>
      <c r="M283" s="76">
        <f t="shared" si="48"/>
        <v>3.75</v>
      </c>
      <c r="N283" s="77">
        <f t="shared" si="49"/>
        <v>39.166666666666664</v>
      </c>
      <c r="O283" s="78">
        <v>4</v>
      </c>
      <c r="P283" s="79">
        <v>3.5</v>
      </c>
      <c r="Q283" s="80">
        <f t="shared" si="50"/>
        <v>3.75</v>
      </c>
      <c r="R283" s="87" t="s">
        <v>866</v>
      </c>
      <c r="S283" s="89">
        <v>4</v>
      </c>
      <c r="T283" s="104"/>
      <c r="U283" s="83"/>
      <c r="V283" s="84"/>
      <c r="W283" s="84"/>
      <c r="X283" s="84"/>
      <c r="Y283" s="85"/>
      <c r="Z283" s="86">
        <f t="shared" si="51"/>
        <v>18.125</v>
      </c>
      <c r="AA283" s="61">
        <f t="shared" si="40"/>
        <v>2</v>
      </c>
      <c r="AB283" s="62">
        <f t="shared" si="41"/>
        <v>2</v>
      </c>
      <c r="AC283" s="87" t="s">
        <v>866</v>
      </c>
      <c r="AD283" s="88">
        <v>16</v>
      </c>
      <c r="AE283" s="90"/>
      <c r="AF283" s="92"/>
      <c r="AG283" s="92"/>
      <c r="AH283" s="92"/>
    </row>
    <row r="284" spans="1:34" ht="16.5" customHeight="1" thickBot="1">
      <c r="A284" s="67">
        <v>282</v>
      </c>
      <c r="B284" s="68" t="s">
        <v>867</v>
      </c>
      <c r="C284" s="68" t="s">
        <v>868</v>
      </c>
      <c r="D284" s="120">
        <v>3</v>
      </c>
      <c r="E284" s="99">
        <v>7</v>
      </c>
      <c r="F284" s="99">
        <v>8</v>
      </c>
      <c r="G284" s="71">
        <f t="shared" si="47"/>
        <v>6</v>
      </c>
      <c r="H284" s="72">
        <v>6</v>
      </c>
      <c r="I284" s="73">
        <v>7.5</v>
      </c>
      <c r="J284" s="74">
        <v>4.5</v>
      </c>
      <c r="K284" s="74">
        <v>6</v>
      </c>
      <c r="L284" s="75">
        <v>7</v>
      </c>
      <c r="M284" s="76">
        <f t="shared" si="48"/>
        <v>5.833333333333333</v>
      </c>
      <c r="N284" s="77">
        <f t="shared" si="49"/>
        <v>67.407407407407405</v>
      </c>
      <c r="O284" s="119">
        <v>5.5</v>
      </c>
      <c r="P284" s="79">
        <v>5.5</v>
      </c>
      <c r="Q284" s="80">
        <f t="shared" si="50"/>
        <v>5.5</v>
      </c>
      <c r="R284" s="87" t="s">
        <v>869</v>
      </c>
      <c r="S284" s="81">
        <v>5.5</v>
      </c>
      <c r="T284" s="82"/>
      <c r="U284" s="83"/>
      <c r="V284" s="84"/>
      <c r="W284" s="84"/>
      <c r="X284" s="84"/>
      <c r="Y284" s="85"/>
      <c r="Z284" s="86">
        <f t="shared" si="51"/>
        <v>29.074074074074076</v>
      </c>
      <c r="AA284" s="61">
        <f t="shared" si="40"/>
        <v>2</v>
      </c>
      <c r="AB284" s="62">
        <f t="shared" si="41"/>
        <v>2</v>
      </c>
      <c r="AC284" s="87" t="s">
        <v>869</v>
      </c>
      <c r="AD284" s="88">
        <v>7</v>
      </c>
      <c r="AE284" s="90"/>
      <c r="AF284" s="92"/>
      <c r="AG284" s="92"/>
      <c r="AH284" s="92"/>
    </row>
    <row r="285" spans="1:34" ht="16.5" customHeight="1" thickBot="1">
      <c r="A285" s="67">
        <v>283</v>
      </c>
      <c r="B285" s="68" t="s">
        <v>870</v>
      </c>
      <c r="C285" s="68" t="s">
        <v>871</v>
      </c>
      <c r="D285" s="120">
        <v>5</v>
      </c>
      <c r="E285" s="99">
        <v>6.5</v>
      </c>
      <c r="F285" s="99">
        <v>8</v>
      </c>
      <c r="G285" s="71">
        <f t="shared" si="47"/>
        <v>6.5</v>
      </c>
      <c r="H285" s="72">
        <v>6.5</v>
      </c>
      <c r="I285" s="98">
        <v>8.5</v>
      </c>
      <c r="J285" s="99">
        <v>5</v>
      </c>
      <c r="K285" s="99">
        <v>4</v>
      </c>
      <c r="L285" s="100">
        <v>6.5</v>
      </c>
      <c r="M285" s="76">
        <f t="shared" si="48"/>
        <v>5.166666666666667</v>
      </c>
      <c r="N285" s="77">
        <f t="shared" si="49"/>
        <v>67.370370370370381</v>
      </c>
      <c r="O285" s="119">
        <v>5.5</v>
      </c>
      <c r="P285" s="79">
        <v>5</v>
      </c>
      <c r="Q285" s="80">
        <f t="shared" si="50"/>
        <v>5.25</v>
      </c>
      <c r="R285" s="87" t="s">
        <v>872</v>
      </c>
      <c r="S285" s="81">
        <v>5.5</v>
      </c>
      <c r="T285" s="104"/>
      <c r="U285" s="83"/>
      <c r="V285" s="84"/>
      <c r="W285" s="84"/>
      <c r="X285" s="84"/>
      <c r="Y285" s="85"/>
      <c r="Z285" s="86">
        <f t="shared" si="51"/>
        <v>28.509259259259263</v>
      </c>
      <c r="AA285" s="61">
        <f t="shared" si="40"/>
        <v>2</v>
      </c>
      <c r="AB285" s="62">
        <f t="shared" si="41"/>
        <v>2</v>
      </c>
      <c r="AC285" s="87" t="s">
        <v>872</v>
      </c>
      <c r="AD285" s="88">
        <v>14</v>
      </c>
      <c r="AE285" s="90"/>
      <c r="AF285" s="92"/>
      <c r="AG285" s="92"/>
      <c r="AH285" s="92"/>
    </row>
    <row r="286" spans="1:34" ht="16.5" customHeight="1" thickBot="1">
      <c r="A286" s="67">
        <v>284</v>
      </c>
      <c r="B286" s="68" t="s">
        <v>873</v>
      </c>
      <c r="C286" s="68" t="s">
        <v>874</v>
      </c>
      <c r="D286" s="120">
        <v>5.5</v>
      </c>
      <c r="E286" s="99">
        <v>6.5</v>
      </c>
      <c r="F286" s="99">
        <v>7.5</v>
      </c>
      <c r="G286" s="71">
        <f t="shared" si="47"/>
        <v>6.5</v>
      </c>
      <c r="H286" s="72">
        <v>6.5</v>
      </c>
      <c r="I286" s="98">
        <v>7.5</v>
      </c>
      <c r="J286" s="99">
        <v>5.5</v>
      </c>
      <c r="K286" s="99">
        <v>7</v>
      </c>
      <c r="L286" s="100">
        <v>7.5</v>
      </c>
      <c r="M286" s="76">
        <f t="shared" si="48"/>
        <v>6.666666666666667</v>
      </c>
      <c r="N286" s="77">
        <f t="shared" si="49"/>
        <v>73.703703703703709</v>
      </c>
      <c r="O286" s="78">
        <v>6</v>
      </c>
      <c r="P286" s="79">
        <v>7</v>
      </c>
      <c r="Q286" s="80">
        <f t="shared" si="50"/>
        <v>6.5</v>
      </c>
      <c r="R286" s="87" t="s">
        <v>875</v>
      </c>
      <c r="S286" s="81">
        <v>6.5</v>
      </c>
      <c r="T286" s="104"/>
      <c r="U286" s="83"/>
      <c r="V286" s="84"/>
      <c r="W286" s="84"/>
      <c r="X286" s="84"/>
      <c r="Y286" s="85"/>
      <c r="Z286" s="86">
        <f t="shared" si="51"/>
        <v>32.870370370370374</v>
      </c>
      <c r="AA286" s="61">
        <f t="shared" si="40"/>
        <v>2</v>
      </c>
      <c r="AB286" s="62">
        <f t="shared" si="41"/>
        <v>2</v>
      </c>
      <c r="AC286" s="87" t="s">
        <v>875</v>
      </c>
      <c r="AD286" s="88">
        <v>8</v>
      </c>
      <c r="AE286" s="90"/>
      <c r="AF286" s="92"/>
      <c r="AG286" s="92"/>
      <c r="AH286" s="92"/>
    </row>
    <row r="287" spans="1:34" ht="16.5" customHeight="1" thickBot="1">
      <c r="A287" s="67">
        <v>285</v>
      </c>
      <c r="B287" s="68" t="s">
        <v>876</v>
      </c>
      <c r="C287" s="68" t="s">
        <v>877</v>
      </c>
      <c r="D287" s="120">
        <v>5.5</v>
      </c>
      <c r="E287" s="99">
        <v>6.5</v>
      </c>
      <c r="F287" s="99">
        <v>7.5</v>
      </c>
      <c r="G287" s="71">
        <f t="shared" si="47"/>
        <v>6.5</v>
      </c>
      <c r="H287" s="72">
        <v>6.5</v>
      </c>
      <c r="I287" s="98">
        <v>6.5</v>
      </c>
      <c r="J287" s="99">
        <v>6</v>
      </c>
      <c r="K287" s="99">
        <v>6.5</v>
      </c>
      <c r="L287" s="100">
        <v>7</v>
      </c>
      <c r="M287" s="76">
        <f t="shared" si="48"/>
        <v>6.5</v>
      </c>
      <c r="N287" s="77">
        <f t="shared" si="49"/>
        <v>70.777777777777786</v>
      </c>
      <c r="O287" s="78">
        <v>5</v>
      </c>
      <c r="P287" s="79">
        <v>8.5</v>
      </c>
      <c r="Q287" s="80">
        <f t="shared" si="50"/>
        <v>6.75</v>
      </c>
      <c r="R287" s="87" t="s">
        <v>878</v>
      </c>
      <c r="S287" s="89">
        <v>7</v>
      </c>
      <c r="T287" s="104"/>
      <c r="U287" s="83"/>
      <c r="V287" s="84"/>
      <c r="W287" s="84"/>
      <c r="X287" s="84"/>
      <c r="Y287" s="85"/>
      <c r="Z287" s="86">
        <f t="shared" si="51"/>
        <v>32.694444444444443</v>
      </c>
      <c r="AA287" s="61">
        <f t="shared" si="40"/>
        <v>2</v>
      </c>
      <c r="AB287" s="62">
        <f t="shared" si="41"/>
        <v>2</v>
      </c>
      <c r="AC287" s="87" t="s">
        <v>878</v>
      </c>
      <c r="AD287" s="88">
        <v>8</v>
      </c>
      <c r="AE287" s="90"/>
      <c r="AF287" s="92"/>
      <c r="AG287" s="92"/>
      <c r="AH287" s="92"/>
    </row>
    <row r="288" spans="1:34" ht="16.5" customHeight="1" thickBot="1">
      <c r="A288" s="67">
        <v>286</v>
      </c>
      <c r="B288" s="68" t="s">
        <v>879</v>
      </c>
      <c r="C288" s="68" t="s">
        <v>880</v>
      </c>
      <c r="D288" s="120">
        <v>5</v>
      </c>
      <c r="E288" s="99">
        <v>6</v>
      </c>
      <c r="F288" s="99">
        <v>7</v>
      </c>
      <c r="G288" s="71">
        <f t="shared" si="47"/>
        <v>6</v>
      </c>
      <c r="H288" s="72">
        <v>6</v>
      </c>
      <c r="I288" s="73">
        <v>6</v>
      </c>
      <c r="J288" s="74">
        <v>6</v>
      </c>
      <c r="K288" s="74">
        <v>5.5</v>
      </c>
      <c r="L288" s="75">
        <v>7</v>
      </c>
      <c r="M288" s="76">
        <f t="shared" si="48"/>
        <v>6.166666666666667</v>
      </c>
      <c r="N288" s="77">
        <f t="shared" si="49"/>
        <v>66.259259259259267</v>
      </c>
      <c r="O288" s="119">
        <v>4.5</v>
      </c>
      <c r="P288" s="79">
        <v>4</v>
      </c>
      <c r="Q288" s="80">
        <f t="shared" si="50"/>
        <v>4.25</v>
      </c>
      <c r="R288" s="87" t="s">
        <v>881</v>
      </c>
      <c r="S288" s="89">
        <v>4.5</v>
      </c>
      <c r="T288" s="82"/>
      <c r="U288" s="83"/>
      <c r="V288" s="84"/>
      <c r="W288" s="84"/>
      <c r="X288" s="84"/>
      <c r="Y288" s="85"/>
      <c r="Z288" s="86">
        <f t="shared" si="51"/>
        <v>26.00925925925926</v>
      </c>
      <c r="AA288" s="61">
        <f t="shared" si="40"/>
        <v>2</v>
      </c>
      <c r="AB288" s="62">
        <f t="shared" si="41"/>
        <v>2</v>
      </c>
      <c r="AC288" s="87" t="s">
        <v>881</v>
      </c>
      <c r="AD288" s="88">
        <v>5</v>
      </c>
      <c r="AE288" s="90"/>
      <c r="AF288" s="92"/>
      <c r="AG288" s="92"/>
      <c r="AH288" s="92"/>
    </row>
    <row r="289" spans="1:34" ht="16.5" customHeight="1" thickBot="1">
      <c r="A289" s="67">
        <v>287</v>
      </c>
      <c r="B289" s="68" t="s">
        <v>882</v>
      </c>
      <c r="C289" s="68" t="s">
        <v>883</v>
      </c>
      <c r="D289" s="120">
        <v>4.5</v>
      </c>
      <c r="E289" s="99">
        <v>4.5</v>
      </c>
      <c r="F289" s="99">
        <v>8</v>
      </c>
      <c r="G289" s="71">
        <f t="shared" si="47"/>
        <v>5.666666666666667</v>
      </c>
      <c r="H289" s="72">
        <v>5.5</v>
      </c>
      <c r="I289" s="73"/>
      <c r="J289" s="74">
        <v>5</v>
      </c>
      <c r="K289" s="74">
        <v>4</v>
      </c>
      <c r="L289" s="75">
        <v>6</v>
      </c>
      <c r="M289" s="76">
        <f t="shared" si="48"/>
        <v>5</v>
      </c>
      <c r="N289" s="77">
        <f t="shared" si="49"/>
        <v>46.111111111111114</v>
      </c>
      <c r="O289" s="78">
        <v>5</v>
      </c>
      <c r="P289" s="79">
        <v>5.5</v>
      </c>
      <c r="Q289" s="80">
        <f t="shared" si="50"/>
        <v>5.25</v>
      </c>
      <c r="R289" s="87" t="s">
        <v>884</v>
      </c>
      <c r="S289" s="81">
        <v>5.5</v>
      </c>
      <c r="T289" s="82"/>
      <c r="U289" s="83"/>
      <c r="V289" s="84"/>
      <c r="W289" s="84"/>
      <c r="X289" s="84"/>
      <c r="Y289" s="85"/>
      <c r="Z289" s="86">
        <f t="shared" si="51"/>
        <v>23.194444444444446</v>
      </c>
      <c r="AA289" s="61">
        <f t="shared" si="40"/>
        <v>2</v>
      </c>
      <c r="AB289" s="62">
        <f t="shared" si="41"/>
        <v>2</v>
      </c>
      <c r="AC289" s="87" t="s">
        <v>884</v>
      </c>
      <c r="AD289" s="88">
        <v>16</v>
      </c>
      <c r="AE289" s="90"/>
      <c r="AF289" s="92"/>
      <c r="AG289" s="92"/>
      <c r="AH289" s="92"/>
    </row>
    <row r="290" spans="1:34" ht="16.5" customHeight="1" thickBot="1">
      <c r="A290" s="67">
        <v>288</v>
      </c>
      <c r="B290" s="68" t="s">
        <v>885</v>
      </c>
      <c r="C290" s="68" t="s">
        <v>886</v>
      </c>
      <c r="D290" s="120">
        <v>6</v>
      </c>
      <c r="E290" s="99">
        <v>5.5</v>
      </c>
      <c r="F290" s="99">
        <v>7</v>
      </c>
      <c r="G290" s="71">
        <f t="shared" si="47"/>
        <v>6.166666666666667</v>
      </c>
      <c r="H290" s="72">
        <v>6</v>
      </c>
      <c r="I290" s="73">
        <v>8.5</v>
      </c>
      <c r="J290" s="74">
        <v>6</v>
      </c>
      <c r="K290" s="74">
        <v>5</v>
      </c>
      <c r="L290" s="75">
        <v>7</v>
      </c>
      <c r="M290" s="76">
        <f t="shared" si="48"/>
        <v>6</v>
      </c>
      <c r="N290" s="77">
        <f t="shared" si="49"/>
        <v>70.333333333333343</v>
      </c>
      <c r="O290" s="78">
        <v>5.5</v>
      </c>
      <c r="P290" s="79">
        <v>6.5</v>
      </c>
      <c r="Q290" s="80">
        <f t="shared" si="50"/>
        <v>6</v>
      </c>
      <c r="R290" s="87" t="s">
        <v>887</v>
      </c>
      <c r="S290" s="89">
        <v>6</v>
      </c>
      <c r="T290" s="82"/>
      <c r="U290" s="83"/>
      <c r="V290" s="84"/>
      <c r="W290" s="84"/>
      <c r="X290" s="84"/>
      <c r="Y290" s="85"/>
      <c r="Z290" s="86">
        <f t="shared" si="51"/>
        <v>30.916666666666671</v>
      </c>
      <c r="AA290" s="61">
        <f t="shared" si="40"/>
        <v>2</v>
      </c>
      <c r="AB290" s="62">
        <f t="shared" si="41"/>
        <v>2</v>
      </c>
      <c r="AC290" s="87" t="s">
        <v>887</v>
      </c>
      <c r="AD290" s="88">
        <v>6</v>
      </c>
      <c r="AE290" s="90"/>
      <c r="AF290" s="92"/>
      <c r="AG290" s="92"/>
      <c r="AH290" s="92"/>
    </row>
    <row r="291" spans="1:34" ht="16.5" customHeight="1" thickBot="1">
      <c r="A291" s="67">
        <v>289</v>
      </c>
      <c r="B291" s="68" t="s">
        <v>888</v>
      </c>
      <c r="C291" s="68" t="s">
        <v>889</v>
      </c>
      <c r="D291" s="120"/>
      <c r="E291" s="99"/>
      <c r="F291" s="99"/>
      <c r="G291" s="71">
        <f t="shared" si="47"/>
        <v>0</v>
      </c>
      <c r="H291" s="72"/>
      <c r="I291" s="73">
        <v>0</v>
      </c>
      <c r="J291" s="74"/>
      <c r="K291" s="74"/>
      <c r="L291" s="75"/>
      <c r="M291" s="76" t="e">
        <f t="shared" si="48"/>
        <v>#DIV/0!</v>
      </c>
      <c r="N291" s="77" t="e">
        <f t="shared" si="49"/>
        <v>#DIV/0!</v>
      </c>
      <c r="O291" s="78"/>
      <c r="P291" s="79"/>
      <c r="Q291" s="80" t="e">
        <f t="shared" si="50"/>
        <v>#DIV/0!</v>
      </c>
      <c r="R291" s="87" t="s">
        <v>890</v>
      </c>
      <c r="S291" s="89">
        <v>0</v>
      </c>
      <c r="T291" s="82"/>
      <c r="U291" s="83"/>
      <c r="V291" s="84"/>
      <c r="W291" s="84"/>
      <c r="X291" s="84"/>
      <c r="Y291" s="85"/>
      <c r="Z291" s="86" t="e">
        <f t="shared" si="51"/>
        <v>#DIV/0!</v>
      </c>
      <c r="AA291" s="61" t="e">
        <f t="shared" si="40"/>
        <v>#DIV/0!</v>
      </c>
      <c r="AB291" s="62" t="e">
        <f t="shared" si="41"/>
        <v>#DIV/0!</v>
      </c>
      <c r="AC291" s="87" t="s">
        <v>890</v>
      </c>
      <c r="AD291" s="108" t="s">
        <v>113</v>
      </c>
      <c r="AE291" s="90"/>
      <c r="AF291" s="92"/>
      <c r="AG291" s="92"/>
      <c r="AH291" s="92"/>
    </row>
    <row r="292" spans="1:34" ht="15.75" customHeight="1" thickBot="1">
      <c r="A292" s="67">
        <v>290</v>
      </c>
      <c r="B292" s="68" t="s">
        <v>891</v>
      </c>
      <c r="C292" s="68" t="s">
        <v>892</v>
      </c>
      <c r="D292" s="120">
        <v>5</v>
      </c>
      <c r="E292" s="99">
        <v>6</v>
      </c>
      <c r="F292" s="99">
        <v>8</v>
      </c>
      <c r="G292" s="71">
        <f t="shared" si="47"/>
        <v>6.333333333333333</v>
      </c>
      <c r="H292" s="72">
        <v>6.5</v>
      </c>
      <c r="I292" s="73">
        <v>6</v>
      </c>
      <c r="J292" s="74">
        <v>6</v>
      </c>
      <c r="K292" s="74">
        <v>6.5</v>
      </c>
      <c r="L292" s="75">
        <v>7</v>
      </c>
      <c r="M292" s="76">
        <f t="shared" si="48"/>
        <v>6.5</v>
      </c>
      <c r="N292" s="77">
        <f t="shared" si="49"/>
        <v>69.777777777777786</v>
      </c>
      <c r="O292" s="78">
        <v>4.5</v>
      </c>
      <c r="P292" s="79">
        <v>6</v>
      </c>
      <c r="Q292" s="80">
        <f t="shared" si="50"/>
        <v>5.25</v>
      </c>
      <c r="R292" s="87" t="s">
        <v>893</v>
      </c>
      <c r="S292" s="81">
        <v>5.5</v>
      </c>
      <c r="T292" s="82"/>
      <c r="U292" s="83"/>
      <c r="V292" s="84"/>
      <c r="W292" s="84"/>
      <c r="X292" s="84"/>
      <c r="Y292" s="85"/>
      <c r="Z292" s="86">
        <f t="shared" si="51"/>
        <v>29.111111111111114</v>
      </c>
      <c r="AA292" s="61">
        <f t="shared" si="40"/>
        <v>2</v>
      </c>
      <c r="AB292" s="62">
        <f t="shared" si="41"/>
        <v>2</v>
      </c>
      <c r="AC292" s="87" t="s">
        <v>893</v>
      </c>
      <c r="AD292" s="88">
        <v>2</v>
      </c>
      <c r="AE292" s="90"/>
      <c r="AF292" s="92"/>
      <c r="AG292" s="92"/>
      <c r="AH292" s="92"/>
    </row>
    <row r="293" spans="1:34" ht="15.75" customHeight="1" thickBot="1">
      <c r="A293" s="67">
        <v>291</v>
      </c>
      <c r="B293" s="68" t="s">
        <v>894</v>
      </c>
      <c r="C293" s="68" t="s">
        <v>895</v>
      </c>
      <c r="D293" s="120">
        <v>5.5</v>
      </c>
      <c r="E293" s="99">
        <v>8</v>
      </c>
      <c r="F293" s="99">
        <v>8.5</v>
      </c>
      <c r="G293" s="71">
        <f t="shared" si="47"/>
        <v>7.333333333333333</v>
      </c>
      <c r="H293" s="72">
        <v>7.5</v>
      </c>
      <c r="I293" s="73">
        <v>7</v>
      </c>
      <c r="J293" s="74">
        <v>7.5</v>
      </c>
      <c r="K293" s="74">
        <v>7</v>
      </c>
      <c r="L293" s="75">
        <v>8</v>
      </c>
      <c r="M293" s="76">
        <f t="shared" si="48"/>
        <v>7.5</v>
      </c>
      <c r="N293" s="77">
        <f t="shared" si="49"/>
        <v>80.666666666666657</v>
      </c>
      <c r="O293" s="78">
        <v>8</v>
      </c>
      <c r="P293" s="79">
        <v>8.5</v>
      </c>
      <c r="Q293" s="80">
        <f t="shared" si="50"/>
        <v>8.25</v>
      </c>
      <c r="R293" s="87" t="s">
        <v>896</v>
      </c>
      <c r="S293" s="81">
        <v>8.5</v>
      </c>
      <c r="T293" s="82"/>
      <c r="U293" s="83"/>
      <c r="V293" s="84"/>
      <c r="W293" s="84"/>
      <c r="X293" s="84"/>
      <c r="Y293" s="85"/>
      <c r="Z293" s="86">
        <f t="shared" si="51"/>
        <v>38.5</v>
      </c>
      <c r="AA293" s="61">
        <f t="shared" si="40"/>
        <v>4</v>
      </c>
      <c r="AB293" s="62">
        <f t="shared" si="41"/>
        <v>3</v>
      </c>
      <c r="AC293" s="87" t="s">
        <v>896</v>
      </c>
      <c r="AD293" s="88">
        <v>1</v>
      </c>
      <c r="AE293" s="90"/>
      <c r="AF293" s="92"/>
      <c r="AG293" s="92"/>
      <c r="AH293" s="92"/>
    </row>
    <row r="294" spans="1:34" ht="15.75" customHeight="1" thickBot="1">
      <c r="A294" s="67">
        <v>292</v>
      </c>
      <c r="B294" s="68" t="s">
        <v>897</v>
      </c>
      <c r="C294" s="68" t="s">
        <v>898</v>
      </c>
      <c r="D294" s="120">
        <v>6</v>
      </c>
      <c r="E294" s="99">
        <v>5</v>
      </c>
      <c r="F294" s="99">
        <v>7</v>
      </c>
      <c r="G294" s="71">
        <f t="shared" si="47"/>
        <v>6</v>
      </c>
      <c r="H294" s="72">
        <v>6</v>
      </c>
      <c r="I294" s="73">
        <v>0</v>
      </c>
      <c r="J294" s="74">
        <v>3.5</v>
      </c>
      <c r="K294" s="74">
        <v>4</v>
      </c>
      <c r="L294" s="75">
        <v>6</v>
      </c>
      <c r="M294" s="76">
        <f t="shared" si="48"/>
        <v>4.5</v>
      </c>
      <c r="N294" s="77">
        <f t="shared" si="49"/>
        <v>45</v>
      </c>
      <c r="O294" s="78">
        <v>6</v>
      </c>
      <c r="P294" s="79">
        <v>4</v>
      </c>
      <c r="Q294" s="80">
        <f t="shared" si="50"/>
        <v>5</v>
      </c>
      <c r="R294" s="87" t="s">
        <v>899</v>
      </c>
      <c r="S294" s="89">
        <v>5</v>
      </c>
      <c r="T294" s="82"/>
      <c r="U294" s="83"/>
      <c r="V294" s="84"/>
      <c r="W294" s="84"/>
      <c r="X294" s="84"/>
      <c r="Y294" s="85"/>
      <c r="Z294" s="86">
        <f t="shared" si="51"/>
        <v>22.361111111111111</v>
      </c>
      <c r="AA294" s="61">
        <f t="shared" si="40"/>
        <v>2</v>
      </c>
      <c r="AB294" s="62">
        <f t="shared" si="41"/>
        <v>2</v>
      </c>
      <c r="AC294" s="87" t="s">
        <v>899</v>
      </c>
      <c r="AD294" s="88">
        <v>12</v>
      </c>
      <c r="AE294" s="90"/>
      <c r="AF294" s="92"/>
      <c r="AG294" s="92"/>
      <c r="AH294" s="92"/>
    </row>
    <row r="295" spans="1:34" ht="15.75" customHeight="1" thickBot="1">
      <c r="A295" s="67">
        <v>293</v>
      </c>
      <c r="B295" s="68" t="s">
        <v>900</v>
      </c>
      <c r="C295" s="68" t="s">
        <v>901</v>
      </c>
      <c r="D295" s="120">
        <v>4</v>
      </c>
      <c r="E295" s="99">
        <v>4.5</v>
      </c>
      <c r="F295" s="99">
        <v>6.5</v>
      </c>
      <c r="G295" s="71">
        <f t="shared" si="47"/>
        <v>5</v>
      </c>
      <c r="H295" s="72">
        <v>5</v>
      </c>
      <c r="I295" s="73">
        <v>7</v>
      </c>
      <c r="J295" s="74">
        <v>4.5</v>
      </c>
      <c r="K295" s="74">
        <v>3.5</v>
      </c>
      <c r="L295" s="75">
        <v>6</v>
      </c>
      <c r="M295" s="76">
        <f t="shared" si="48"/>
        <v>4.666666666666667</v>
      </c>
      <c r="N295" s="77">
        <f t="shared" si="49"/>
        <v>56.592592592592595</v>
      </c>
      <c r="O295" s="119">
        <v>5.5</v>
      </c>
      <c r="P295" s="79">
        <v>4</v>
      </c>
      <c r="Q295" s="80">
        <v>4.8</v>
      </c>
      <c r="R295" s="87" t="s">
        <v>902</v>
      </c>
      <c r="S295" s="89">
        <v>5</v>
      </c>
      <c r="T295" s="82"/>
      <c r="U295" s="83"/>
      <c r="V295" s="84"/>
      <c r="W295" s="84"/>
      <c r="X295" s="84"/>
      <c r="Y295" s="85"/>
      <c r="Z295" s="86">
        <f t="shared" si="51"/>
        <v>24.814814814814817</v>
      </c>
      <c r="AA295" s="61">
        <f t="shared" si="40"/>
        <v>2</v>
      </c>
      <c r="AB295" s="62">
        <f t="shared" si="41"/>
        <v>2</v>
      </c>
      <c r="AC295" s="87" t="s">
        <v>902</v>
      </c>
      <c r="AD295" s="88">
        <v>14</v>
      </c>
      <c r="AE295" s="90"/>
      <c r="AF295" s="92"/>
      <c r="AG295" s="92"/>
      <c r="AH295" s="92"/>
    </row>
    <row r="296" spans="1:34" ht="15.75" customHeight="1" thickBot="1">
      <c r="A296" s="67">
        <v>294</v>
      </c>
      <c r="B296" s="68" t="s">
        <v>903</v>
      </c>
      <c r="C296" s="68" t="s">
        <v>904</v>
      </c>
      <c r="D296" s="120">
        <v>5.5</v>
      </c>
      <c r="E296" s="99">
        <v>6</v>
      </c>
      <c r="F296" s="99">
        <v>7.5</v>
      </c>
      <c r="G296" s="71">
        <f t="shared" si="47"/>
        <v>6.333333333333333</v>
      </c>
      <c r="H296" s="72">
        <v>6.5</v>
      </c>
      <c r="I296" s="73">
        <v>4</v>
      </c>
      <c r="J296" s="74">
        <v>6</v>
      </c>
      <c r="K296" s="74">
        <v>4.5</v>
      </c>
      <c r="L296" s="75">
        <v>7</v>
      </c>
      <c r="M296" s="76">
        <f t="shared" si="48"/>
        <v>5.833333333333333</v>
      </c>
      <c r="N296" s="77">
        <f t="shared" si="49"/>
        <v>62.074074074074076</v>
      </c>
      <c r="O296" s="78">
        <v>6</v>
      </c>
      <c r="P296" s="79">
        <v>5.5</v>
      </c>
      <c r="Q296" s="80">
        <f t="shared" ref="Q296:Q302" si="52">AVERAGE(O296:P296)</f>
        <v>5.75</v>
      </c>
      <c r="R296" s="87" t="s">
        <v>905</v>
      </c>
      <c r="S296" s="89">
        <v>6</v>
      </c>
      <c r="T296" s="82"/>
      <c r="U296" s="83"/>
      <c r="V296" s="84"/>
      <c r="W296" s="84"/>
      <c r="X296" s="84"/>
      <c r="Y296" s="85"/>
      <c r="Z296" s="86">
        <f t="shared" si="51"/>
        <v>28.296296296296298</v>
      </c>
      <c r="AA296" s="61">
        <f t="shared" si="40"/>
        <v>2</v>
      </c>
      <c r="AB296" s="62">
        <f t="shared" si="41"/>
        <v>2</v>
      </c>
      <c r="AC296" s="87" t="s">
        <v>905</v>
      </c>
      <c r="AD296" s="88">
        <v>4</v>
      </c>
      <c r="AE296" s="90"/>
      <c r="AF296" s="92"/>
      <c r="AG296" s="92"/>
      <c r="AH296" s="92"/>
    </row>
    <row r="297" spans="1:34" ht="15.75" customHeight="1" thickBot="1">
      <c r="A297" s="67">
        <v>295</v>
      </c>
      <c r="B297" s="68" t="s">
        <v>906</v>
      </c>
      <c r="C297" s="68" t="s">
        <v>907</v>
      </c>
      <c r="D297" s="120">
        <v>4</v>
      </c>
      <c r="E297" s="99">
        <v>5</v>
      </c>
      <c r="F297" s="99">
        <v>7.5</v>
      </c>
      <c r="G297" s="71">
        <f t="shared" si="47"/>
        <v>5.5</v>
      </c>
      <c r="H297" s="72">
        <v>5.5</v>
      </c>
      <c r="I297" s="73">
        <v>2</v>
      </c>
      <c r="J297" s="74">
        <v>4.5</v>
      </c>
      <c r="K297" s="74">
        <v>3</v>
      </c>
      <c r="L297" s="75">
        <v>6</v>
      </c>
      <c r="M297" s="76">
        <f t="shared" si="48"/>
        <v>4.5</v>
      </c>
      <c r="N297" s="77">
        <f t="shared" si="49"/>
        <v>47.333333333333329</v>
      </c>
      <c r="O297" s="78">
        <v>4.5</v>
      </c>
      <c r="P297" s="79">
        <v>4.5</v>
      </c>
      <c r="Q297" s="80">
        <f t="shared" si="52"/>
        <v>4.5</v>
      </c>
      <c r="R297" s="87" t="s">
        <v>908</v>
      </c>
      <c r="S297" s="81">
        <v>4.5</v>
      </c>
      <c r="T297" s="82"/>
      <c r="U297" s="83"/>
      <c r="V297" s="84"/>
      <c r="W297" s="84"/>
      <c r="X297" s="84"/>
      <c r="Y297" s="85"/>
      <c r="Z297" s="86">
        <f t="shared" si="51"/>
        <v>21.833333333333332</v>
      </c>
      <c r="AA297" s="61">
        <f t="shared" si="40"/>
        <v>2</v>
      </c>
      <c r="AB297" s="62">
        <f t="shared" si="41"/>
        <v>2</v>
      </c>
      <c r="AC297" s="87" t="s">
        <v>908</v>
      </c>
      <c r="AD297" s="88">
        <v>15</v>
      </c>
      <c r="AE297" s="90"/>
      <c r="AF297" s="92"/>
      <c r="AG297" s="92"/>
      <c r="AH297" s="92"/>
    </row>
    <row r="298" spans="1:34" ht="15.75" customHeight="1" thickBot="1">
      <c r="A298" s="67">
        <v>296</v>
      </c>
      <c r="B298" s="68" t="s">
        <v>909</v>
      </c>
      <c r="C298" s="68" t="s">
        <v>910</v>
      </c>
      <c r="D298" s="120">
        <v>5.5</v>
      </c>
      <c r="E298" s="99">
        <v>6.5</v>
      </c>
      <c r="F298" s="99">
        <v>6.5</v>
      </c>
      <c r="G298" s="71">
        <f t="shared" si="47"/>
        <v>6.166666666666667</v>
      </c>
      <c r="H298" s="72">
        <v>6</v>
      </c>
      <c r="I298" s="73">
        <v>8</v>
      </c>
      <c r="J298" s="74">
        <v>5.5</v>
      </c>
      <c r="K298" s="74">
        <v>6</v>
      </c>
      <c r="L298" s="75">
        <v>8</v>
      </c>
      <c r="M298" s="76">
        <f t="shared" si="48"/>
        <v>6.5</v>
      </c>
      <c r="N298" s="77">
        <f t="shared" si="49"/>
        <v>72.111111111111114</v>
      </c>
      <c r="O298" s="78">
        <v>5</v>
      </c>
      <c r="P298" s="79">
        <v>5</v>
      </c>
      <c r="Q298" s="80">
        <f t="shared" si="52"/>
        <v>5</v>
      </c>
      <c r="R298" s="87" t="s">
        <v>911</v>
      </c>
      <c r="S298" s="89">
        <v>5</v>
      </c>
      <c r="T298" s="82"/>
      <c r="U298" s="83"/>
      <c r="V298" s="84"/>
      <c r="W298" s="84"/>
      <c r="X298" s="84"/>
      <c r="Y298" s="85"/>
      <c r="Z298" s="86">
        <f t="shared" si="51"/>
        <v>29.138888888888889</v>
      </c>
      <c r="AA298" s="61">
        <f t="shared" si="40"/>
        <v>2</v>
      </c>
      <c r="AB298" s="62">
        <f t="shared" si="41"/>
        <v>2</v>
      </c>
      <c r="AC298" s="87" t="s">
        <v>911</v>
      </c>
      <c r="AD298" s="88">
        <v>9</v>
      </c>
      <c r="AE298" s="90"/>
      <c r="AF298" s="92"/>
      <c r="AG298" s="92"/>
      <c r="AH298" s="92"/>
    </row>
    <row r="299" spans="1:34" ht="15.75" customHeight="1" thickBot="1">
      <c r="A299" s="67">
        <v>297</v>
      </c>
      <c r="B299" s="68" t="s">
        <v>912</v>
      </c>
      <c r="C299" s="68" t="s">
        <v>913</v>
      </c>
      <c r="D299" s="120">
        <v>4</v>
      </c>
      <c r="E299" s="99">
        <v>4</v>
      </c>
      <c r="F299" s="99">
        <v>7</v>
      </c>
      <c r="G299" s="71">
        <f t="shared" si="47"/>
        <v>5</v>
      </c>
      <c r="H299" s="72">
        <v>5</v>
      </c>
      <c r="I299" s="73">
        <v>2</v>
      </c>
      <c r="J299" s="74">
        <v>5</v>
      </c>
      <c r="K299" s="74">
        <v>8.5</v>
      </c>
      <c r="L299" s="75">
        <v>6</v>
      </c>
      <c r="M299" s="76">
        <f t="shared" si="48"/>
        <v>6.5</v>
      </c>
      <c r="N299" s="77">
        <f t="shared" si="49"/>
        <v>56.777777777777786</v>
      </c>
      <c r="O299" s="78">
        <v>5</v>
      </c>
      <c r="P299" s="79">
        <v>3.5</v>
      </c>
      <c r="Q299" s="80">
        <f t="shared" si="52"/>
        <v>4.25</v>
      </c>
      <c r="R299" s="87" t="s">
        <v>914</v>
      </c>
      <c r="S299" s="89">
        <v>4.5</v>
      </c>
      <c r="T299" s="82"/>
      <c r="U299" s="83"/>
      <c r="V299" s="84"/>
      <c r="W299" s="84"/>
      <c r="X299" s="84"/>
      <c r="Y299" s="85"/>
      <c r="Z299" s="86">
        <f t="shared" si="51"/>
        <v>23.638888888888893</v>
      </c>
      <c r="AA299" s="61">
        <f t="shared" si="40"/>
        <v>2</v>
      </c>
      <c r="AB299" s="62">
        <f t="shared" si="41"/>
        <v>2</v>
      </c>
      <c r="AC299" s="87" t="s">
        <v>914</v>
      </c>
      <c r="AD299" s="88">
        <v>12</v>
      </c>
      <c r="AE299" s="90"/>
      <c r="AF299" s="92"/>
      <c r="AG299" s="92"/>
      <c r="AH299" s="92"/>
    </row>
    <row r="300" spans="1:34" ht="15.75" customHeight="1" thickBot="1">
      <c r="A300" s="67">
        <v>298</v>
      </c>
      <c r="B300" s="68" t="s">
        <v>915</v>
      </c>
      <c r="C300" s="68" t="s">
        <v>916</v>
      </c>
      <c r="D300" s="120">
        <v>4</v>
      </c>
      <c r="E300" s="99">
        <v>4.5</v>
      </c>
      <c r="F300" s="99">
        <v>6</v>
      </c>
      <c r="G300" s="71">
        <f t="shared" si="47"/>
        <v>4.833333333333333</v>
      </c>
      <c r="H300" s="72">
        <v>5</v>
      </c>
      <c r="I300" s="73">
        <v>7</v>
      </c>
      <c r="J300" s="74">
        <v>4.5</v>
      </c>
      <c r="K300" s="74">
        <v>4.5</v>
      </c>
      <c r="L300" s="75">
        <v>6</v>
      </c>
      <c r="M300" s="76">
        <f t="shared" si="48"/>
        <v>5</v>
      </c>
      <c r="N300" s="77">
        <f t="shared" si="49"/>
        <v>58.444444444444443</v>
      </c>
      <c r="O300" s="78">
        <v>5.5</v>
      </c>
      <c r="P300" s="79">
        <v>4.5</v>
      </c>
      <c r="Q300" s="80">
        <f t="shared" si="52"/>
        <v>5</v>
      </c>
      <c r="R300" s="87" t="s">
        <v>917</v>
      </c>
      <c r="S300" s="89">
        <v>5</v>
      </c>
      <c r="T300" s="82"/>
      <c r="U300" s="83"/>
      <c r="V300" s="84"/>
      <c r="W300" s="84"/>
      <c r="X300" s="84"/>
      <c r="Y300" s="85"/>
      <c r="Z300" s="86">
        <f t="shared" si="51"/>
        <v>25.722222222222221</v>
      </c>
      <c r="AA300" s="61">
        <f t="shared" si="40"/>
        <v>2</v>
      </c>
      <c r="AB300" s="62">
        <f t="shared" si="41"/>
        <v>2</v>
      </c>
      <c r="AC300" s="87" t="s">
        <v>917</v>
      </c>
      <c r="AD300" s="88">
        <v>15</v>
      </c>
      <c r="AE300" s="90"/>
      <c r="AF300" s="92"/>
      <c r="AG300" s="92"/>
      <c r="AH300" s="92"/>
    </row>
    <row r="301" spans="1:34" ht="15.75" customHeight="1" thickBot="1">
      <c r="A301" s="67">
        <v>299</v>
      </c>
      <c r="B301" s="68" t="s">
        <v>918</v>
      </c>
      <c r="C301" s="68" t="s">
        <v>919</v>
      </c>
      <c r="D301" s="120">
        <v>6</v>
      </c>
      <c r="E301" s="99">
        <v>7.5</v>
      </c>
      <c r="F301" s="99">
        <v>8</v>
      </c>
      <c r="G301" s="71">
        <f t="shared" si="47"/>
        <v>7.166666666666667</v>
      </c>
      <c r="H301" s="72">
        <v>7</v>
      </c>
      <c r="I301" s="73">
        <v>4.5</v>
      </c>
      <c r="J301" s="74">
        <v>7</v>
      </c>
      <c r="K301" s="74">
        <v>6.5</v>
      </c>
      <c r="L301" s="75">
        <v>8.5</v>
      </c>
      <c r="M301" s="76">
        <f t="shared" si="48"/>
        <v>7.333333333333333</v>
      </c>
      <c r="N301" s="77">
        <f t="shared" si="49"/>
        <v>73.074074074074062</v>
      </c>
      <c r="O301" s="119">
        <v>7.5</v>
      </c>
      <c r="P301" s="79">
        <v>7.5</v>
      </c>
      <c r="Q301" s="80">
        <f t="shared" si="52"/>
        <v>7.5</v>
      </c>
      <c r="R301" s="87" t="s">
        <v>920</v>
      </c>
      <c r="S301" s="81">
        <v>7.5</v>
      </c>
      <c r="T301" s="82"/>
      <c r="U301" s="83"/>
      <c r="V301" s="84"/>
      <c r="W301" s="84"/>
      <c r="X301" s="84"/>
      <c r="Y301" s="85"/>
      <c r="Z301" s="86">
        <f t="shared" si="51"/>
        <v>34.935185185185183</v>
      </c>
      <c r="AA301" s="61">
        <f t="shared" si="40"/>
        <v>4</v>
      </c>
      <c r="AB301" s="62">
        <f t="shared" si="41"/>
        <v>3</v>
      </c>
      <c r="AC301" s="87" t="s">
        <v>920</v>
      </c>
      <c r="AD301" s="88">
        <v>4</v>
      </c>
      <c r="AE301" s="90"/>
      <c r="AF301" s="92"/>
      <c r="AG301" s="92"/>
      <c r="AH301" s="92"/>
    </row>
    <row r="302" spans="1:34" ht="15.75" customHeight="1" thickBot="1">
      <c r="A302" s="67">
        <v>300</v>
      </c>
      <c r="B302" s="68" t="s">
        <v>921</v>
      </c>
      <c r="C302" s="68" t="s">
        <v>922</v>
      </c>
      <c r="D302" s="120">
        <v>7</v>
      </c>
      <c r="E302" s="99">
        <v>6.5</v>
      </c>
      <c r="F302" s="99">
        <v>8</v>
      </c>
      <c r="G302" s="71">
        <f t="shared" si="47"/>
        <v>7.166666666666667</v>
      </c>
      <c r="H302" s="72">
        <v>7</v>
      </c>
      <c r="I302" s="73">
        <v>9.5</v>
      </c>
      <c r="J302" s="74">
        <v>6.5</v>
      </c>
      <c r="K302" s="74">
        <v>6.5</v>
      </c>
      <c r="L302" s="75">
        <v>7.5</v>
      </c>
      <c r="M302" s="76">
        <f t="shared" si="48"/>
        <v>6.833333333333333</v>
      </c>
      <c r="N302" s="77">
        <f t="shared" si="49"/>
        <v>80.296296296296291</v>
      </c>
      <c r="O302" s="78">
        <v>8.5</v>
      </c>
      <c r="P302" s="79">
        <v>8</v>
      </c>
      <c r="Q302" s="80">
        <f t="shared" si="52"/>
        <v>8.25</v>
      </c>
      <c r="R302" s="87" t="s">
        <v>923</v>
      </c>
      <c r="S302" s="81">
        <v>8.5</v>
      </c>
      <c r="T302" s="82"/>
      <c r="U302" s="83"/>
      <c r="V302" s="84"/>
      <c r="W302" s="84"/>
      <c r="X302" s="84"/>
      <c r="Y302" s="85"/>
      <c r="Z302" s="86">
        <f t="shared" si="51"/>
        <v>38.407407407407405</v>
      </c>
      <c r="AA302" s="61">
        <f t="shared" si="40"/>
        <v>4</v>
      </c>
      <c r="AB302" s="62">
        <f t="shared" si="41"/>
        <v>3</v>
      </c>
      <c r="AC302" s="87" t="s">
        <v>923</v>
      </c>
      <c r="AD302" s="88">
        <v>4</v>
      </c>
      <c r="AE302" s="90"/>
      <c r="AF302" s="92"/>
      <c r="AG302" s="92"/>
      <c r="AH302" s="92"/>
    </row>
    <row r="303" spans="1:34" ht="15.75" customHeight="1" thickBot="1">
      <c r="A303" s="67">
        <v>301</v>
      </c>
      <c r="B303" s="68" t="s">
        <v>924</v>
      </c>
      <c r="C303" s="68" t="s">
        <v>925</v>
      </c>
      <c r="D303" s="120">
        <v>4.5</v>
      </c>
      <c r="E303" s="99">
        <v>5</v>
      </c>
      <c r="F303" s="99">
        <v>6</v>
      </c>
      <c r="G303" s="71">
        <f t="shared" si="47"/>
        <v>5.166666666666667</v>
      </c>
      <c r="H303" s="72">
        <v>5</v>
      </c>
      <c r="I303" s="73">
        <v>7</v>
      </c>
      <c r="J303" s="74">
        <v>5</v>
      </c>
      <c r="K303" s="74">
        <v>4.5</v>
      </c>
      <c r="L303" s="75">
        <v>6.5</v>
      </c>
      <c r="M303" s="76">
        <f t="shared" si="48"/>
        <v>5.333333333333333</v>
      </c>
      <c r="N303" s="77">
        <f t="shared" si="49"/>
        <v>60.296296296296291</v>
      </c>
      <c r="O303" s="119">
        <v>5.5</v>
      </c>
      <c r="P303" s="79">
        <v>5</v>
      </c>
      <c r="Q303" s="80">
        <v>5.3</v>
      </c>
      <c r="R303" s="87" t="s">
        <v>926</v>
      </c>
      <c r="S303" s="89">
        <v>5.5</v>
      </c>
      <c r="T303" s="82"/>
      <c r="U303" s="83"/>
      <c r="V303" s="84"/>
      <c r="W303" s="84"/>
      <c r="X303" s="84"/>
      <c r="Y303" s="85"/>
      <c r="Z303" s="86">
        <f t="shared" si="51"/>
        <v>26.851851851851851</v>
      </c>
      <c r="AA303" s="61">
        <f t="shared" si="40"/>
        <v>2</v>
      </c>
      <c r="AB303" s="62">
        <f t="shared" si="41"/>
        <v>2</v>
      </c>
      <c r="AC303" s="87" t="s">
        <v>926</v>
      </c>
      <c r="AD303" s="88">
        <v>3</v>
      </c>
      <c r="AE303" s="90"/>
      <c r="AF303" s="92"/>
      <c r="AG303" s="92"/>
      <c r="AH303" s="92"/>
    </row>
    <row r="304" spans="1:34" ht="15.75" customHeight="1" thickBot="1">
      <c r="A304" s="67">
        <v>302</v>
      </c>
      <c r="B304" s="68" t="s">
        <v>927</v>
      </c>
      <c r="C304" s="68" t="s">
        <v>928</v>
      </c>
      <c r="D304" s="120">
        <v>3.5</v>
      </c>
      <c r="E304" s="99">
        <v>6.5</v>
      </c>
      <c r="F304" s="99">
        <v>7</v>
      </c>
      <c r="G304" s="71">
        <f t="shared" si="47"/>
        <v>5.666666666666667</v>
      </c>
      <c r="H304" s="72">
        <v>5.5</v>
      </c>
      <c r="I304" s="73">
        <v>6.5</v>
      </c>
      <c r="J304" s="74">
        <v>5.5</v>
      </c>
      <c r="K304" s="74">
        <v>4.5</v>
      </c>
      <c r="L304" s="75">
        <v>6.5</v>
      </c>
      <c r="M304" s="76">
        <f t="shared" si="48"/>
        <v>5.5</v>
      </c>
      <c r="N304" s="77">
        <f t="shared" si="49"/>
        <v>61.888888888888886</v>
      </c>
      <c r="O304" s="78">
        <v>6</v>
      </c>
      <c r="P304" s="79">
        <v>5.5</v>
      </c>
      <c r="Q304" s="80">
        <f>AVERAGE(O304:P304)</f>
        <v>5.75</v>
      </c>
      <c r="R304" s="87" t="s">
        <v>929</v>
      </c>
      <c r="S304" s="89">
        <v>6</v>
      </c>
      <c r="T304" s="82"/>
      <c r="U304" s="83"/>
      <c r="V304" s="84"/>
      <c r="W304" s="84"/>
      <c r="X304" s="84"/>
      <c r="Y304" s="85"/>
      <c r="Z304" s="86">
        <f t="shared" si="51"/>
        <v>28.25</v>
      </c>
      <c r="AA304" s="61">
        <f t="shared" si="40"/>
        <v>2</v>
      </c>
      <c r="AB304" s="62">
        <f t="shared" si="41"/>
        <v>2</v>
      </c>
      <c r="AC304" s="87" t="s">
        <v>929</v>
      </c>
      <c r="AD304" s="88">
        <v>8</v>
      </c>
      <c r="AE304" s="90"/>
      <c r="AF304" s="92"/>
      <c r="AG304" s="92"/>
      <c r="AH304" s="92"/>
    </row>
    <row r="305" spans="1:34" ht="15.75" customHeight="1" thickBot="1">
      <c r="A305" s="67">
        <v>303</v>
      </c>
      <c r="B305" s="68" t="s">
        <v>930</v>
      </c>
      <c r="C305" s="68" t="s">
        <v>931</v>
      </c>
      <c r="D305" s="120">
        <v>3.5</v>
      </c>
      <c r="E305" s="99">
        <v>4.5</v>
      </c>
      <c r="F305" s="99">
        <v>6.5</v>
      </c>
      <c r="G305" s="71">
        <f t="shared" si="47"/>
        <v>4.833333333333333</v>
      </c>
      <c r="H305" s="72">
        <v>5</v>
      </c>
      <c r="I305" s="73">
        <v>5</v>
      </c>
      <c r="J305" s="74">
        <v>2</v>
      </c>
      <c r="K305" s="74">
        <v>2</v>
      </c>
      <c r="L305" s="75">
        <v>6</v>
      </c>
      <c r="M305" s="76">
        <f t="shared" si="48"/>
        <v>3.3333333333333335</v>
      </c>
      <c r="N305" s="77">
        <f t="shared" si="49"/>
        <v>45.18518518518519</v>
      </c>
      <c r="O305" s="78">
        <v>4</v>
      </c>
      <c r="P305" s="79">
        <v>2</v>
      </c>
      <c r="Q305" s="80">
        <f>AVERAGE(O305:P305)</f>
        <v>3</v>
      </c>
      <c r="R305" s="87" t="s">
        <v>932</v>
      </c>
      <c r="S305" s="89">
        <v>3</v>
      </c>
      <c r="T305" s="82"/>
      <c r="U305" s="83"/>
      <c r="V305" s="84"/>
      <c r="W305" s="84"/>
      <c r="X305" s="84"/>
      <c r="Y305" s="85"/>
      <c r="Z305" s="86">
        <f t="shared" si="51"/>
        <v>17.962962962962965</v>
      </c>
      <c r="AA305" s="61">
        <f t="shared" si="40"/>
        <v>2</v>
      </c>
      <c r="AB305" s="62">
        <f t="shared" si="41"/>
        <v>2</v>
      </c>
      <c r="AC305" s="87" t="s">
        <v>932</v>
      </c>
      <c r="AD305" s="88">
        <v>16</v>
      </c>
      <c r="AE305" s="90"/>
      <c r="AF305" s="92"/>
      <c r="AG305" s="92"/>
      <c r="AH305" s="92"/>
    </row>
    <row r="306" spans="1:34" ht="15.75" customHeight="1" thickBot="1">
      <c r="A306" s="67">
        <v>304</v>
      </c>
      <c r="B306" s="68" t="s">
        <v>933</v>
      </c>
      <c r="C306" s="68" t="s">
        <v>934</v>
      </c>
      <c r="D306" s="120">
        <v>4</v>
      </c>
      <c r="E306" s="99">
        <v>5</v>
      </c>
      <c r="F306" s="99">
        <v>7</v>
      </c>
      <c r="G306" s="71">
        <f t="shared" si="47"/>
        <v>5.333333333333333</v>
      </c>
      <c r="H306" s="72">
        <v>5.5</v>
      </c>
      <c r="I306" s="73">
        <v>8</v>
      </c>
      <c r="J306" s="74">
        <v>5.5</v>
      </c>
      <c r="K306" s="74">
        <v>4.5</v>
      </c>
      <c r="L306" s="75">
        <v>6.5</v>
      </c>
      <c r="M306" s="76">
        <f t="shared" si="48"/>
        <v>5.5</v>
      </c>
      <c r="N306" s="77">
        <f t="shared" si="49"/>
        <v>64.888888888888886</v>
      </c>
      <c r="O306" s="78">
        <v>6</v>
      </c>
      <c r="P306" s="79">
        <v>4</v>
      </c>
      <c r="Q306" s="80">
        <f>AVERAGE(O306:P306)</f>
        <v>5</v>
      </c>
      <c r="R306" s="87" t="s">
        <v>935</v>
      </c>
      <c r="S306" s="89">
        <v>5</v>
      </c>
      <c r="T306" s="82"/>
      <c r="U306" s="83"/>
      <c r="V306" s="84"/>
      <c r="W306" s="84"/>
      <c r="X306" s="84"/>
      <c r="Y306" s="85"/>
      <c r="Z306" s="86">
        <f t="shared" si="51"/>
        <v>27.333333333333332</v>
      </c>
      <c r="AA306" s="61">
        <f t="shared" si="40"/>
        <v>2</v>
      </c>
      <c r="AB306" s="62">
        <f t="shared" si="41"/>
        <v>2</v>
      </c>
      <c r="AC306" s="87" t="s">
        <v>935</v>
      </c>
      <c r="AD306" s="88">
        <v>11</v>
      </c>
      <c r="AE306" s="90"/>
      <c r="AF306" s="92"/>
      <c r="AG306" s="92"/>
      <c r="AH306" s="92"/>
    </row>
    <row r="307" spans="1:34" ht="15.75" customHeight="1" thickBot="1">
      <c r="A307" s="67">
        <v>305</v>
      </c>
      <c r="B307" s="68" t="s">
        <v>936</v>
      </c>
      <c r="C307" s="68" t="s">
        <v>937</v>
      </c>
      <c r="D307" s="120">
        <v>5</v>
      </c>
      <c r="E307" s="99">
        <v>6</v>
      </c>
      <c r="F307" s="99">
        <v>7.5</v>
      </c>
      <c r="G307" s="71">
        <f t="shared" si="47"/>
        <v>6.166666666666667</v>
      </c>
      <c r="H307" s="72">
        <v>6</v>
      </c>
      <c r="I307" s="73">
        <v>6</v>
      </c>
      <c r="J307" s="74">
        <v>6</v>
      </c>
      <c r="K307" s="74">
        <v>4.5</v>
      </c>
      <c r="L307" s="75">
        <v>7</v>
      </c>
      <c r="M307" s="76">
        <f t="shared" si="48"/>
        <v>5.833333333333333</v>
      </c>
      <c r="N307" s="77">
        <f t="shared" si="49"/>
        <v>64.407407407407405</v>
      </c>
      <c r="O307" s="119">
        <v>7.5</v>
      </c>
      <c r="P307" s="79">
        <v>5.5</v>
      </c>
      <c r="Q307" s="80">
        <v>6.5</v>
      </c>
      <c r="R307" s="87" t="s">
        <v>938</v>
      </c>
      <c r="S307" s="81">
        <v>6.5</v>
      </c>
      <c r="T307" s="82"/>
      <c r="U307" s="83"/>
      <c r="V307" s="84"/>
      <c r="W307" s="84"/>
      <c r="X307" s="84"/>
      <c r="Y307" s="85"/>
      <c r="Z307" s="86">
        <f t="shared" si="51"/>
        <v>30.546296296296298</v>
      </c>
      <c r="AA307" s="61">
        <f t="shared" si="40"/>
        <v>2</v>
      </c>
      <c r="AB307" s="62">
        <f t="shared" si="41"/>
        <v>2</v>
      </c>
      <c r="AC307" s="87" t="s">
        <v>938</v>
      </c>
      <c r="AD307" s="88">
        <v>5</v>
      </c>
      <c r="AE307" s="90"/>
      <c r="AF307" s="92"/>
      <c r="AG307" s="92"/>
      <c r="AH307" s="92"/>
    </row>
    <row r="308" spans="1:34" ht="15.75" customHeight="1" thickBot="1">
      <c r="A308" s="67">
        <v>306</v>
      </c>
      <c r="B308" s="68" t="s">
        <v>939</v>
      </c>
      <c r="C308" s="68" t="s">
        <v>940</v>
      </c>
      <c r="D308" s="120">
        <v>4</v>
      </c>
      <c r="E308" s="99">
        <v>6</v>
      </c>
      <c r="F308" s="99">
        <v>6.5</v>
      </c>
      <c r="G308" s="71">
        <f t="shared" si="47"/>
        <v>5.5</v>
      </c>
      <c r="H308" s="72">
        <v>5.5</v>
      </c>
      <c r="I308" s="73">
        <v>7</v>
      </c>
      <c r="J308" s="74">
        <v>5</v>
      </c>
      <c r="K308" s="74">
        <v>5</v>
      </c>
      <c r="L308" s="75">
        <v>6</v>
      </c>
      <c r="M308" s="76">
        <f t="shared" si="48"/>
        <v>5.333333333333333</v>
      </c>
      <c r="N308" s="77">
        <f t="shared" si="49"/>
        <v>61.962962962962955</v>
      </c>
      <c r="O308" s="78">
        <v>5</v>
      </c>
      <c r="P308" s="79">
        <v>5.5</v>
      </c>
      <c r="Q308" s="80">
        <f t="shared" ref="Q308:Q319" si="53">AVERAGE(O308:P308)</f>
        <v>5.25</v>
      </c>
      <c r="R308" s="87" t="s">
        <v>941</v>
      </c>
      <c r="S308" s="81">
        <v>5.5</v>
      </c>
      <c r="T308" s="82"/>
      <c r="U308" s="83"/>
      <c r="V308" s="84"/>
      <c r="W308" s="84"/>
      <c r="X308" s="84"/>
      <c r="Y308" s="85"/>
      <c r="Z308" s="86">
        <f t="shared" si="51"/>
        <v>27.157407407407405</v>
      </c>
      <c r="AA308" s="61">
        <f t="shared" si="40"/>
        <v>2</v>
      </c>
      <c r="AB308" s="62">
        <f t="shared" si="41"/>
        <v>2</v>
      </c>
      <c r="AC308" s="87" t="s">
        <v>941</v>
      </c>
      <c r="AD308" s="88">
        <v>11</v>
      </c>
      <c r="AE308" s="90"/>
      <c r="AF308" s="92"/>
      <c r="AG308" s="92"/>
      <c r="AH308" s="92"/>
    </row>
    <row r="309" spans="1:34" ht="15.75" customHeight="1" thickBot="1">
      <c r="A309" s="67">
        <v>307</v>
      </c>
      <c r="B309" s="68" t="s">
        <v>942</v>
      </c>
      <c r="C309" s="68" t="s">
        <v>943</v>
      </c>
      <c r="D309" s="120">
        <v>5.5</v>
      </c>
      <c r="E309" s="99">
        <v>6.5</v>
      </c>
      <c r="F309" s="99">
        <v>8</v>
      </c>
      <c r="G309" s="71">
        <f t="shared" si="47"/>
        <v>6.666666666666667</v>
      </c>
      <c r="H309" s="72">
        <v>6.5</v>
      </c>
      <c r="I309" s="73">
        <v>6</v>
      </c>
      <c r="J309" s="74">
        <v>6.5</v>
      </c>
      <c r="K309" s="74">
        <v>5</v>
      </c>
      <c r="L309" s="75">
        <v>7</v>
      </c>
      <c r="M309" s="76">
        <f t="shared" si="48"/>
        <v>6.166666666666667</v>
      </c>
      <c r="N309" s="77">
        <f t="shared" si="49"/>
        <v>67.925925925925938</v>
      </c>
      <c r="O309" s="119">
        <v>6.5</v>
      </c>
      <c r="P309" s="79">
        <v>6.5</v>
      </c>
      <c r="Q309" s="80">
        <f t="shared" si="53"/>
        <v>6.5</v>
      </c>
      <c r="R309" s="87" t="s">
        <v>944</v>
      </c>
      <c r="S309" s="81">
        <v>6.5</v>
      </c>
      <c r="T309" s="82"/>
      <c r="U309" s="83"/>
      <c r="V309" s="84"/>
      <c r="W309" s="84"/>
      <c r="X309" s="84"/>
      <c r="Y309" s="85"/>
      <c r="Z309" s="86">
        <f t="shared" si="51"/>
        <v>31.425925925925931</v>
      </c>
      <c r="AA309" s="61">
        <f t="shared" si="40"/>
        <v>2</v>
      </c>
      <c r="AB309" s="62">
        <f t="shared" si="41"/>
        <v>2</v>
      </c>
      <c r="AC309" s="87" t="s">
        <v>944</v>
      </c>
      <c r="AD309" s="88">
        <v>8</v>
      </c>
      <c r="AE309" s="90"/>
      <c r="AF309" s="92"/>
      <c r="AG309" s="92"/>
      <c r="AH309" s="92"/>
    </row>
    <row r="310" spans="1:34" ht="15.75" customHeight="1" thickBot="1">
      <c r="A310" s="67">
        <v>308</v>
      </c>
      <c r="B310" s="68" t="s">
        <v>945</v>
      </c>
      <c r="C310" s="68" t="s">
        <v>946</v>
      </c>
      <c r="D310" s="120">
        <v>3.5</v>
      </c>
      <c r="E310" s="99">
        <v>4</v>
      </c>
      <c r="F310" s="99">
        <v>6</v>
      </c>
      <c r="G310" s="71">
        <f t="shared" si="47"/>
        <v>4.5</v>
      </c>
      <c r="H310" s="72">
        <v>4.5</v>
      </c>
      <c r="I310" s="73">
        <v>7</v>
      </c>
      <c r="J310" s="74">
        <v>4</v>
      </c>
      <c r="K310" s="74">
        <v>3</v>
      </c>
      <c r="L310" s="75">
        <v>6</v>
      </c>
      <c r="M310" s="76">
        <f t="shared" si="48"/>
        <v>4.333333333333333</v>
      </c>
      <c r="N310" s="77">
        <f t="shared" si="49"/>
        <v>53.074074074074076</v>
      </c>
      <c r="O310" s="78">
        <v>3</v>
      </c>
      <c r="P310" s="79">
        <v>3.5</v>
      </c>
      <c r="Q310" s="80">
        <f t="shared" si="53"/>
        <v>3.25</v>
      </c>
      <c r="R310" s="87" t="s">
        <v>947</v>
      </c>
      <c r="S310" s="81">
        <v>3.5</v>
      </c>
      <c r="T310" s="82"/>
      <c r="U310" s="83"/>
      <c r="V310" s="84"/>
      <c r="W310" s="84"/>
      <c r="X310" s="84"/>
      <c r="Y310" s="85"/>
      <c r="Z310" s="86">
        <f t="shared" si="51"/>
        <v>20.49074074074074</v>
      </c>
      <c r="AA310" s="61">
        <f t="shared" si="40"/>
        <v>2</v>
      </c>
      <c r="AB310" s="62">
        <f t="shared" si="41"/>
        <v>2</v>
      </c>
      <c r="AC310" s="87" t="s">
        <v>947</v>
      </c>
      <c r="AD310" s="88">
        <v>8</v>
      </c>
      <c r="AE310" s="90"/>
      <c r="AF310" s="92"/>
      <c r="AG310" s="92"/>
      <c r="AH310" s="92"/>
    </row>
    <row r="311" spans="1:34" ht="15.75" customHeight="1" thickBot="1">
      <c r="A311" s="67">
        <v>309</v>
      </c>
      <c r="B311" s="68" t="s">
        <v>948</v>
      </c>
      <c r="C311" s="68" t="s">
        <v>949</v>
      </c>
      <c r="D311" s="120">
        <v>3.5</v>
      </c>
      <c r="E311" s="99">
        <v>4.5</v>
      </c>
      <c r="F311" s="99">
        <v>6</v>
      </c>
      <c r="G311" s="71">
        <f t="shared" si="47"/>
        <v>4.666666666666667</v>
      </c>
      <c r="H311" s="72">
        <v>4.5</v>
      </c>
      <c r="I311" s="73">
        <v>6</v>
      </c>
      <c r="J311" s="74">
        <v>4</v>
      </c>
      <c r="K311" s="74">
        <v>3</v>
      </c>
      <c r="L311" s="75">
        <v>6</v>
      </c>
      <c r="M311" s="76">
        <f t="shared" si="48"/>
        <v>4.333333333333333</v>
      </c>
      <c r="N311" s="77">
        <f t="shared" si="49"/>
        <v>51.074074074074076</v>
      </c>
      <c r="O311" s="78">
        <v>4.5</v>
      </c>
      <c r="P311" s="79">
        <v>4</v>
      </c>
      <c r="Q311" s="80">
        <f t="shared" si="53"/>
        <v>4.25</v>
      </c>
      <c r="R311" s="87" t="s">
        <v>950</v>
      </c>
      <c r="S311" s="81">
        <v>4.5</v>
      </c>
      <c r="T311" s="82"/>
      <c r="U311" s="83"/>
      <c r="V311" s="84"/>
      <c r="W311" s="84"/>
      <c r="X311" s="84"/>
      <c r="Y311" s="85"/>
      <c r="Z311" s="86">
        <f t="shared" si="51"/>
        <v>22.212962962962962</v>
      </c>
      <c r="AA311" s="61">
        <f t="shared" si="40"/>
        <v>2</v>
      </c>
      <c r="AB311" s="62">
        <f t="shared" si="41"/>
        <v>2</v>
      </c>
      <c r="AC311" s="87" t="s">
        <v>950</v>
      </c>
      <c r="AD311" s="88">
        <v>9</v>
      </c>
      <c r="AE311" s="90"/>
      <c r="AF311" s="92"/>
      <c r="AG311" s="92"/>
      <c r="AH311" s="92"/>
    </row>
    <row r="312" spans="1:34" ht="15.75" customHeight="1" thickBot="1">
      <c r="A312" s="67">
        <v>310</v>
      </c>
      <c r="B312" s="68" t="s">
        <v>951</v>
      </c>
      <c r="C312" s="68" t="s">
        <v>952</v>
      </c>
      <c r="D312" s="120">
        <v>3</v>
      </c>
      <c r="E312" s="99">
        <v>6.5</v>
      </c>
      <c r="F312" s="99">
        <v>7.5</v>
      </c>
      <c r="G312" s="71">
        <f t="shared" si="47"/>
        <v>5.666666666666667</v>
      </c>
      <c r="H312" s="72">
        <v>5.5</v>
      </c>
      <c r="I312" s="73">
        <v>7</v>
      </c>
      <c r="J312" s="74">
        <v>5.5</v>
      </c>
      <c r="K312" s="74">
        <v>5</v>
      </c>
      <c r="L312" s="75">
        <v>7</v>
      </c>
      <c r="M312" s="76">
        <f t="shared" si="48"/>
        <v>5.833333333333333</v>
      </c>
      <c r="N312" s="77">
        <f t="shared" si="49"/>
        <v>64.740740740740733</v>
      </c>
      <c r="O312" s="78">
        <v>6</v>
      </c>
      <c r="P312" s="79">
        <v>6</v>
      </c>
      <c r="Q312" s="80">
        <f t="shared" si="53"/>
        <v>6</v>
      </c>
      <c r="R312" s="87" t="s">
        <v>953</v>
      </c>
      <c r="S312" s="89">
        <v>6</v>
      </c>
      <c r="T312" s="82"/>
      <c r="U312" s="83"/>
      <c r="V312" s="84"/>
      <c r="W312" s="84"/>
      <c r="X312" s="84"/>
      <c r="Y312" s="85"/>
      <c r="Z312" s="86">
        <f t="shared" si="51"/>
        <v>29.518518518518519</v>
      </c>
      <c r="AA312" s="61">
        <f t="shared" si="40"/>
        <v>2</v>
      </c>
      <c r="AB312" s="62">
        <f t="shared" si="41"/>
        <v>2</v>
      </c>
      <c r="AC312" s="87" t="s">
        <v>953</v>
      </c>
      <c r="AD312" s="88">
        <v>9</v>
      </c>
      <c r="AE312" s="90"/>
      <c r="AF312" s="92"/>
      <c r="AG312" s="92"/>
      <c r="AH312" s="92"/>
    </row>
    <row r="313" spans="1:34" ht="15.75" customHeight="1" thickBot="1">
      <c r="A313" s="67">
        <v>311</v>
      </c>
      <c r="B313" s="68" t="s">
        <v>954</v>
      </c>
      <c r="C313" s="68" t="s">
        <v>955</v>
      </c>
      <c r="D313" s="120">
        <v>4</v>
      </c>
      <c r="E313" s="99">
        <v>6</v>
      </c>
      <c r="F313" s="99">
        <v>8.5</v>
      </c>
      <c r="G313" s="71">
        <f t="shared" si="47"/>
        <v>6.166666666666667</v>
      </c>
      <c r="H313" s="72">
        <v>6</v>
      </c>
      <c r="I313" s="73">
        <v>8</v>
      </c>
      <c r="J313" s="74">
        <v>5.5</v>
      </c>
      <c r="K313" s="74">
        <v>5</v>
      </c>
      <c r="L313" s="75">
        <v>7</v>
      </c>
      <c r="M313" s="76">
        <f t="shared" si="48"/>
        <v>5.833333333333333</v>
      </c>
      <c r="N313" s="121">
        <f t="shared" si="49"/>
        <v>68.407407407407405</v>
      </c>
      <c r="O313" s="119">
        <v>5.5</v>
      </c>
      <c r="P313" s="79">
        <v>5.5</v>
      </c>
      <c r="Q313" s="80">
        <f t="shared" si="53"/>
        <v>5.5</v>
      </c>
      <c r="R313" s="87" t="s">
        <v>956</v>
      </c>
      <c r="S313" s="81">
        <v>5.5</v>
      </c>
      <c r="T313" s="82"/>
      <c r="U313" s="83"/>
      <c r="V313" s="84"/>
      <c r="W313" s="84"/>
      <c r="X313" s="84"/>
      <c r="Y313" s="85"/>
      <c r="Z313" s="86">
        <f t="shared" si="51"/>
        <v>29.324074074074076</v>
      </c>
      <c r="AA313" s="61">
        <f t="shared" si="40"/>
        <v>2</v>
      </c>
      <c r="AB313" s="62">
        <f t="shared" si="41"/>
        <v>2</v>
      </c>
      <c r="AC313" s="87" t="s">
        <v>956</v>
      </c>
      <c r="AD313" s="88">
        <v>8</v>
      </c>
      <c r="AE313" s="90"/>
      <c r="AF313" s="92"/>
      <c r="AG313" s="92"/>
      <c r="AH313" s="92"/>
    </row>
    <row r="314" spans="1:34" ht="15.75" customHeight="1" thickBot="1">
      <c r="A314" s="67">
        <v>312</v>
      </c>
      <c r="B314" s="68" t="s">
        <v>957</v>
      </c>
      <c r="C314" s="68" t="s">
        <v>958</v>
      </c>
      <c r="D314" s="120">
        <v>5.5</v>
      </c>
      <c r="E314" s="99">
        <v>5.5</v>
      </c>
      <c r="F314" s="99">
        <v>9</v>
      </c>
      <c r="G314" s="71">
        <f t="shared" si="47"/>
        <v>6.666666666666667</v>
      </c>
      <c r="H314" s="72">
        <v>6.5</v>
      </c>
      <c r="I314" s="73">
        <v>5</v>
      </c>
      <c r="J314" s="74">
        <v>4.5</v>
      </c>
      <c r="K314" s="74">
        <v>3.5</v>
      </c>
      <c r="L314" s="75">
        <v>7</v>
      </c>
      <c r="M314" s="76">
        <f t="shared" si="48"/>
        <v>5</v>
      </c>
      <c r="N314" s="121">
        <f t="shared" si="49"/>
        <v>59.444444444444443</v>
      </c>
      <c r="O314" s="78">
        <v>3</v>
      </c>
      <c r="P314" s="79">
        <v>4</v>
      </c>
      <c r="Q314" s="80">
        <f t="shared" si="53"/>
        <v>3.5</v>
      </c>
      <c r="R314" s="87" t="s">
        <v>959</v>
      </c>
      <c r="S314" s="81">
        <v>3.5</v>
      </c>
      <c r="T314" s="82"/>
      <c r="U314" s="83"/>
      <c r="V314" s="84"/>
      <c r="W314" s="84"/>
      <c r="X314" s="84"/>
      <c r="Y314" s="85"/>
      <c r="Z314" s="86">
        <f t="shared" si="51"/>
        <v>22.638888888888889</v>
      </c>
      <c r="AA314" s="61">
        <f t="shared" si="40"/>
        <v>2</v>
      </c>
      <c r="AB314" s="62">
        <f t="shared" si="41"/>
        <v>2</v>
      </c>
      <c r="AC314" s="87" t="s">
        <v>959</v>
      </c>
      <c r="AD314" s="88" t="s">
        <v>113</v>
      </c>
      <c r="AE314" s="90"/>
      <c r="AF314" s="92"/>
      <c r="AG314" s="92"/>
      <c r="AH314" s="92"/>
    </row>
    <row r="315" spans="1:34" ht="15.75" customHeight="1" thickBot="1">
      <c r="A315" s="67">
        <v>313</v>
      </c>
      <c r="B315" s="68" t="s">
        <v>960</v>
      </c>
      <c r="C315" s="68" t="s">
        <v>961</v>
      </c>
      <c r="D315" s="120">
        <v>5</v>
      </c>
      <c r="E315" s="99">
        <v>6</v>
      </c>
      <c r="F315" s="99">
        <v>7</v>
      </c>
      <c r="G315" s="71">
        <f t="shared" si="47"/>
        <v>6</v>
      </c>
      <c r="H315" s="72">
        <v>6</v>
      </c>
      <c r="I315" s="73">
        <v>5.5</v>
      </c>
      <c r="J315" s="74">
        <v>6</v>
      </c>
      <c r="K315" s="74">
        <v>6</v>
      </c>
      <c r="L315" s="75">
        <v>7.5</v>
      </c>
      <c r="M315" s="76">
        <f t="shared" si="48"/>
        <v>6.5</v>
      </c>
      <c r="N315" s="121">
        <f t="shared" si="49"/>
        <v>67.111111111111114</v>
      </c>
      <c r="O315" s="78">
        <v>7</v>
      </c>
      <c r="P315" s="79">
        <v>7</v>
      </c>
      <c r="Q315" s="80">
        <f t="shared" si="53"/>
        <v>7</v>
      </c>
      <c r="R315" s="87" t="s">
        <v>962</v>
      </c>
      <c r="S315" s="89">
        <v>7</v>
      </c>
      <c r="T315" s="82"/>
      <c r="U315" s="83"/>
      <c r="V315" s="84"/>
      <c r="W315" s="84"/>
      <c r="X315" s="84"/>
      <c r="Y315" s="85"/>
      <c r="Z315" s="86">
        <f t="shared" si="51"/>
        <v>32.333333333333336</v>
      </c>
      <c r="AA315" s="61">
        <f t="shared" si="40"/>
        <v>2</v>
      </c>
      <c r="AB315" s="62">
        <f t="shared" si="41"/>
        <v>2</v>
      </c>
      <c r="AC315" s="87" t="s">
        <v>962</v>
      </c>
      <c r="AD315" s="88">
        <v>4</v>
      </c>
      <c r="AE315" s="90"/>
      <c r="AF315" s="92"/>
      <c r="AG315" s="92"/>
      <c r="AH315" s="92"/>
    </row>
    <row r="316" spans="1:34" ht="15.75" customHeight="1" thickBot="1">
      <c r="A316" s="67">
        <v>314</v>
      </c>
      <c r="B316" s="68" t="s">
        <v>963</v>
      </c>
      <c r="C316" s="68" t="s">
        <v>964</v>
      </c>
      <c r="D316" s="120">
        <v>4.5</v>
      </c>
      <c r="E316" s="99">
        <v>5.5</v>
      </c>
      <c r="F316" s="99">
        <v>7</v>
      </c>
      <c r="G316" s="71">
        <f t="shared" si="47"/>
        <v>5.666666666666667</v>
      </c>
      <c r="H316" s="72">
        <v>5.5</v>
      </c>
      <c r="I316" s="73">
        <v>9</v>
      </c>
      <c r="J316" s="74">
        <v>4.5</v>
      </c>
      <c r="K316" s="74">
        <v>4</v>
      </c>
      <c r="L316" s="75">
        <v>6.5</v>
      </c>
      <c r="M316" s="76">
        <f t="shared" si="48"/>
        <v>5</v>
      </c>
      <c r="N316" s="121">
        <f t="shared" si="49"/>
        <v>64.111111111111114</v>
      </c>
      <c r="O316" s="119">
        <v>5.5</v>
      </c>
      <c r="P316" s="79">
        <v>5.5</v>
      </c>
      <c r="Q316" s="80">
        <f t="shared" si="53"/>
        <v>5.5</v>
      </c>
      <c r="R316" s="87" t="s">
        <v>965</v>
      </c>
      <c r="S316" s="81">
        <v>5.5</v>
      </c>
      <c r="T316" s="82"/>
      <c r="U316" s="83"/>
      <c r="V316" s="84"/>
      <c r="W316" s="84"/>
      <c r="X316" s="84"/>
      <c r="Y316" s="85"/>
      <c r="Z316" s="86">
        <f t="shared" si="51"/>
        <v>28.25</v>
      </c>
      <c r="AA316" s="61">
        <f t="shared" si="40"/>
        <v>2</v>
      </c>
      <c r="AB316" s="62">
        <f t="shared" si="41"/>
        <v>2</v>
      </c>
      <c r="AC316" s="87" t="s">
        <v>965</v>
      </c>
      <c r="AD316" s="88">
        <v>3</v>
      </c>
      <c r="AE316" s="90"/>
      <c r="AF316" s="92"/>
      <c r="AG316" s="92"/>
      <c r="AH316" s="92"/>
    </row>
    <row r="317" spans="1:34" ht="15.75" customHeight="1" thickBot="1">
      <c r="A317" s="67">
        <v>315</v>
      </c>
      <c r="B317" s="68" t="s">
        <v>966</v>
      </c>
      <c r="C317" s="68" t="s">
        <v>967</v>
      </c>
      <c r="D317" s="120">
        <v>4.5</v>
      </c>
      <c r="E317" s="99">
        <v>4.5</v>
      </c>
      <c r="F317" s="99">
        <v>6.5</v>
      </c>
      <c r="G317" s="71">
        <f t="shared" si="47"/>
        <v>5.166666666666667</v>
      </c>
      <c r="H317" s="72">
        <v>5</v>
      </c>
      <c r="I317" s="73">
        <v>6</v>
      </c>
      <c r="J317" s="74">
        <v>5.5</v>
      </c>
      <c r="K317" s="74">
        <v>4</v>
      </c>
      <c r="L317" s="75">
        <v>7</v>
      </c>
      <c r="M317" s="76">
        <f t="shared" si="48"/>
        <v>5.5</v>
      </c>
      <c r="N317" s="121">
        <f t="shared" si="49"/>
        <v>59.222222222222229</v>
      </c>
      <c r="O317" s="78">
        <v>5.5</v>
      </c>
      <c r="P317" s="79">
        <v>4</v>
      </c>
      <c r="Q317" s="80">
        <f t="shared" si="53"/>
        <v>4.75</v>
      </c>
      <c r="R317" s="87" t="s">
        <v>968</v>
      </c>
      <c r="S317" s="89">
        <v>5</v>
      </c>
      <c r="T317" s="82"/>
      <c r="U317" s="83"/>
      <c r="V317" s="84"/>
      <c r="W317" s="84"/>
      <c r="X317" s="84"/>
      <c r="Y317" s="85"/>
      <c r="Z317" s="86">
        <f t="shared" si="51"/>
        <v>25.361111111111114</v>
      </c>
      <c r="AA317" s="61">
        <f t="shared" si="40"/>
        <v>2</v>
      </c>
      <c r="AB317" s="62">
        <f t="shared" si="41"/>
        <v>2</v>
      </c>
      <c r="AC317" s="87" t="s">
        <v>968</v>
      </c>
      <c r="AD317" s="88">
        <v>8</v>
      </c>
      <c r="AE317" s="90"/>
      <c r="AF317" s="92"/>
      <c r="AG317" s="92"/>
      <c r="AH317" s="92"/>
    </row>
    <row r="318" spans="1:34" ht="15.75" customHeight="1" thickBot="1">
      <c r="A318" s="67">
        <v>316</v>
      </c>
      <c r="B318" s="68" t="s">
        <v>969</v>
      </c>
      <c r="C318" s="68" t="s">
        <v>970</v>
      </c>
      <c r="D318" s="120">
        <v>6</v>
      </c>
      <c r="E318" s="99">
        <v>6.5</v>
      </c>
      <c r="F318" s="99">
        <v>7</v>
      </c>
      <c r="G318" s="71">
        <f t="shared" si="47"/>
        <v>6.5</v>
      </c>
      <c r="H318" s="72">
        <v>6.5</v>
      </c>
      <c r="I318" s="73">
        <v>9</v>
      </c>
      <c r="J318" s="74"/>
      <c r="K318" s="74"/>
      <c r="L318" s="75"/>
      <c r="M318" s="76" t="e">
        <f t="shared" si="48"/>
        <v>#DIV/0!</v>
      </c>
      <c r="N318" s="121" t="e">
        <f t="shared" si="49"/>
        <v>#DIV/0!</v>
      </c>
      <c r="O318" s="78"/>
      <c r="P318" s="79"/>
      <c r="Q318" s="80" t="e">
        <f t="shared" si="53"/>
        <v>#DIV/0!</v>
      </c>
      <c r="R318" s="87" t="s">
        <v>971</v>
      </c>
      <c r="S318" s="89">
        <v>0</v>
      </c>
      <c r="T318" s="82"/>
      <c r="U318" s="83"/>
      <c r="V318" s="84"/>
      <c r="W318" s="84"/>
      <c r="X318" s="84"/>
      <c r="Y318" s="85"/>
      <c r="Z318" s="86" t="e">
        <f t="shared" si="51"/>
        <v>#DIV/0!</v>
      </c>
      <c r="AA318" s="61" t="e">
        <f t="shared" si="40"/>
        <v>#DIV/0!</v>
      </c>
      <c r="AB318" s="62" t="e">
        <f t="shared" si="41"/>
        <v>#DIV/0!</v>
      </c>
      <c r="AC318" s="87" t="s">
        <v>971</v>
      </c>
      <c r="AD318" s="88" t="s">
        <v>113</v>
      </c>
      <c r="AE318" s="90"/>
      <c r="AF318" s="92"/>
      <c r="AG318" s="92"/>
      <c r="AH318" s="92"/>
    </row>
    <row r="319" spans="1:34" ht="15.75" customHeight="1" thickBot="1">
      <c r="A319" s="67">
        <v>317</v>
      </c>
      <c r="B319" s="68" t="s">
        <v>972</v>
      </c>
      <c r="C319" s="68" t="s">
        <v>973</v>
      </c>
      <c r="D319" s="120">
        <v>5</v>
      </c>
      <c r="E319" s="99">
        <v>5.5</v>
      </c>
      <c r="F319" s="99">
        <v>8</v>
      </c>
      <c r="G319" s="71">
        <f t="shared" si="47"/>
        <v>6.166666666666667</v>
      </c>
      <c r="H319" s="72">
        <v>6</v>
      </c>
      <c r="I319" s="73">
        <v>5</v>
      </c>
      <c r="J319" s="74">
        <v>6.5</v>
      </c>
      <c r="K319" s="74">
        <v>5</v>
      </c>
      <c r="L319" s="75">
        <v>7</v>
      </c>
      <c r="M319" s="76">
        <f t="shared" si="48"/>
        <v>6.166666666666667</v>
      </c>
      <c r="N319" s="121">
        <f t="shared" si="49"/>
        <v>64.259259259259267</v>
      </c>
      <c r="O319" s="78">
        <v>5.5</v>
      </c>
      <c r="P319" s="79">
        <v>7</v>
      </c>
      <c r="Q319" s="80">
        <f t="shared" si="53"/>
        <v>6.25</v>
      </c>
      <c r="R319" s="87" t="s">
        <v>974</v>
      </c>
      <c r="S319" s="81">
        <v>6.5</v>
      </c>
      <c r="T319" s="82"/>
      <c r="U319" s="83"/>
      <c r="V319" s="84"/>
      <c r="W319" s="84"/>
      <c r="X319" s="84"/>
      <c r="Y319" s="85"/>
      <c r="Z319" s="86">
        <f t="shared" si="51"/>
        <v>29.953703703703706</v>
      </c>
      <c r="AA319" s="61">
        <f t="shared" si="40"/>
        <v>2</v>
      </c>
      <c r="AB319" s="62">
        <f t="shared" si="41"/>
        <v>2</v>
      </c>
      <c r="AC319" s="87" t="s">
        <v>974</v>
      </c>
      <c r="AD319" s="88">
        <v>13</v>
      </c>
      <c r="AE319" s="90"/>
      <c r="AF319" s="92"/>
      <c r="AG319" s="92"/>
      <c r="AH319" s="92"/>
    </row>
    <row r="320" spans="1:34" ht="15.75" customHeight="1">
      <c r="A320" s="91"/>
      <c r="B320" s="91"/>
      <c r="C320" s="91"/>
      <c r="D320" s="92"/>
      <c r="E320" s="92"/>
      <c r="F320" s="92"/>
      <c r="G320" s="92"/>
      <c r="H320" s="122"/>
      <c r="I320" s="123"/>
      <c r="J320" s="124"/>
      <c r="K320" s="124"/>
      <c r="L320" s="124"/>
      <c r="M320" s="92"/>
      <c r="N320" s="125"/>
      <c r="O320" s="126"/>
      <c r="P320" s="126"/>
      <c r="Q320" s="127"/>
      <c r="R320" s="127"/>
      <c r="S320" s="126"/>
      <c r="T320" s="123"/>
      <c r="U320" s="92"/>
      <c r="V320" s="92"/>
      <c r="W320" s="92"/>
      <c r="X320" s="92"/>
      <c r="Y320" s="92"/>
      <c r="Z320" s="92"/>
      <c r="AA320" s="92"/>
      <c r="AB320" s="92"/>
      <c r="AC320" s="92"/>
      <c r="AD320" s="124"/>
      <c r="AE320" s="92"/>
      <c r="AF320" s="92"/>
      <c r="AG320" s="92"/>
      <c r="AH320" s="92"/>
    </row>
    <row r="321" spans="1:34" ht="15.75" customHeight="1">
      <c r="A321" s="92"/>
      <c r="B321" s="92"/>
      <c r="C321" s="92"/>
      <c r="D321" s="92"/>
      <c r="E321" s="92"/>
      <c r="F321" s="92"/>
      <c r="G321" s="92"/>
      <c r="H321" s="122"/>
      <c r="I321" s="123"/>
      <c r="J321" s="124"/>
      <c r="K321" s="124"/>
      <c r="L321" s="124"/>
      <c r="M321" s="92"/>
      <c r="N321" s="125"/>
      <c r="O321" s="126"/>
      <c r="P321" s="126"/>
      <c r="Q321" s="127"/>
      <c r="R321" s="127"/>
      <c r="S321" s="126"/>
      <c r="T321" s="123"/>
      <c r="U321" s="92"/>
      <c r="V321" s="92"/>
      <c r="W321" s="92"/>
      <c r="X321" s="92"/>
      <c r="Y321" s="92"/>
      <c r="Z321" s="92"/>
      <c r="AA321" s="92"/>
      <c r="AB321" s="92"/>
      <c r="AC321" s="92"/>
      <c r="AD321" s="124"/>
      <c r="AE321" s="92"/>
      <c r="AF321" s="92"/>
      <c r="AG321" s="92"/>
      <c r="AH321" s="92"/>
    </row>
    <row r="322" spans="1:34" ht="15.75" customHeight="1">
      <c r="A322" s="92"/>
      <c r="B322" s="92"/>
      <c r="C322" s="92"/>
      <c r="D322" s="92"/>
      <c r="E322" s="92"/>
      <c r="F322" s="92"/>
      <c r="G322" s="92"/>
      <c r="H322" s="122"/>
      <c r="I322" s="123"/>
      <c r="J322" s="124"/>
      <c r="K322" s="124"/>
      <c r="L322" s="124"/>
      <c r="M322" s="92"/>
      <c r="N322" s="125"/>
      <c r="O322" s="126"/>
      <c r="P322" s="126"/>
      <c r="Q322" s="127"/>
      <c r="R322" s="127"/>
      <c r="S322" s="126"/>
      <c r="T322" s="123"/>
      <c r="U322" s="92"/>
      <c r="V322" s="92"/>
      <c r="W322" s="92"/>
      <c r="X322" s="92"/>
      <c r="Y322" s="92"/>
      <c r="Z322" s="92"/>
      <c r="AA322" s="92"/>
      <c r="AB322" s="92"/>
      <c r="AC322" s="92"/>
      <c r="AD322" s="124"/>
      <c r="AE322" s="92"/>
      <c r="AF322" s="92"/>
      <c r="AG322" s="92"/>
      <c r="AH322" s="92"/>
    </row>
    <row r="323" spans="1:34" ht="15.75" customHeight="1">
      <c r="A323" s="92"/>
      <c r="B323" s="92"/>
      <c r="C323" s="92"/>
      <c r="D323" s="92"/>
      <c r="E323" s="92"/>
      <c r="F323" s="92"/>
      <c r="G323" s="92"/>
      <c r="H323" s="122"/>
      <c r="I323" s="123"/>
      <c r="J323" s="124"/>
      <c r="K323" s="124"/>
      <c r="L323" s="124"/>
      <c r="M323" s="92"/>
      <c r="N323" s="125"/>
      <c r="O323" s="126"/>
      <c r="P323" s="126"/>
      <c r="Q323" s="127"/>
      <c r="R323" s="127"/>
      <c r="S323" s="126"/>
      <c r="T323" s="123"/>
      <c r="U323" s="92"/>
      <c r="V323" s="92"/>
      <c r="W323" s="92"/>
      <c r="X323" s="92"/>
      <c r="Y323" s="92"/>
      <c r="Z323" s="92"/>
      <c r="AA323" s="92"/>
      <c r="AB323" s="92"/>
      <c r="AC323" s="92"/>
      <c r="AD323" s="124"/>
      <c r="AE323" s="92"/>
      <c r="AF323" s="92"/>
      <c r="AG323" s="92"/>
      <c r="AH323" s="92"/>
    </row>
    <row r="324" spans="1:34" ht="15.75" customHeight="1">
      <c r="A324" s="92"/>
      <c r="B324" s="92"/>
      <c r="C324" s="92"/>
      <c r="D324" s="92"/>
      <c r="E324" s="92"/>
      <c r="F324" s="92"/>
      <c r="G324" s="92"/>
      <c r="H324" s="122"/>
      <c r="I324" s="123"/>
      <c r="J324" s="124"/>
      <c r="K324" s="124"/>
      <c r="L324" s="124"/>
      <c r="M324" s="92"/>
      <c r="N324" s="125"/>
      <c r="O324" s="126"/>
      <c r="P324" s="126"/>
      <c r="Q324" s="127"/>
      <c r="R324" s="127"/>
      <c r="S324" s="126"/>
      <c r="T324" s="123"/>
      <c r="U324" s="92"/>
      <c r="V324" s="92"/>
      <c r="W324" s="92"/>
      <c r="X324" s="92"/>
      <c r="Y324" s="92"/>
      <c r="Z324" s="92"/>
      <c r="AA324" s="92"/>
      <c r="AB324" s="92"/>
      <c r="AC324" s="92"/>
      <c r="AD324" s="124"/>
      <c r="AE324" s="92"/>
      <c r="AF324" s="92"/>
      <c r="AG324" s="92"/>
      <c r="AH324" s="92"/>
    </row>
    <row r="325" spans="1:34" ht="15.75" customHeight="1">
      <c r="A325" s="92"/>
      <c r="B325" s="92"/>
      <c r="C325" s="92"/>
      <c r="D325" s="92"/>
      <c r="E325" s="92"/>
      <c r="F325" s="92"/>
      <c r="G325" s="92"/>
      <c r="H325" s="122"/>
      <c r="I325" s="123"/>
      <c r="J325" s="124"/>
      <c r="K325" s="124"/>
      <c r="L325" s="124"/>
      <c r="M325" s="92"/>
      <c r="N325" s="125"/>
      <c r="O325" s="126"/>
      <c r="P325" s="126"/>
      <c r="Q325" s="127"/>
      <c r="R325" s="127"/>
      <c r="S325" s="126"/>
      <c r="T325" s="123"/>
      <c r="U325" s="92"/>
      <c r="V325" s="92"/>
      <c r="W325" s="92"/>
      <c r="X325" s="92"/>
      <c r="Y325" s="92"/>
      <c r="Z325" s="92"/>
      <c r="AA325" s="92"/>
      <c r="AB325" s="92"/>
      <c r="AC325" s="92"/>
      <c r="AD325" s="124"/>
      <c r="AE325" s="92"/>
      <c r="AF325" s="92"/>
      <c r="AG325" s="92"/>
      <c r="AH325" s="92"/>
    </row>
    <row r="326" spans="1:34" ht="15.75" customHeight="1">
      <c r="A326" s="92"/>
      <c r="B326" s="92"/>
      <c r="C326" s="92"/>
      <c r="D326" s="92"/>
      <c r="E326" s="92"/>
      <c r="F326" s="92"/>
      <c r="G326" s="92"/>
      <c r="H326" s="122"/>
      <c r="I326" s="123"/>
      <c r="J326" s="124"/>
      <c r="K326" s="124"/>
      <c r="L326" s="124"/>
      <c r="M326" s="92"/>
      <c r="N326" s="125"/>
      <c r="O326" s="126"/>
      <c r="P326" s="126"/>
      <c r="Q326" s="127"/>
      <c r="R326" s="127"/>
      <c r="S326" s="126"/>
      <c r="T326" s="123"/>
      <c r="U326" s="92"/>
      <c r="V326" s="92"/>
      <c r="W326" s="92"/>
      <c r="X326" s="92"/>
      <c r="Y326" s="92"/>
      <c r="Z326" s="92"/>
      <c r="AA326" s="92"/>
      <c r="AB326" s="92"/>
      <c r="AC326" s="92"/>
      <c r="AD326" s="124"/>
      <c r="AE326" s="92"/>
      <c r="AF326" s="92"/>
      <c r="AG326" s="92"/>
      <c r="AH326" s="92"/>
    </row>
    <row r="327" spans="1:34" ht="15.75" customHeight="1">
      <c r="A327" s="92"/>
      <c r="B327" s="92"/>
      <c r="C327" s="92"/>
      <c r="D327" s="92"/>
      <c r="E327" s="92"/>
      <c r="F327" s="92"/>
      <c r="G327" s="92"/>
      <c r="H327" s="122"/>
      <c r="I327" s="123"/>
      <c r="J327" s="124"/>
      <c r="K327" s="124"/>
      <c r="L327" s="124"/>
      <c r="M327" s="92"/>
      <c r="N327" s="125"/>
      <c r="O327" s="126"/>
      <c r="P327" s="126"/>
      <c r="Q327" s="127"/>
      <c r="R327" s="127"/>
      <c r="S327" s="126"/>
      <c r="T327" s="123"/>
      <c r="U327" s="92"/>
      <c r="V327" s="92"/>
      <c r="W327" s="92"/>
      <c r="X327" s="92"/>
      <c r="Y327" s="92"/>
      <c r="Z327" s="92"/>
      <c r="AA327" s="92"/>
      <c r="AB327" s="92"/>
      <c r="AC327" s="92"/>
      <c r="AD327" s="124"/>
      <c r="AE327" s="92"/>
      <c r="AF327" s="92"/>
      <c r="AG327" s="92"/>
      <c r="AH327" s="92"/>
    </row>
    <row r="328" spans="1:34" ht="15.75" customHeight="1">
      <c r="A328" s="92"/>
      <c r="B328" s="92"/>
      <c r="C328" s="92"/>
      <c r="D328" s="92"/>
      <c r="E328" s="92"/>
      <c r="F328" s="92"/>
      <c r="G328" s="92"/>
      <c r="H328" s="122"/>
      <c r="I328" s="123"/>
      <c r="J328" s="124"/>
      <c r="K328" s="124"/>
      <c r="L328" s="124"/>
      <c r="M328" s="92"/>
      <c r="N328" s="125"/>
      <c r="O328" s="126"/>
      <c r="P328" s="126"/>
      <c r="Q328" s="127"/>
      <c r="R328" s="127"/>
      <c r="S328" s="126"/>
      <c r="T328" s="123"/>
      <c r="U328" s="92"/>
      <c r="V328" s="92"/>
      <c r="W328" s="92"/>
      <c r="X328" s="92"/>
      <c r="Y328" s="92"/>
      <c r="Z328" s="92"/>
      <c r="AA328" s="92"/>
      <c r="AB328" s="92"/>
      <c r="AC328" s="92"/>
      <c r="AD328" s="124"/>
      <c r="AE328" s="92"/>
      <c r="AF328" s="92"/>
      <c r="AG328" s="92"/>
      <c r="AH328" s="92"/>
    </row>
    <row r="329" spans="1:34" ht="15.75" customHeight="1">
      <c r="A329" s="92"/>
      <c r="B329" s="92"/>
      <c r="C329" s="92"/>
      <c r="D329" s="92"/>
      <c r="E329" s="92"/>
      <c r="F329" s="92"/>
      <c r="G329" s="92"/>
      <c r="H329" s="122"/>
      <c r="I329" s="123"/>
      <c r="J329" s="124"/>
      <c r="K329" s="124"/>
      <c r="L329" s="124"/>
      <c r="M329" s="92"/>
      <c r="N329" s="125"/>
      <c r="O329" s="126"/>
      <c r="P329" s="126"/>
      <c r="Q329" s="127"/>
      <c r="R329" s="127"/>
      <c r="S329" s="126"/>
      <c r="T329" s="123"/>
      <c r="U329" s="92"/>
      <c r="V329" s="92"/>
      <c r="W329" s="92"/>
      <c r="X329" s="92"/>
      <c r="Y329" s="92"/>
      <c r="Z329" s="92"/>
      <c r="AA329" s="92"/>
      <c r="AB329" s="92"/>
      <c r="AC329" s="92"/>
      <c r="AD329" s="124"/>
      <c r="AE329" s="92"/>
      <c r="AF329" s="92"/>
      <c r="AG329" s="92"/>
      <c r="AH329" s="92"/>
    </row>
    <row r="330" spans="1:34" ht="15.75" customHeight="1">
      <c r="A330" s="92"/>
      <c r="B330" s="92"/>
      <c r="C330" s="92"/>
      <c r="D330" s="92"/>
      <c r="E330" s="92"/>
      <c r="F330" s="92"/>
      <c r="G330" s="92"/>
      <c r="H330" s="122"/>
      <c r="I330" s="123"/>
      <c r="J330" s="124"/>
      <c r="K330" s="124"/>
      <c r="L330" s="124"/>
      <c r="M330" s="92"/>
      <c r="N330" s="125"/>
      <c r="O330" s="126"/>
      <c r="P330" s="126"/>
      <c r="Q330" s="127"/>
      <c r="R330" s="127"/>
      <c r="S330" s="126"/>
      <c r="T330" s="123"/>
      <c r="U330" s="92"/>
      <c r="V330" s="92"/>
      <c r="W330" s="92"/>
      <c r="X330" s="92"/>
      <c r="Y330" s="92"/>
      <c r="Z330" s="92"/>
      <c r="AA330" s="92"/>
      <c r="AB330" s="92"/>
      <c r="AC330" s="92"/>
      <c r="AD330" s="124"/>
      <c r="AE330" s="92"/>
      <c r="AF330" s="92"/>
      <c r="AG330" s="92"/>
      <c r="AH330" s="92"/>
    </row>
    <row r="331" spans="1:34" ht="15.75" customHeight="1">
      <c r="A331" s="92"/>
      <c r="B331" s="92"/>
      <c r="C331" s="92"/>
      <c r="D331" s="92"/>
      <c r="E331" s="92"/>
      <c r="F331" s="92"/>
      <c r="G331" s="92"/>
      <c r="H331" s="122"/>
      <c r="I331" s="123"/>
      <c r="J331" s="124"/>
      <c r="K331" s="124"/>
      <c r="L331" s="124"/>
      <c r="M331" s="92"/>
      <c r="N331" s="125"/>
      <c r="O331" s="126"/>
      <c r="P331" s="126"/>
      <c r="Q331" s="127"/>
      <c r="R331" s="127"/>
      <c r="S331" s="126"/>
      <c r="T331" s="123"/>
      <c r="U331" s="92"/>
      <c r="V331" s="92"/>
      <c r="W331" s="92"/>
      <c r="X331" s="92"/>
      <c r="Y331" s="92"/>
      <c r="Z331" s="92"/>
      <c r="AA331" s="92"/>
      <c r="AB331" s="92"/>
      <c r="AC331" s="92"/>
      <c r="AD331" s="124"/>
      <c r="AE331" s="92"/>
      <c r="AF331" s="92"/>
      <c r="AG331" s="92"/>
      <c r="AH331" s="92"/>
    </row>
    <row r="332" spans="1:34" ht="15.75" customHeight="1">
      <c r="A332" s="92"/>
      <c r="B332" s="92"/>
      <c r="C332" s="92"/>
      <c r="D332" s="92"/>
      <c r="E332" s="92"/>
      <c r="F332" s="92"/>
      <c r="G332" s="92"/>
      <c r="H332" s="122"/>
      <c r="I332" s="123"/>
      <c r="J332" s="124"/>
      <c r="K332" s="124"/>
      <c r="L332" s="124"/>
      <c r="M332" s="92"/>
      <c r="N332" s="125"/>
      <c r="O332" s="126"/>
      <c r="P332" s="126"/>
      <c r="Q332" s="127"/>
      <c r="R332" s="127"/>
      <c r="S332" s="126"/>
      <c r="T332" s="123"/>
      <c r="U332" s="92"/>
      <c r="V332" s="92"/>
      <c r="W332" s="92"/>
      <c r="X332" s="92"/>
      <c r="Y332" s="92"/>
      <c r="Z332" s="92"/>
      <c r="AA332" s="92"/>
      <c r="AB332" s="92"/>
      <c r="AC332" s="92"/>
      <c r="AD332" s="124"/>
      <c r="AE332" s="92"/>
      <c r="AF332" s="92"/>
      <c r="AG332" s="92"/>
      <c r="AH332" s="92"/>
    </row>
    <row r="333" spans="1:34" ht="15.75" customHeight="1">
      <c r="A333" s="92"/>
      <c r="B333" s="92"/>
      <c r="C333" s="92"/>
      <c r="D333" s="92"/>
      <c r="E333" s="92"/>
      <c r="F333" s="92"/>
      <c r="G333" s="92"/>
      <c r="H333" s="122"/>
      <c r="I333" s="123"/>
      <c r="J333" s="124"/>
      <c r="K333" s="124"/>
      <c r="L333" s="124"/>
      <c r="M333" s="92"/>
      <c r="N333" s="125"/>
      <c r="O333" s="126"/>
      <c r="P333" s="126"/>
      <c r="Q333" s="127"/>
      <c r="R333" s="127"/>
      <c r="S333" s="126"/>
      <c r="T333" s="123"/>
      <c r="U333" s="92"/>
      <c r="V333" s="92"/>
      <c r="W333" s="92"/>
      <c r="X333" s="92"/>
      <c r="Y333" s="92"/>
      <c r="Z333" s="92"/>
      <c r="AA333" s="92"/>
      <c r="AB333" s="92"/>
      <c r="AC333" s="92"/>
      <c r="AD333" s="124"/>
      <c r="AE333" s="92"/>
      <c r="AF333" s="92"/>
      <c r="AG333" s="92"/>
      <c r="AH333" s="92"/>
    </row>
    <row r="334" spans="1:34" ht="15.75" customHeight="1">
      <c r="A334" s="92"/>
      <c r="B334" s="92"/>
      <c r="C334" s="92"/>
      <c r="D334" s="92"/>
      <c r="E334" s="92"/>
      <c r="F334" s="92"/>
      <c r="G334" s="92"/>
      <c r="H334" s="122"/>
      <c r="I334" s="123"/>
      <c r="J334" s="124"/>
      <c r="K334" s="124"/>
      <c r="L334" s="124"/>
      <c r="M334" s="92"/>
      <c r="N334" s="125"/>
      <c r="O334" s="126"/>
      <c r="P334" s="126"/>
      <c r="Q334" s="127"/>
      <c r="R334" s="127"/>
      <c r="S334" s="126"/>
      <c r="T334" s="123"/>
      <c r="U334" s="92"/>
      <c r="V334" s="92"/>
      <c r="W334" s="92"/>
      <c r="X334" s="92"/>
      <c r="Y334" s="92"/>
      <c r="Z334" s="92"/>
      <c r="AA334" s="92"/>
      <c r="AB334" s="92"/>
      <c r="AC334" s="92"/>
      <c r="AD334" s="124"/>
      <c r="AE334" s="92"/>
      <c r="AF334" s="92"/>
      <c r="AG334" s="92"/>
      <c r="AH334" s="92"/>
    </row>
    <row r="335" spans="1:34" ht="15.75" customHeight="1">
      <c r="A335" s="92"/>
      <c r="B335" s="92"/>
      <c r="C335" s="92"/>
      <c r="D335" s="92"/>
      <c r="E335" s="92"/>
      <c r="F335" s="92"/>
      <c r="G335" s="92"/>
      <c r="H335" s="122"/>
      <c r="I335" s="123"/>
      <c r="J335" s="124"/>
      <c r="K335" s="124"/>
      <c r="L335" s="124"/>
      <c r="M335" s="92"/>
      <c r="N335" s="125"/>
      <c r="O335" s="126"/>
      <c r="P335" s="126"/>
      <c r="Q335" s="127"/>
      <c r="R335" s="127"/>
      <c r="S335" s="126"/>
      <c r="T335" s="123"/>
      <c r="U335" s="92"/>
      <c r="V335" s="92"/>
      <c r="W335" s="92"/>
      <c r="X335" s="92"/>
      <c r="Y335" s="92"/>
      <c r="Z335" s="92"/>
      <c r="AA335" s="92"/>
      <c r="AB335" s="92"/>
      <c r="AC335" s="92"/>
      <c r="AD335" s="124"/>
      <c r="AE335" s="92"/>
      <c r="AF335" s="92"/>
      <c r="AG335" s="92"/>
      <c r="AH335" s="92"/>
    </row>
    <row r="336" spans="1:34" ht="15.75" customHeight="1">
      <c r="A336" s="92"/>
      <c r="B336" s="92"/>
      <c r="C336" s="92"/>
      <c r="D336" s="92"/>
      <c r="E336" s="92"/>
      <c r="F336" s="92"/>
      <c r="G336" s="92"/>
      <c r="H336" s="122"/>
      <c r="I336" s="123"/>
      <c r="J336" s="124"/>
      <c r="K336" s="124"/>
      <c r="L336" s="124"/>
      <c r="M336" s="92"/>
      <c r="N336" s="125"/>
      <c r="O336" s="126"/>
      <c r="P336" s="126"/>
      <c r="Q336" s="127"/>
      <c r="R336" s="127"/>
      <c r="S336" s="126"/>
      <c r="T336" s="123"/>
      <c r="U336" s="92"/>
      <c r="V336" s="92"/>
      <c r="W336" s="92"/>
      <c r="X336" s="92"/>
      <c r="Y336" s="92"/>
      <c r="Z336" s="92"/>
      <c r="AA336" s="92"/>
      <c r="AB336" s="92"/>
      <c r="AC336" s="92"/>
      <c r="AD336" s="124"/>
      <c r="AE336" s="92"/>
      <c r="AF336" s="92"/>
      <c r="AG336" s="92"/>
      <c r="AH336" s="92"/>
    </row>
    <row r="337" spans="1:34" ht="15.75" customHeight="1">
      <c r="A337" s="92"/>
      <c r="B337" s="92"/>
      <c r="C337" s="92"/>
      <c r="D337" s="92"/>
      <c r="E337" s="92"/>
      <c r="F337" s="92"/>
      <c r="G337" s="92"/>
      <c r="H337" s="122"/>
      <c r="I337" s="123"/>
      <c r="J337" s="124"/>
      <c r="K337" s="124"/>
      <c r="L337" s="124"/>
      <c r="M337" s="92"/>
      <c r="N337" s="125"/>
      <c r="O337" s="126"/>
      <c r="P337" s="126"/>
      <c r="Q337" s="127"/>
      <c r="R337" s="127"/>
      <c r="S337" s="126"/>
      <c r="T337" s="123"/>
      <c r="U337" s="92"/>
      <c r="V337" s="92"/>
      <c r="W337" s="92"/>
      <c r="X337" s="92"/>
      <c r="Y337" s="92"/>
      <c r="Z337" s="92"/>
      <c r="AA337" s="92"/>
      <c r="AB337" s="92"/>
      <c r="AC337" s="92"/>
      <c r="AD337" s="124"/>
      <c r="AE337" s="92"/>
      <c r="AF337" s="92"/>
      <c r="AG337" s="92"/>
      <c r="AH337" s="92"/>
    </row>
    <row r="338" spans="1:34" ht="15.75" customHeight="1">
      <c r="A338" s="92"/>
      <c r="B338" s="92"/>
      <c r="C338" s="92"/>
      <c r="D338" s="92"/>
      <c r="E338" s="92"/>
      <c r="F338" s="92"/>
      <c r="G338" s="92"/>
      <c r="H338" s="122"/>
      <c r="I338" s="123"/>
      <c r="J338" s="124"/>
      <c r="K338" s="124"/>
      <c r="L338" s="124"/>
      <c r="M338" s="92"/>
      <c r="N338" s="125"/>
      <c r="O338" s="126"/>
      <c r="P338" s="126"/>
      <c r="Q338" s="127"/>
      <c r="R338" s="127"/>
      <c r="S338" s="126"/>
      <c r="T338" s="123"/>
      <c r="U338" s="92"/>
      <c r="V338" s="92"/>
      <c r="W338" s="92"/>
      <c r="X338" s="92"/>
      <c r="Y338" s="92"/>
      <c r="Z338" s="92"/>
      <c r="AA338" s="92"/>
      <c r="AB338" s="92"/>
      <c r="AC338" s="92"/>
      <c r="AD338" s="124"/>
      <c r="AE338" s="92"/>
      <c r="AF338" s="92"/>
      <c r="AG338" s="92"/>
      <c r="AH338" s="92"/>
    </row>
    <row r="339" spans="1:34" ht="15.75" customHeight="1">
      <c r="A339" s="92"/>
      <c r="B339" s="92"/>
      <c r="C339" s="92"/>
      <c r="D339" s="92"/>
      <c r="E339" s="92"/>
      <c r="F339" s="92"/>
      <c r="G339" s="92"/>
      <c r="H339" s="122"/>
      <c r="I339" s="123"/>
      <c r="J339" s="124"/>
      <c r="K339" s="124"/>
      <c r="L339" s="124"/>
      <c r="M339" s="92"/>
      <c r="N339" s="125"/>
      <c r="O339" s="126"/>
      <c r="P339" s="126"/>
      <c r="Q339" s="127"/>
      <c r="R339" s="127"/>
      <c r="S339" s="126"/>
      <c r="T339" s="123"/>
      <c r="U339" s="92"/>
      <c r="V339" s="92"/>
      <c r="W339" s="92"/>
      <c r="X339" s="92"/>
      <c r="Y339" s="92"/>
      <c r="Z339" s="92"/>
      <c r="AA339" s="92"/>
      <c r="AB339" s="92"/>
      <c r="AC339" s="92"/>
      <c r="AD339" s="124"/>
      <c r="AE339" s="92"/>
      <c r="AF339" s="92"/>
      <c r="AG339" s="92"/>
      <c r="AH339" s="92"/>
    </row>
    <row r="340" spans="1:34" ht="15.75" customHeight="1">
      <c r="A340" s="92"/>
      <c r="B340" s="92"/>
      <c r="C340" s="92"/>
      <c r="D340" s="92"/>
      <c r="E340" s="92"/>
      <c r="F340" s="92"/>
      <c r="G340" s="92"/>
      <c r="H340" s="122"/>
      <c r="I340" s="123"/>
      <c r="J340" s="124"/>
      <c r="K340" s="124"/>
      <c r="L340" s="124"/>
      <c r="M340" s="92"/>
      <c r="N340" s="125"/>
      <c r="O340" s="126"/>
      <c r="P340" s="126"/>
      <c r="Q340" s="127"/>
      <c r="R340" s="127"/>
      <c r="S340" s="126"/>
      <c r="T340" s="123"/>
      <c r="U340" s="92"/>
      <c r="V340" s="92"/>
      <c r="W340" s="92"/>
      <c r="X340" s="92"/>
      <c r="Y340" s="92"/>
      <c r="Z340" s="92"/>
      <c r="AA340" s="92"/>
      <c r="AB340" s="92"/>
      <c r="AC340" s="92"/>
      <c r="AD340" s="124"/>
      <c r="AE340" s="92"/>
      <c r="AF340" s="92"/>
      <c r="AG340" s="92"/>
      <c r="AH340" s="92"/>
    </row>
    <row r="341" spans="1:34" ht="15.75" customHeight="1">
      <c r="A341" s="92"/>
      <c r="B341" s="92"/>
      <c r="C341" s="92"/>
      <c r="D341" s="92"/>
      <c r="E341" s="92"/>
      <c r="F341" s="92"/>
      <c r="G341" s="92"/>
      <c r="H341" s="122"/>
      <c r="I341" s="123"/>
      <c r="J341" s="124"/>
      <c r="K341" s="124"/>
      <c r="L341" s="124"/>
      <c r="M341" s="92"/>
      <c r="N341" s="125"/>
      <c r="O341" s="126"/>
      <c r="P341" s="126"/>
      <c r="Q341" s="127"/>
      <c r="R341" s="127"/>
      <c r="S341" s="126"/>
      <c r="T341" s="123"/>
      <c r="U341" s="92"/>
      <c r="V341" s="92"/>
      <c r="W341" s="92"/>
      <c r="X341" s="92"/>
      <c r="Y341" s="92"/>
      <c r="Z341" s="92"/>
      <c r="AA341" s="92"/>
      <c r="AB341" s="92"/>
      <c r="AC341" s="92"/>
      <c r="AD341" s="124"/>
      <c r="AE341" s="92"/>
      <c r="AF341" s="92"/>
      <c r="AG341" s="92"/>
      <c r="AH341" s="92"/>
    </row>
    <row r="342" spans="1:34" ht="15.75" customHeight="1">
      <c r="A342" s="92"/>
      <c r="B342" s="92"/>
      <c r="C342" s="92"/>
      <c r="D342" s="92"/>
      <c r="E342" s="92"/>
      <c r="F342" s="92"/>
      <c r="G342" s="92"/>
      <c r="H342" s="122"/>
      <c r="I342" s="123"/>
      <c r="J342" s="124"/>
      <c r="K342" s="124"/>
      <c r="L342" s="124"/>
      <c r="M342" s="92"/>
      <c r="N342" s="125"/>
      <c r="O342" s="126"/>
      <c r="P342" s="126"/>
      <c r="Q342" s="127"/>
      <c r="R342" s="127"/>
      <c r="S342" s="126"/>
      <c r="T342" s="123"/>
      <c r="U342" s="92"/>
      <c r="V342" s="92"/>
      <c r="W342" s="92"/>
      <c r="X342" s="92"/>
      <c r="Y342" s="92"/>
      <c r="Z342" s="92"/>
      <c r="AA342" s="92"/>
      <c r="AB342" s="92"/>
      <c r="AC342" s="92"/>
      <c r="AD342" s="124"/>
      <c r="AE342" s="92"/>
      <c r="AF342" s="92"/>
      <c r="AG342" s="92"/>
      <c r="AH342" s="92"/>
    </row>
    <row r="343" spans="1:34" ht="15.75" customHeight="1">
      <c r="A343" s="92"/>
      <c r="B343" s="92"/>
      <c r="C343" s="92"/>
      <c r="D343" s="92"/>
      <c r="E343" s="92"/>
      <c r="F343" s="92"/>
      <c r="G343" s="92"/>
      <c r="H343" s="122"/>
      <c r="I343" s="123"/>
      <c r="J343" s="124"/>
      <c r="K343" s="124"/>
      <c r="L343" s="124"/>
      <c r="M343" s="92"/>
      <c r="N343" s="125"/>
      <c r="O343" s="126"/>
      <c r="P343" s="126"/>
      <c r="Q343" s="127"/>
      <c r="R343" s="127"/>
      <c r="S343" s="126"/>
      <c r="T343" s="123"/>
      <c r="U343" s="92"/>
      <c r="V343" s="92"/>
      <c r="W343" s="92"/>
      <c r="X343" s="92"/>
      <c r="Y343" s="92"/>
      <c r="Z343" s="92"/>
      <c r="AA343" s="92"/>
      <c r="AB343" s="92"/>
      <c r="AC343" s="92"/>
      <c r="AD343" s="124"/>
      <c r="AE343" s="92"/>
      <c r="AF343" s="92"/>
      <c r="AG343" s="92"/>
      <c r="AH343" s="92"/>
    </row>
    <row r="344" spans="1:34" ht="15.75" customHeight="1">
      <c r="A344" s="92"/>
      <c r="B344" s="92"/>
      <c r="C344" s="92"/>
      <c r="D344" s="92"/>
      <c r="E344" s="92"/>
      <c r="F344" s="92"/>
      <c r="G344" s="92"/>
      <c r="H344" s="122"/>
      <c r="I344" s="123"/>
      <c r="J344" s="124"/>
      <c r="K344" s="124"/>
      <c r="L344" s="124"/>
      <c r="M344" s="92"/>
      <c r="N344" s="125"/>
      <c r="O344" s="126"/>
      <c r="P344" s="126"/>
      <c r="Q344" s="127"/>
      <c r="R344" s="127"/>
      <c r="S344" s="126"/>
      <c r="T344" s="123"/>
      <c r="U344" s="92"/>
      <c r="V344" s="92"/>
      <c r="W344" s="92"/>
      <c r="X344" s="92"/>
      <c r="Y344" s="92"/>
      <c r="Z344" s="92"/>
      <c r="AA344" s="92"/>
      <c r="AB344" s="92"/>
      <c r="AC344" s="92"/>
      <c r="AD344" s="124"/>
      <c r="AE344" s="92"/>
      <c r="AF344" s="92"/>
      <c r="AG344" s="92"/>
      <c r="AH344" s="92"/>
    </row>
    <row r="345" spans="1:34" ht="15.75" customHeight="1">
      <c r="A345" s="92"/>
      <c r="B345" s="92"/>
      <c r="C345" s="92"/>
      <c r="D345" s="92"/>
      <c r="E345" s="92"/>
      <c r="F345" s="92"/>
      <c r="G345" s="92"/>
      <c r="H345" s="122"/>
      <c r="I345" s="123"/>
      <c r="J345" s="124"/>
      <c r="K345" s="124"/>
      <c r="L345" s="124"/>
      <c r="M345" s="92"/>
      <c r="N345" s="125"/>
      <c r="O345" s="126"/>
      <c r="P345" s="126"/>
      <c r="Q345" s="127"/>
      <c r="R345" s="127"/>
      <c r="S345" s="126"/>
      <c r="T345" s="123"/>
      <c r="U345" s="92"/>
      <c r="V345" s="92"/>
      <c r="W345" s="92"/>
      <c r="X345" s="92"/>
      <c r="Y345" s="92"/>
      <c r="Z345" s="92"/>
      <c r="AA345" s="92"/>
      <c r="AB345" s="92"/>
      <c r="AC345" s="92"/>
      <c r="AD345" s="124"/>
      <c r="AE345" s="92"/>
      <c r="AF345" s="92"/>
      <c r="AG345" s="92"/>
      <c r="AH345" s="92"/>
    </row>
    <row r="346" spans="1:34" ht="15.75" customHeight="1">
      <c r="A346" s="92"/>
      <c r="B346" s="92"/>
      <c r="C346" s="92"/>
      <c r="D346" s="92"/>
      <c r="E346" s="92"/>
      <c r="F346" s="92"/>
      <c r="G346" s="92"/>
      <c r="H346" s="122"/>
      <c r="I346" s="123"/>
      <c r="J346" s="124"/>
      <c r="K346" s="124"/>
      <c r="L346" s="124"/>
      <c r="M346" s="92"/>
      <c r="N346" s="125"/>
      <c r="O346" s="126"/>
      <c r="P346" s="126"/>
      <c r="Q346" s="127"/>
      <c r="R346" s="127"/>
      <c r="S346" s="126"/>
      <c r="T346" s="123"/>
      <c r="U346" s="92"/>
      <c r="V346" s="92"/>
      <c r="W346" s="92"/>
      <c r="X346" s="92"/>
      <c r="Y346" s="92"/>
      <c r="Z346" s="92"/>
      <c r="AA346" s="92"/>
      <c r="AB346" s="92"/>
      <c r="AC346" s="92"/>
      <c r="AD346" s="124"/>
      <c r="AE346" s="92"/>
      <c r="AF346" s="92"/>
      <c r="AG346" s="92"/>
      <c r="AH346" s="92"/>
    </row>
    <row r="347" spans="1:34" ht="15.75" customHeight="1">
      <c r="A347" s="92"/>
      <c r="B347" s="92"/>
      <c r="C347" s="92"/>
      <c r="D347" s="92"/>
      <c r="E347" s="92"/>
      <c r="F347" s="92"/>
      <c r="G347" s="92"/>
      <c r="H347" s="122"/>
      <c r="I347" s="123"/>
      <c r="J347" s="124"/>
      <c r="K347" s="124"/>
      <c r="L347" s="124"/>
      <c r="M347" s="92"/>
      <c r="N347" s="125"/>
      <c r="O347" s="126"/>
      <c r="P347" s="126"/>
      <c r="Q347" s="127"/>
      <c r="R347" s="127"/>
      <c r="S347" s="126"/>
      <c r="T347" s="123"/>
      <c r="U347" s="92"/>
      <c r="V347" s="92"/>
      <c r="W347" s="92"/>
      <c r="X347" s="92"/>
      <c r="Y347" s="92"/>
      <c r="Z347" s="92"/>
      <c r="AA347" s="92"/>
      <c r="AB347" s="92"/>
      <c r="AC347" s="92"/>
      <c r="AD347" s="124"/>
      <c r="AE347" s="92"/>
      <c r="AF347" s="92"/>
      <c r="AG347" s="92"/>
      <c r="AH347" s="92"/>
    </row>
    <row r="348" spans="1:34" ht="15.75" customHeight="1">
      <c r="A348" s="92"/>
      <c r="B348" s="92"/>
      <c r="C348" s="92"/>
      <c r="D348" s="92"/>
      <c r="E348" s="92"/>
      <c r="F348" s="92"/>
      <c r="G348" s="92"/>
      <c r="H348" s="122"/>
      <c r="I348" s="123"/>
      <c r="J348" s="124"/>
      <c r="K348" s="124"/>
      <c r="L348" s="124"/>
      <c r="M348" s="92"/>
      <c r="N348" s="125"/>
      <c r="O348" s="126"/>
      <c r="P348" s="126"/>
      <c r="Q348" s="127"/>
      <c r="R348" s="127"/>
      <c r="S348" s="126"/>
      <c r="T348" s="123"/>
      <c r="U348" s="92"/>
      <c r="V348" s="92"/>
      <c r="W348" s="92"/>
      <c r="X348" s="92"/>
      <c r="Y348" s="92"/>
      <c r="Z348" s="92"/>
      <c r="AA348" s="92"/>
      <c r="AB348" s="92"/>
      <c r="AC348" s="92"/>
      <c r="AD348" s="124"/>
      <c r="AE348" s="92"/>
      <c r="AF348" s="92"/>
      <c r="AG348" s="92"/>
      <c r="AH348" s="92"/>
    </row>
    <row r="349" spans="1:34" ht="15.75" customHeight="1">
      <c r="A349" s="92"/>
      <c r="B349" s="92"/>
      <c r="C349" s="92"/>
      <c r="D349" s="92"/>
      <c r="E349" s="92"/>
      <c r="F349" s="92"/>
      <c r="G349" s="92"/>
      <c r="H349" s="122"/>
      <c r="I349" s="123"/>
      <c r="J349" s="124"/>
      <c r="K349" s="124"/>
      <c r="L349" s="124"/>
      <c r="M349" s="92"/>
      <c r="N349" s="125"/>
      <c r="O349" s="126"/>
      <c r="P349" s="126"/>
      <c r="Q349" s="127"/>
      <c r="R349" s="127"/>
      <c r="S349" s="126"/>
      <c r="T349" s="123"/>
      <c r="U349" s="92"/>
      <c r="V349" s="92"/>
      <c r="W349" s="92"/>
      <c r="X349" s="92"/>
      <c r="Y349" s="92"/>
      <c r="Z349" s="92"/>
      <c r="AA349" s="92"/>
      <c r="AB349" s="92"/>
      <c r="AC349" s="92"/>
      <c r="AD349" s="124"/>
      <c r="AE349" s="92"/>
      <c r="AF349" s="92"/>
      <c r="AG349" s="92"/>
      <c r="AH349" s="92"/>
    </row>
    <row r="350" spans="1:34" ht="15.75" customHeight="1">
      <c r="A350" s="92"/>
      <c r="B350" s="92"/>
      <c r="C350" s="92"/>
      <c r="D350" s="92"/>
      <c r="E350" s="92"/>
      <c r="F350" s="92"/>
      <c r="G350" s="92"/>
      <c r="H350" s="122"/>
      <c r="I350" s="123"/>
      <c r="J350" s="124"/>
      <c r="K350" s="124"/>
      <c r="L350" s="124"/>
      <c r="M350" s="92"/>
      <c r="N350" s="125"/>
      <c r="O350" s="126"/>
      <c r="P350" s="126"/>
      <c r="Q350" s="127"/>
      <c r="R350" s="127"/>
      <c r="S350" s="126"/>
      <c r="T350" s="123"/>
      <c r="U350" s="92"/>
      <c r="V350" s="92"/>
      <c r="W350" s="92"/>
      <c r="X350" s="92"/>
      <c r="Y350" s="92"/>
      <c r="Z350" s="92"/>
      <c r="AA350" s="92"/>
      <c r="AB350" s="92"/>
      <c r="AC350" s="92"/>
      <c r="AD350" s="124"/>
      <c r="AE350" s="92"/>
      <c r="AF350" s="92"/>
      <c r="AG350" s="92"/>
      <c r="AH350" s="92"/>
    </row>
    <row r="351" spans="1:34" ht="15.75" customHeight="1">
      <c r="A351" s="92"/>
      <c r="B351" s="92"/>
      <c r="C351" s="92"/>
      <c r="D351" s="92"/>
      <c r="E351" s="92"/>
      <c r="F351" s="92"/>
      <c r="G351" s="92"/>
      <c r="H351" s="122"/>
      <c r="I351" s="123"/>
      <c r="J351" s="124"/>
      <c r="K351" s="124"/>
      <c r="L351" s="124"/>
      <c r="M351" s="92"/>
      <c r="N351" s="125"/>
      <c r="O351" s="126"/>
      <c r="P351" s="126"/>
      <c r="Q351" s="127"/>
      <c r="R351" s="127"/>
      <c r="S351" s="126"/>
      <c r="T351" s="123"/>
      <c r="U351" s="92"/>
      <c r="V351" s="92"/>
      <c r="W351" s="92"/>
      <c r="X351" s="92"/>
      <c r="Y351" s="92"/>
      <c r="Z351" s="92"/>
      <c r="AA351" s="92"/>
      <c r="AB351" s="92"/>
      <c r="AC351" s="92"/>
      <c r="AD351" s="124"/>
      <c r="AE351" s="92"/>
      <c r="AF351" s="92"/>
      <c r="AG351" s="92"/>
      <c r="AH351" s="92"/>
    </row>
    <row r="352" spans="1:34" ht="15.75" customHeight="1">
      <c r="A352" s="92"/>
      <c r="B352" s="92"/>
      <c r="C352" s="92"/>
      <c r="D352" s="92"/>
      <c r="E352" s="92"/>
      <c r="F352" s="92"/>
      <c r="G352" s="92"/>
      <c r="H352" s="122"/>
      <c r="I352" s="123"/>
      <c r="J352" s="124"/>
      <c r="K352" s="124"/>
      <c r="L352" s="124"/>
      <c r="M352" s="92"/>
      <c r="N352" s="125"/>
      <c r="O352" s="126"/>
      <c r="P352" s="126"/>
      <c r="Q352" s="127"/>
      <c r="R352" s="127"/>
      <c r="S352" s="126"/>
      <c r="T352" s="123"/>
      <c r="U352" s="92"/>
      <c r="V352" s="92"/>
      <c r="W352" s="92"/>
      <c r="X352" s="92"/>
      <c r="Y352" s="92"/>
      <c r="Z352" s="92"/>
      <c r="AA352" s="92"/>
      <c r="AB352" s="92"/>
      <c r="AC352" s="92"/>
      <c r="AD352" s="124"/>
      <c r="AE352" s="92"/>
      <c r="AF352" s="92"/>
      <c r="AG352" s="92"/>
      <c r="AH352" s="92"/>
    </row>
    <row r="353" spans="1:34" ht="15.75" customHeight="1">
      <c r="A353" s="92"/>
      <c r="B353" s="92"/>
      <c r="C353" s="92"/>
      <c r="D353" s="92"/>
      <c r="E353" s="92"/>
      <c r="F353" s="92"/>
      <c r="G353" s="92"/>
      <c r="H353" s="122"/>
      <c r="I353" s="123"/>
      <c r="J353" s="124"/>
      <c r="K353" s="124"/>
      <c r="L353" s="124"/>
      <c r="M353" s="92"/>
      <c r="N353" s="125"/>
      <c r="O353" s="126"/>
      <c r="P353" s="126"/>
      <c r="Q353" s="127"/>
      <c r="R353" s="127"/>
      <c r="S353" s="126"/>
      <c r="T353" s="123"/>
      <c r="U353" s="92"/>
      <c r="V353" s="92"/>
      <c r="W353" s="92"/>
      <c r="X353" s="92"/>
      <c r="Y353" s="92"/>
      <c r="Z353" s="92"/>
      <c r="AA353" s="92"/>
      <c r="AB353" s="92"/>
      <c r="AC353" s="92"/>
      <c r="AD353" s="124"/>
      <c r="AE353" s="92"/>
      <c r="AF353" s="92"/>
      <c r="AG353" s="92"/>
      <c r="AH353" s="92"/>
    </row>
    <row r="354" spans="1:34" ht="15.75" customHeight="1">
      <c r="A354" s="92"/>
      <c r="B354" s="92"/>
      <c r="C354" s="92"/>
      <c r="D354" s="92"/>
      <c r="E354" s="92"/>
      <c r="F354" s="92"/>
      <c r="G354" s="92"/>
      <c r="H354" s="122"/>
      <c r="I354" s="123"/>
      <c r="J354" s="124"/>
      <c r="K354" s="124"/>
      <c r="L354" s="124"/>
      <c r="M354" s="92"/>
      <c r="N354" s="125"/>
      <c r="O354" s="126"/>
      <c r="P354" s="126"/>
      <c r="Q354" s="127"/>
      <c r="R354" s="127"/>
      <c r="S354" s="126"/>
      <c r="T354" s="123"/>
      <c r="U354" s="92"/>
      <c r="V354" s="92"/>
      <c r="W354" s="92"/>
      <c r="X354" s="92"/>
      <c r="Y354" s="92"/>
      <c r="Z354" s="92"/>
      <c r="AA354" s="92"/>
      <c r="AB354" s="92"/>
      <c r="AC354" s="92"/>
      <c r="AD354" s="124"/>
      <c r="AE354" s="92"/>
      <c r="AF354" s="92"/>
      <c r="AG354" s="92"/>
      <c r="AH354" s="92"/>
    </row>
    <row r="355" spans="1:34" ht="15.75" customHeight="1">
      <c r="A355" s="92"/>
      <c r="B355" s="92"/>
      <c r="C355" s="92"/>
      <c r="D355" s="92"/>
      <c r="E355" s="92"/>
      <c r="F355" s="92"/>
      <c r="G355" s="92"/>
      <c r="H355" s="122"/>
      <c r="I355" s="123"/>
      <c r="J355" s="124"/>
      <c r="K355" s="124"/>
      <c r="L355" s="124"/>
      <c r="M355" s="92"/>
      <c r="N355" s="125"/>
      <c r="O355" s="126"/>
      <c r="P355" s="126"/>
      <c r="Q355" s="127"/>
      <c r="R355" s="127"/>
      <c r="S355" s="126"/>
      <c r="T355" s="123"/>
      <c r="U355" s="92"/>
      <c r="V355" s="92"/>
      <c r="W355" s="92"/>
      <c r="X355" s="92"/>
      <c r="Y355" s="92"/>
      <c r="Z355" s="92"/>
      <c r="AA355" s="92"/>
      <c r="AB355" s="92"/>
      <c r="AC355" s="92"/>
      <c r="AD355" s="124"/>
      <c r="AE355" s="92"/>
      <c r="AF355" s="92"/>
      <c r="AG355" s="92"/>
      <c r="AH355" s="92"/>
    </row>
    <row r="356" spans="1:34" ht="15.75" customHeight="1">
      <c r="A356" s="92"/>
      <c r="B356" s="92"/>
      <c r="C356" s="92"/>
      <c r="D356" s="92"/>
      <c r="E356" s="92"/>
      <c r="F356" s="92"/>
      <c r="G356" s="92"/>
      <c r="H356" s="122"/>
      <c r="I356" s="123"/>
      <c r="J356" s="124"/>
      <c r="K356" s="124"/>
      <c r="L356" s="124"/>
      <c r="M356" s="92"/>
      <c r="N356" s="125"/>
      <c r="O356" s="126"/>
      <c r="P356" s="126"/>
      <c r="Q356" s="127"/>
      <c r="R356" s="127"/>
      <c r="S356" s="126"/>
      <c r="T356" s="123"/>
      <c r="U356" s="92"/>
      <c r="V356" s="92"/>
      <c r="W356" s="92"/>
      <c r="X356" s="92"/>
      <c r="Y356" s="92"/>
      <c r="Z356" s="92"/>
      <c r="AA356" s="92"/>
      <c r="AB356" s="92"/>
      <c r="AC356" s="92"/>
      <c r="AD356" s="124"/>
      <c r="AE356" s="92"/>
      <c r="AF356" s="92"/>
      <c r="AG356" s="92"/>
      <c r="AH356" s="92"/>
    </row>
    <row r="357" spans="1:34" ht="15.75" customHeight="1">
      <c r="A357" s="92"/>
      <c r="B357" s="92"/>
      <c r="C357" s="92"/>
      <c r="D357" s="92"/>
      <c r="E357" s="92"/>
      <c r="F357" s="92"/>
      <c r="G357" s="92"/>
      <c r="H357" s="122"/>
      <c r="I357" s="123"/>
      <c r="J357" s="124"/>
      <c r="K357" s="124"/>
      <c r="L357" s="124"/>
      <c r="M357" s="92"/>
      <c r="N357" s="125"/>
      <c r="O357" s="126"/>
      <c r="P357" s="126"/>
      <c r="Q357" s="127"/>
      <c r="R357" s="127"/>
      <c r="S357" s="126"/>
      <c r="T357" s="123"/>
      <c r="U357" s="92"/>
      <c r="V357" s="92"/>
      <c r="W357" s="92"/>
      <c r="X357" s="92"/>
      <c r="Y357" s="92"/>
      <c r="Z357" s="92"/>
      <c r="AA357" s="92"/>
      <c r="AB357" s="92"/>
      <c r="AC357" s="92"/>
      <c r="AD357" s="124"/>
      <c r="AE357" s="92"/>
      <c r="AF357" s="92"/>
      <c r="AG357" s="92"/>
      <c r="AH357" s="92"/>
    </row>
    <row r="358" spans="1:34" ht="15.75" customHeight="1">
      <c r="A358" s="92"/>
      <c r="B358" s="92"/>
      <c r="C358" s="92"/>
      <c r="D358" s="92"/>
      <c r="E358" s="92"/>
      <c r="F358" s="92"/>
      <c r="G358" s="92"/>
      <c r="H358" s="122"/>
      <c r="I358" s="123"/>
      <c r="J358" s="124"/>
      <c r="K358" s="124"/>
      <c r="L358" s="124"/>
      <c r="M358" s="92"/>
      <c r="N358" s="125"/>
      <c r="O358" s="126"/>
      <c r="P358" s="126"/>
      <c r="Q358" s="127"/>
      <c r="R358" s="127"/>
      <c r="S358" s="126"/>
      <c r="T358" s="123"/>
      <c r="U358" s="92"/>
      <c r="V358" s="92"/>
      <c r="W358" s="92"/>
      <c r="X358" s="92"/>
      <c r="Y358" s="92"/>
      <c r="Z358" s="92"/>
      <c r="AA358" s="92"/>
      <c r="AB358" s="92"/>
      <c r="AC358" s="92"/>
      <c r="AD358" s="124"/>
      <c r="AE358" s="92"/>
      <c r="AF358" s="92"/>
      <c r="AG358" s="92"/>
      <c r="AH358" s="92"/>
    </row>
    <row r="359" spans="1:34" ht="15.75" customHeight="1">
      <c r="A359" s="92"/>
      <c r="B359" s="92"/>
      <c r="C359" s="92"/>
      <c r="D359" s="92"/>
      <c r="E359" s="92"/>
      <c r="F359" s="92"/>
      <c r="G359" s="92"/>
      <c r="H359" s="122"/>
      <c r="I359" s="123"/>
      <c r="J359" s="124"/>
      <c r="K359" s="124"/>
      <c r="L359" s="124"/>
      <c r="M359" s="92"/>
      <c r="N359" s="125"/>
      <c r="O359" s="126"/>
      <c r="P359" s="126"/>
      <c r="Q359" s="127"/>
      <c r="R359" s="127"/>
      <c r="S359" s="126"/>
      <c r="T359" s="123"/>
      <c r="U359" s="92"/>
      <c r="V359" s="92"/>
      <c r="W359" s="92"/>
      <c r="X359" s="92"/>
      <c r="Y359" s="92"/>
      <c r="Z359" s="92"/>
      <c r="AA359" s="92"/>
      <c r="AB359" s="92"/>
      <c r="AC359" s="92"/>
      <c r="AD359" s="124"/>
      <c r="AE359" s="92"/>
      <c r="AF359" s="92"/>
      <c r="AG359" s="92"/>
      <c r="AH359" s="92"/>
    </row>
    <row r="360" spans="1:34" ht="15.75" customHeight="1">
      <c r="A360" s="92"/>
      <c r="B360" s="92"/>
      <c r="C360" s="92"/>
      <c r="D360" s="92"/>
      <c r="E360" s="92"/>
      <c r="F360" s="92"/>
      <c r="G360" s="92"/>
      <c r="H360" s="122"/>
      <c r="I360" s="123"/>
      <c r="J360" s="124"/>
      <c r="K360" s="124"/>
      <c r="L360" s="124"/>
      <c r="M360" s="92"/>
      <c r="N360" s="125"/>
      <c r="O360" s="126"/>
      <c r="P360" s="126"/>
      <c r="Q360" s="127"/>
      <c r="R360" s="127"/>
      <c r="S360" s="126"/>
      <c r="T360" s="123"/>
      <c r="U360" s="92"/>
      <c r="V360" s="92"/>
      <c r="W360" s="92"/>
      <c r="X360" s="92"/>
      <c r="Y360" s="92"/>
      <c r="Z360" s="92"/>
      <c r="AA360" s="92"/>
      <c r="AB360" s="92"/>
      <c r="AC360" s="92"/>
      <c r="AD360" s="124"/>
      <c r="AE360" s="92"/>
      <c r="AF360" s="92"/>
      <c r="AG360" s="92"/>
      <c r="AH360" s="92"/>
    </row>
    <row r="361" spans="1:34" ht="15.75" customHeight="1">
      <c r="A361" s="92"/>
      <c r="B361" s="92"/>
      <c r="C361" s="92"/>
      <c r="D361" s="92"/>
      <c r="E361" s="92"/>
      <c r="F361" s="92"/>
      <c r="G361" s="92"/>
      <c r="H361" s="122"/>
      <c r="I361" s="123"/>
      <c r="J361" s="124"/>
      <c r="K361" s="124"/>
      <c r="L361" s="124"/>
      <c r="M361" s="92"/>
      <c r="N361" s="125"/>
      <c r="O361" s="126"/>
      <c r="P361" s="126"/>
      <c r="Q361" s="127"/>
      <c r="R361" s="127"/>
      <c r="S361" s="126"/>
      <c r="T361" s="123"/>
      <c r="U361" s="92"/>
      <c r="V361" s="92"/>
      <c r="W361" s="92"/>
      <c r="X361" s="92"/>
      <c r="Y361" s="92"/>
      <c r="Z361" s="92"/>
      <c r="AA361" s="92"/>
      <c r="AB361" s="92"/>
      <c r="AC361" s="92"/>
      <c r="AD361" s="124"/>
      <c r="AE361" s="92"/>
      <c r="AF361" s="92"/>
      <c r="AG361" s="92"/>
      <c r="AH361" s="92"/>
    </row>
    <row r="362" spans="1:34" ht="15.75" customHeight="1">
      <c r="A362" s="92"/>
      <c r="B362" s="92"/>
      <c r="C362" s="92"/>
      <c r="D362" s="92"/>
      <c r="E362" s="92"/>
      <c r="F362" s="92"/>
      <c r="G362" s="92"/>
      <c r="H362" s="122"/>
      <c r="I362" s="123"/>
      <c r="J362" s="124"/>
      <c r="K362" s="124"/>
      <c r="L362" s="124"/>
      <c r="M362" s="92"/>
      <c r="N362" s="125"/>
      <c r="O362" s="126"/>
      <c r="P362" s="126"/>
      <c r="Q362" s="127"/>
      <c r="R362" s="127"/>
      <c r="S362" s="126"/>
      <c r="T362" s="123"/>
      <c r="U362" s="92"/>
      <c r="V362" s="92"/>
      <c r="W362" s="92"/>
      <c r="X362" s="92"/>
      <c r="Y362" s="92"/>
      <c r="Z362" s="92"/>
      <c r="AA362" s="92"/>
      <c r="AB362" s="92"/>
      <c r="AC362" s="92"/>
      <c r="AD362" s="124"/>
      <c r="AE362" s="92"/>
      <c r="AF362" s="92"/>
      <c r="AG362" s="92"/>
      <c r="AH362" s="92"/>
    </row>
    <row r="363" spans="1:34" ht="15.75" customHeight="1">
      <c r="A363" s="92"/>
      <c r="B363" s="92"/>
      <c r="C363" s="92"/>
      <c r="D363" s="92"/>
      <c r="E363" s="92"/>
      <c r="F363" s="92"/>
      <c r="G363" s="92"/>
      <c r="H363" s="122"/>
      <c r="I363" s="123"/>
      <c r="J363" s="124"/>
      <c r="K363" s="124"/>
      <c r="L363" s="124"/>
      <c r="M363" s="92"/>
      <c r="N363" s="125"/>
      <c r="O363" s="126"/>
      <c r="P363" s="126"/>
      <c r="Q363" s="127"/>
      <c r="R363" s="127"/>
      <c r="S363" s="126"/>
      <c r="T363" s="123"/>
      <c r="U363" s="92"/>
      <c r="V363" s="92"/>
      <c r="W363" s="92"/>
      <c r="X363" s="92"/>
      <c r="Y363" s="92"/>
      <c r="Z363" s="92"/>
      <c r="AA363" s="92"/>
      <c r="AB363" s="92"/>
      <c r="AC363" s="92"/>
      <c r="AD363" s="124"/>
      <c r="AE363" s="92"/>
      <c r="AF363" s="92"/>
      <c r="AG363" s="92"/>
      <c r="AH363" s="92"/>
    </row>
    <row r="364" spans="1:34" ht="15.75" customHeight="1">
      <c r="A364" s="92"/>
      <c r="B364" s="92"/>
      <c r="C364" s="92"/>
      <c r="D364" s="92"/>
      <c r="E364" s="92"/>
      <c r="F364" s="92"/>
      <c r="G364" s="92"/>
      <c r="H364" s="122"/>
      <c r="I364" s="123"/>
      <c r="J364" s="124"/>
      <c r="K364" s="124"/>
      <c r="L364" s="124"/>
      <c r="M364" s="92"/>
      <c r="N364" s="125"/>
      <c r="O364" s="126"/>
      <c r="P364" s="126"/>
      <c r="Q364" s="127"/>
      <c r="R364" s="127"/>
      <c r="S364" s="126"/>
      <c r="T364" s="123"/>
      <c r="U364" s="92"/>
      <c r="V364" s="92"/>
      <c r="W364" s="92"/>
      <c r="X364" s="92"/>
      <c r="Y364" s="92"/>
      <c r="Z364" s="92"/>
      <c r="AA364" s="92"/>
      <c r="AB364" s="92"/>
      <c r="AC364" s="92"/>
      <c r="AD364" s="124"/>
      <c r="AE364" s="92"/>
      <c r="AF364" s="92"/>
      <c r="AG364" s="92"/>
      <c r="AH364" s="92"/>
    </row>
    <row r="365" spans="1:34" ht="15.75" customHeight="1">
      <c r="A365" s="92"/>
      <c r="B365" s="92"/>
      <c r="C365" s="92"/>
      <c r="D365" s="92"/>
      <c r="E365" s="92"/>
      <c r="F365" s="92"/>
      <c r="G365" s="92"/>
      <c r="H365" s="122"/>
      <c r="I365" s="123"/>
      <c r="J365" s="124"/>
      <c r="K365" s="124"/>
      <c r="L365" s="124"/>
      <c r="M365" s="92"/>
      <c r="N365" s="125"/>
      <c r="O365" s="126"/>
      <c r="P365" s="126"/>
      <c r="Q365" s="127"/>
      <c r="R365" s="127"/>
      <c r="S365" s="126"/>
      <c r="T365" s="123"/>
      <c r="U365" s="92"/>
      <c r="V365" s="92"/>
      <c r="W365" s="92"/>
      <c r="X365" s="92"/>
      <c r="Y365" s="92"/>
      <c r="Z365" s="92"/>
      <c r="AA365" s="92"/>
      <c r="AB365" s="92"/>
      <c r="AC365" s="92"/>
      <c r="AD365" s="124"/>
      <c r="AE365" s="92"/>
      <c r="AF365" s="92"/>
      <c r="AG365" s="92"/>
      <c r="AH365" s="92"/>
    </row>
    <row r="366" spans="1:34" ht="15.75" customHeight="1">
      <c r="A366" s="92"/>
      <c r="B366" s="92"/>
      <c r="C366" s="92"/>
      <c r="D366" s="92"/>
      <c r="E366" s="92"/>
      <c r="F366" s="92"/>
      <c r="G366" s="92"/>
      <c r="H366" s="122"/>
      <c r="I366" s="123"/>
      <c r="J366" s="124"/>
      <c r="K366" s="124"/>
      <c r="L366" s="124"/>
      <c r="M366" s="92"/>
      <c r="N366" s="125"/>
      <c r="O366" s="126"/>
      <c r="P366" s="126"/>
      <c r="Q366" s="127"/>
      <c r="R366" s="127"/>
      <c r="S366" s="126"/>
      <c r="T366" s="123"/>
      <c r="U366" s="92"/>
      <c r="V366" s="92"/>
      <c r="W366" s="92"/>
      <c r="X366" s="92"/>
      <c r="Y366" s="92"/>
      <c r="Z366" s="92"/>
      <c r="AA366" s="92"/>
      <c r="AB366" s="92"/>
      <c r="AC366" s="92"/>
      <c r="AD366" s="124"/>
      <c r="AE366" s="92"/>
      <c r="AF366" s="92"/>
      <c r="AG366" s="92"/>
      <c r="AH366" s="92"/>
    </row>
    <row r="367" spans="1:34" ht="15.75" customHeight="1">
      <c r="A367" s="92"/>
      <c r="B367" s="92"/>
      <c r="C367" s="92"/>
      <c r="D367" s="92"/>
      <c r="E367" s="92"/>
      <c r="F367" s="92"/>
      <c r="G367" s="92"/>
      <c r="H367" s="122"/>
      <c r="I367" s="123"/>
      <c r="J367" s="124"/>
      <c r="K367" s="124"/>
      <c r="L367" s="124"/>
      <c r="M367" s="92"/>
      <c r="N367" s="125"/>
      <c r="O367" s="126"/>
      <c r="P367" s="126"/>
      <c r="Q367" s="127"/>
      <c r="R367" s="127"/>
      <c r="S367" s="126"/>
      <c r="T367" s="123"/>
      <c r="U367" s="92"/>
      <c r="V367" s="92"/>
      <c r="W367" s="92"/>
      <c r="X367" s="92"/>
      <c r="Y367" s="92"/>
      <c r="Z367" s="92"/>
      <c r="AA367" s="92"/>
      <c r="AB367" s="92"/>
      <c r="AC367" s="92"/>
      <c r="AD367" s="124"/>
      <c r="AE367" s="92"/>
      <c r="AF367" s="92"/>
      <c r="AG367" s="92"/>
      <c r="AH367" s="92"/>
    </row>
    <row r="368" spans="1:34" ht="15.75" customHeight="1">
      <c r="A368" s="92"/>
      <c r="B368" s="92"/>
      <c r="C368" s="92"/>
      <c r="D368" s="92"/>
      <c r="E368" s="92"/>
      <c r="F368" s="92"/>
      <c r="G368" s="92"/>
      <c r="H368" s="122"/>
      <c r="I368" s="123"/>
      <c r="J368" s="124"/>
      <c r="K368" s="124"/>
      <c r="L368" s="124"/>
      <c r="M368" s="92"/>
      <c r="N368" s="125"/>
      <c r="O368" s="126"/>
      <c r="P368" s="126"/>
      <c r="Q368" s="127"/>
      <c r="R368" s="127"/>
      <c r="S368" s="126"/>
      <c r="T368" s="123"/>
      <c r="U368" s="92"/>
      <c r="V368" s="92"/>
      <c r="W368" s="92"/>
      <c r="X368" s="92"/>
      <c r="Y368" s="92"/>
      <c r="Z368" s="92"/>
      <c r="AA368" s="92"/>
      <c r="AB368" s="92"/>
      <c r="AC368" s="92"/>
      <c r="AD368" s="124"/>
      <c r="AE368" s="92"/>
      <c r="AF368" s="92"/>
      <c r="AG368" s="92"/>
      <c r="AH368" s="92"/>
    </row>
    <row r="369" spans="1:34" ht="15.75" customHeight="1">
      <c r="A369" s="92"/>
      <c r="B369" s="92"/>
      <c r="C369" s="92"/>
      <c r="D369" s="92"/>
      <c r="E369" s="92"/>
      <c r="F369" s="92"/>
      <c r="G369" s="92"/>
      <c r="H369" s="122"/>
      <c r="I369" s="123"/>
      <c r="J369" s="124"/>
      <c r="K369" s="124"/>
      <c r="L369" s="124"/>
      <c r="M369" s="92"/>
      <c r="N369" s="125"/>
      <c r="O369" s="126"/>
      <c r="P369" s="126"/>
      <c r="Q369" s="127"/>
      <c r="R369" s="127"/>
      <c r="S369" s="126"/>
      <c r="T369" s="123"/>
      <c r="U369" s="92"/>
      <c r="V369" s="92"/>
      <c r="W369" s="92"/>
      <c r="X369" s="92"/>
      <c r="Y369" s="92"/>
      <c r="Z369" s="92"/>
      <c r="AA369" s="92"/>
      <c r="AB369" s="92"/>
      <c r="AC369" s="92"/>
      <c r="AD369" s="124"/>
      <c r="AE369" s="92"/>
      <c r="AF369" s="92"/>
      <c r="AG369" s="92"/>
      <c r="AH369" s="92"/>
    </row>
    <row r="370" spans="1:34" ht="15.75" customHeight="1">
      <c r="A370" s="92"/>
      <c r="B370" s="92"/>
      <c r="C370" s="92"/>
      <c r="D370" s="92"/>
      <c r="E370" s="92"/>
      <c r="F370" s="92"/>
      <c r="G370" s="92"/>
      <c r="H370" s="122"/>
      <c r="I370" s="123"/>
      <c r="J370" s="124"/>
      <c r="K370" s="124"/>
      <c r="L370" s="124"/>
      <c r="M370" s="92"/>
      <c r="N370" s="125"/>
      <c r="O370" s="126"/>
      <c r="P370" s="126"/>
      <c r="Q370" s="127"/>
      <c r="R370" s="127"/>
      <c r="S370" s="126"/>
      <c r="T370" s="123"/>
      <c r="U370" s="92"/>
      <c r="V370" s="92"/>
      <c r="W370" s="92"/>
      <c r="X370" s="92"/>
      <c r="Y370" s="92"/>
      <c r="Z370" s="92"/>
      <c r="AA370" s="92"/>
      <c r="AB370" s="92"/>
      <c r="AC370" s="92"/>
      <c r="AD370" s="124"/>
      <c r="AE370" s="92"/>
      <c r="AF370" s="92"/>
      <c r="AG370" s="92"/>
      <c r="AH370" s="92"/>
    </row>
    <row r="371" spans="1:34" ht="15.75" customHeight="1">
      <c r="A371" s="92"/>
      <c r="B371" s="92"/>
      <c r="C371" s="92"/>
      <c r="D371" s="92"/>
      <c r="E371" s="92"/>
      <c r="F371" s="92"/>
      <c r="G371" s="92"/>
      <c r="H371" s="122"/>
      <c r="I371" s="123"/>
      <c r="J371" s="124"/>
      <c r="K371" s="124"/>
      <c r="L371" s="124"/>
      <c r="M371" s="92"/>
      <c r="N371" s="125"/>
      <c r="O371" s="126"/>
      <c r="P371" s="126"/>
      <c r="Q371" s="127"/>
      <c r="R371" s="127"/>
      <c r="S371" s="126"/>
      <c r="T371" s="123"/>
      <c r="U371" s="92"/>
      <c r="V371" s="92"/>
      <c r="W371" s="92"/>
      <c r="X371" s="92"/>
      <c r="Y371" s="92"/>
      <c r="Z371" s="92"/>
      <c r="AA371" s="92"/>
      <c r="AB371" s="92"/>
      <c r="AC371" s="92"/>
      <c r="AD371" s="124"/>
      <c r="AE371" s="92"/>
      <c r="AF371" s="92"/>
      <c r="AG371" s="92"/>
      <c r="AH371" s="92"/>
    </row>
    <row r="372" spans="1:34" ht="15.75" customHeight="1">
      <c r="A372" s="92"/>
      <c r="B372" s="92"/>
      <c r="C372" s="92"/>
      <c r="D372" s="92"/>
      <c r="E372" s="92"/>
      <c r="F372" s="92"/>
      <c r="G372" s="92"/>
      <c r="H372" s="122"/>
      <c r="I372" s="123"/>
      <c r="J372" s="124"/>
      <c r="K372" s="124"/>
      <c r="L372" s="124"/>
      <c r="M372" s="92"/>
      <c r="N372" s="125"/>
      <c r="O372" s="126"/>
      <c r="P372" s="126"/>
      <c r="Q372" s="127"/>
      <c r="R372" s="127"/>
      <c r="S372" s="126"/>
      <c r="T372" s="123"/>
      <c r="U372" s="92"/>
      <c r="V372" s="92"/>
      <c r="W372" s="92"/>
      <c r="X372" s="92"/>
      <c r="Y372" s="92"/>
      <c r="Z372" s="92"/>
      <c r="AA372" s="92"/>
      <c r="AB372" s="92"/>
      <c r="AC372" s="92"/>
      <c r="AD372" s="124"/>
      <c r="AE372" s="92"/>
      <c r="AF372" s="92"/>
      <c r="AG372" s="92"/>
      <c r="AH372" s="92"/>
    </row>
    <row r="373" spans="1:34" ht="15.75" customHeight="1">
      <c r="A373" s="92"/>
      <c r="B373" s="92"/>
      <c r="C373" s="92"/>
      <c r="D373" s="92"/>
      <c r="E373" s="92"/>
      <c r="F373" s="92"/>
      <c r="G373" s="92"/>
      <c r="H373" s="122"/>
      <c r="I373" s="123"/>
      <c r="J373" s="124"/>
      <c r="K373" s="124"/>
      <c r="L373" s="124"/>
      <c r="M373" s="92"/>
      <c r="N373" s="125"/>
      <c r="O373" s="126"/>
      <c r="P373" s="126"/>
      <c r="Q373" s="127"/>
      <c r="R373" s="127"/>
      <c r="S373" s="126"/>
      <c r="T373" s="123"/>
      <c r="U373" s="92"/>
      <c r="V373" s="92"/>
      <c r="W373" s="92"/>
      <c r="X373" s="92"/>
      <c r="Y373" s="92"/>
      <c r="Z373" s="92"/>
      <c r="AA373" s="92"/>
      <c r="AB373" s="92"/>
      <c r="AC373" s="92"/>
      <c r="AD373" s="124"/>
      <c r="AE373" s="92"/>
      <c r="AF373" s="92"/>
      <c r="AG373" s="92"/>
      <c r="AH373" s="92"/>
    </row>
    <row r="374" spans="1:34" ht="15.75" customHeight="1">
      <c r="A374" s="92"/>
      <c r="B374" s="92"/>
      <c r="C374" s="92"/>
      <c r="D374" s="92"/>
      <c r="E374" s="92"/>
      <c r="F374" s="92"/>
      <c r="G374" s="92"/>
      <c r="H374" s="122"/>
      <c r="I374" s="123"/>
      <c r="J374" s="124"/>
      <c r="K374" s="124"/>
      <c r="L374" s="124"/>
      <c r="M374" s="92"/>
      <c r="N374" s="125"/>
      <c r="O374" s="126"/>
      <c r="P374" s="126"/>
      <c r="Q374" s="127"/>
      <c r="R374" s="127"/>
      <c r="S374" s="126"/>
      <c r="T374" s="123"/>
      <c r="U374" s="92"/>
      <c r="V374" s="92"/>
      <c r="W374" s="92"/>
      <c r="X374" s="92"/>
      <c r="Y374" s="92"/>
      <c r="Z374" s="92"/>
      <c r="AA374" s="92"/>
      <c r="AB374" s="92"/>
      <c r="AC374" s="92"/>
      <c r="AD374" s="124"/>
      <c r="AE374" s="92"/>
      <c r="AF374" s="92"/>
      <c r="AG374" s="92"/>
      <c r="AH374" s="92"/>
    </row>
    <row r="375" spans="1:34" ht="15.75" customHeight="1">
      <c r="A375" s="92"/>
      <c r="B375" s="92"/>
      <c r="C375" s="92"/>
      <c r="D375" s="92"/>
      <c r="E375" s="92"/>
      <c r="F375" s="92"/>
      <c r="G375" s="92"/>
      <c r="H375" s="122"/>
      <c r="I375" s="123"/>
      <c r="J375" s="124"/>
      <c r="K375" s="124"/>
      <c r="L375" s="124"/>
      <c r="M375" s="92"/>
      <c r="N375" s="125"/>
      <c r="O375" s="126"/>
      <c r="P375" s="126"/>
      <c r="Q375" s="127"/>
      <c r="R375" s="127"/>
      <c r="S375" s="126"/>
      <c r="T375" s="123"/>
      <c r="U375" s="92"/>
      <c r="V375" s="92"/>
      <c r="W375" s="92"/>
      <c r="X375" s="92"/>
      <c r="Y375" s="92"/>
      <c r="Z375" s="92"/>
      <c r="AA375" s="92"/>
      <c r="AB375" s="92"/>
      <c r="AC375" s="92"/>
      <c r="AD375" s="124"/>
      <c r="AE375" s="92"/>
      <c r="AF375" s="92"/>
      <c r="AG375" s="92"/>
      <c r="AH375" s="92"/>
    </row>
    <row r="376" spans="1:34" ht="15.75" customHeight="1">
      <c r="A376" s="92"/>
      <c r="B376" s="92"/>
      <c r="C376" s="92"/>
      <c r="D376" s="92"/>
      <c r="E376" s="92"/>
      <c r="F376" s="92"/>
      <c r="G376" s="92"/>
      <c r="H376" s="122"/>
      <c r="I376" s="123"/>
      <c r="J376" s="124"/>
      <c r="K376" s="124"/>
      <c r="L376" s="124"/>
      <c r="M376" s="92"/>
      <c r="N376" s="125"/>
      <c r="O376" s="126"/>
      <c r="P376" s="126"/>
      <c r="Q376" s="127"/>
      <c r="R376" s="127"/>
      <c r="S376" s="126"/>
      <c r="T376" s="123"/>
      <c r="U376" s="92"/>
      <c r="V376" s="92"/>
      <c r="W376" s="92"/>
      <c r="X376" s="92"/>
      <c r="Y376" s="92"/>
      <c r="Z376" s="92"/>
      <c r="AA376" s="92"/>
      <c r="AB376" s="92"/>
      <c r="AC376" s="92"/>
      <c r="AD376" s="124"/>
      <c r="AE376" s="92"/>
      <c r="AF376" s="92"/>
      <c r="AG376" s="92"/>
      <c r="AH376" s="92"/>
    </row>
    <row r="377" spans="1:34" ht="15.75" customHeight="1">
      <c r="A377" s="92"/>
      <c r="B377" s="92"/>
      <c r="C377" s="92"/>
      <c r="D377" s="92"/>
      <c r="E377" s="92"/>
      <c r="F377" s="92"/>
      <c r="G377" s="92"/>
      <c r="H377" s="122"/>
      <c r="I377" s="123"/>
      <c r="J377" s="124"/>
      <c r="K377" s="124"/>
      <c r="L377" s="124"/>
      <c r="M377" s="92"/>
      <c r="N377" s="125"/>
      <c r="O377" s="126"/>
      <c r="P377" s="126"/>
      <c r="Q377" s="127"/>
      <c r="R377" s="127"/>
      <c r="S377" s="126"/>
      <c r="T377" s="123"/>
      <c r="U377" s="92"/>
      <c r="V377" s="92"/>
      <c r="W377" s="92"/>
      <c r="X377" s="92"/>
      <c r="Y377" s="92"/>
      <c r="Z377" s="92"/>
      <c r="AA377" s="92"/>
      <c r="AB377" s="92"/>
      <c r="AC377" s="92"/>
      <c r="AD377" s="124"/>
      <c r="AE377" s="92"/>
      <c r="AF377" s="92"/>
      <c r="AG377" s="92"/>
      <c r="AH377" s="92"/>
    </row>
    <row r="378" spans="1:34" ht="15.75" customHeight="1">
      <c r="A378" s="92"/>
      <c r="B378" s="92"/>
      <c r="C378" s="92"/>
      <c r="D378" s="92"/>
      <c r="E378" s="92"/>
      <c r="F378" s="92"/>
      <c r="G378" s="92"/>
      <c r="H378" s="122"/>
      <c r="I378" s="123"/>
      <c r="J378" s="124"/>
      <c r="K378" s="124"/>
      <c r="L378" s="124"/>
      <c r="M378" s="92"/>
      <c r="N378" s="125"/>
      <c r="O378" s="126"/>
      <c r="P378" s="126"/>
      <c r="Q378" s="127"/>
      <c r="R378" s="127"/>
      <c r="S378" s="126"/>
      <c r="T378" s="123"/>
      <c r="U378" s="92"/>
      <c r="V378" s="92"/>
      <c r="W378" s="92"/>
      <c r="X378" s="92"/>
      <c r="Y378" s="92"/>
      <c r="Z378" s="92"/>
      <c r="AA378" s="92"/>
      <c r="AB378" s="92"/>
      <c r="AC378" s="92"/>
      <c r="AD378" s="124"/>
      <c r="AE378" s="92"/>
      <c r="AF378" s="92"/>
      <c r="AG378" s="92"/>
      <c r="AH378" s="92"/>
    </row>
    <row r="379" spans="1:34" ht="15.75" customHeight="1">
      <c r="A379" s="92"/>
      <c r="B379" s="92"/>
      <c r="C379" s="92"/>
      <c r="D379" s="92"/>
      <c r="E379" s="92"/>
      <c r="F379" s="92"/>
      <c r="G379" s="92"/>
      <c r="H379" s="122"/>
      <c r="I379" s="123"/>
      <c r="J379" s="124"/>
      <c r="K379" s="124"/>
      <c r="L379" s="124"/>
      <c r="M379" s="92"/>
      <c r="N379" s="125"/>
      <c r="O379" s="126"/>
      <c r="P379" s="126"/>
      <c r="Q379" s="127"/>
      <c r="R379" s="127"/>
      <c r="S379" s="126"/>
      <c r="T379" s="123"/>
      <c r="U379" s="92"/>
      <c r="V379" s="92"/>
      <c r="W379" s="92"/>
      <c r="X379" s="92"/>
      <c r="Y379" s="92"/>
      <c r="Z379" s="92"/>
      <c r="AA379" s="92"/>
      <c r="AB379" s="92"/>
      <c r="AC379" s="92"/>
      <c r="AD379" s="124"/>
      <c r="AE379" s="92"/>
      <c r="AF379" s="92"/>
      <c r="AG379" s="92"/>
      <c r="AH379" s="92"/>
    </row>
    <row r="380" spans="1:34" ht="15.75" customHeight="1">
      <c r="A380" s="92"/>
      <c r="B380" s="92"/>
      <c r="C380" s="92"/>
      <c r="D380" s="92"/>
      <c r="E380" s="92"/>
      <c r="F380" s="92"/>
      <c r="G380" s="92"/>
      <c r="H380" s="122"/>
      <c r="I380" s="123"/>
      <c r="J380" s="124"/>
      <c r="K380" s="124"/>
      <c r="L380" s="124"/>
      <c r="M380" s="92"/>
      <c r="N380" s="125"/>
      <c r="O380" s="126"/>
      <c r="P380" s="126"/>
      <c r="Q380" s="127"/>
      <c r="R380" s="127"/>
      <c r="S380" s="126"/>
      <c r="T380" s="123"/>
      <c r="U380" s="92"/>
      <c r="V380" s="92"/>
      <c r="W380" s="92"/>
      <c r="X380" s="92"/>
      <c r="Y380" s="92"/>
      <c r="Z380" s="92"/>
      <c r="AA380" s="92"/>
      <c r="AB380" s="92"/>
      <c r="AC380" s="92"/>
      <c r="AD380" s="124"/>
      <c r="AE380" s="92"/>
      <c r="AF380" s="92"/>
      <c r="AG380" s="92"/>
      <c r="AH380" s="92"/>
    </row>
    <row r="381" spans="1:34" ht="15.75" customHeight="1">
      <c r="A381" s="92"/>
      <c r="B381" s="92"/>
      <c r="C381" s="92"/>
      <c r="D381" s="92"/>
      <c r="E381" s="92"/>
      <c r="F381" s="92"/>
      <c r="G381" s="92"/>
      <c r="H381" s="122"/>
      <c r="I381" s="123"/>
      <c r="J381" s="124"/>
      <c r="K381" s="124"/>
      <c r="L381" s="124"/>
      <c r="M381" s="92"/>
      <c r="N381" s="125"/>
      <c r="O381" s="126"/>
      <c r="P381" s="126"/>
      <c r="Q381" s="127"/>
      <c r="R381" s="127"/>
      <c r="S381" s="126"/>
      <c r="T381" s="123"/>
      <c r="U381" s="92"/>
      <c r="V381" s="92"/>
      <c r="W381" s="92"/>
      <c r="X381" s="92"/>
      <c r="Y381" s="92"/>
      <c r="Z381" s="92"/>
      <c r="AA381" s="92"/>
      <c r="AB381" s="92"/>
      <c r="AC381" s="92"/>
      <c r="AD381" s="124"/>
      <c r="AE381" s="92"/>
      <c r="AF381" s="92"/>
      <c r="AG381" s="92"/>
      <c r="AH381" s="92"/>
    </row>
    <row r="382" spans="1:34" ht="15.75" customHeight="1">
      <c r="A382" s="92"/>
      <c r="B382" s="92"/>
      <c r="C382" s="92"/>
      <c r="D382" s="92"/>
      <c r="E382" s="92"/>
      <c r="F382" s="92"/>
      <c r="G382" s="92"/>
      <c r="H382" s="122"/>
      <c r="I382" s="123"/>
      <c r="J382" s="124"/>
      <c r="K382" s="124"/>
      <c r="L382" s="124"/>
      <c r="M382" s="92"/>
      <c r="N382" s="125"/>
      <c r="O382" s="126"/>
      <c r="P382" s="126"/>
      <c r="Q382" s="127"/>
      <c r="R382" s="127"/>
      <c r="S382" s="126"/>
      <c r="T382" s="123"/>
      <c r="U382" s="92"/>
      <c r="V382" s="92"/>
      <c r="W382" s="92"/>
      <c r="X382" s="92"/>
      <c r="Y382" s="92"/>
      <c r="Z382" s="92"/>
      <c r="AA382" s="92"/>
      <c r="AB382" s="92"/>
      <c r="AC382" s="92"/>
      <c r="AD382" s="124"/>
      <c r="AE382" s="92"/>
      <c r="AF382" s="92"/>
      <c r="AG382" s="92"/>
      <c r="AH382" s="92"/>
    </row>
    <row r="383" spans="1:34" ht="15.75" customHeight="1">
      <c r="A383" s="92"/>
      <c r="B383" s="92"/>
      <c r="C383" s="92"/>
      <c r="D383" s="92"/>
      <c r="E383" s="92"/>
      <c r="F383" s="92"/>
      <c r="G383" s="92"/>
      <c r="H383" s="122"/>
      <c r="I383" s="123"/>
      <c r="J383" s="124"/>
      <c r="K383" s="124"/>
      <c r="L383" s="124"/>
      <c r="M383" s="92"/>
      <c r="N383" s="125"/>
      <c r="O383" s="126"/>
      <c r="P383" s="126"/>
      <c r="Q383" s="127"/>
      <c r="R383" s="127"/>
      <c r="S383" s="126"/>
      <c r="T383" s="123"/>
      <c r="U383" s="92"/>
      <c r="V383" s="92"/>
      <c r="W383" s="92"/>
      <c r="X383" s="92"/>
      <c r="Y383" s="92"/>
      <c r="Z383" s="92"/>
      <c r="AA383" s="92"/>
      <c r="AB383" s="92"/>
      <c r="AC383" s="92"/>
      <c r="AD383" s="124"/>
      <c r="AE383" s="92"/>
      <c r="AF383" s="92"/>
      <c r="AG383" s="92"/>
      <c r="AH383" s="92"/>
    </row>
    <row r="384" spans="1:34" ht="15.75" customHeight="1">
      <c r="A384" s="92"/>
      <c r="B384" s="92"/>
      <c r="C384" s="92"/>
      <c r="D384" s="92"/>
      <c r="E384" s="92"/>
      <c r="F384" s="92"/>
      <c r="G384" s="92"/>
      <c r="H384" s="122"/>
      <c r="I384" s="123"/>
      <c r="J384" s="124"/>
      <c r="K384" s="124"/>
      <c r="L384" s="124"/>
      <c r="M384" s="92"/>
      <c r="N384" s="125"/>
      <c r="O384" s="126"/>
      <c r="P384" s="126"/>
      <c r="Q384" s="127"/>
      <c r="R384" s="127"/>
      <c r="S384" s="126"/>
      <c r="T384" s="123"/>
      <c r="U384" s="92"/>
      <c r="V384" s="92"/>
      <c r="W384" s="92"/>
      <c r="X384" s="92"/>
      <c r="Y384" s="92"/>
      <c r="Z384" s="92"/>
      <c r="AA384" s="92"/>
      <c r="AB384" s="92"/>
      <c r="AC384" s="92"/>
      <c r="AD384" s="124"/>
      <c r="AE384" s="92"/>
      <c r="AF384" s="92"/>
      <c r="AG384" s="92"/>
      <c r="AH384" s="92"/>
    </row>
    <row r="385" spans="1:34" ht="15.75" customHeight="1">
      <c r="A385" s="92"/>
      <c r="B385" s="92"/>
      <c r="C385" s="92"/>
      <c r="D385" s="92"/>
      <c r="E385" s="92"/>
      <c r="F385" s="92"/>
      <c r="G385" s="92"/>
      <c r="H385" s="122"/>
      <c r="I385" s="123"/>
      <c r="J385" s="124"/>
      <c r="K385" s="124"/>
      <c r="L385" s="124"/>
      <c r="M385" s="92"/>
      <c r="N385" s="125"/>
      <c r="O385" s="126"/>
      <c r="P385" s="126"/>
      <c r="Q385" s="127"/>
      <c r="R385" s="127"/>
      <c r="S385" s="126"/>
      <c r="T385" s="123"/>
      <c r="U385" s="92"/>
      <c r="V385" s="92"/>
      <c r="W385" s="92"/>
      <c r="X385" s="92"/>
      <c r="Y385" s="92"/>
      <c r="Z385" s="92"/>
      <c r="AA385" s="92"/>
      <c r="AB385" s="92"/>
      <c r="AC385" s="92"/>
      <c r="AD385" s="124"/>
      <c r="AE385" s="92"/>
      <c r="AF385" s="92"/>
      <c r="AG385" s="92"/>
      <c r="AH385" s="92"/>
    </row>
    <row r="386" spans="1:34" ht="15.75" customHeight="1">
      <c r="A386" s="92"/>
      <c r="B386" s="92"/>
      <c r="C386" s="92"/>
      <c r="D386" s="92"/>
      <c r="E386" s="92"/>
      <c r="F386" s="92"/>
      <c r="G386" s="92"/>
      <c r="H386" s="122"/>
      <c r="I386" s="123"/>
      <c r="J386" s="124"/>
      <c r="K386" s="124"/>
      <c r="L386" s="124"/>
      <c r="M386" s="92"/>
      <c r="N386" s="125"/>
      <c r="O386" s="126"/>
      <c r="P386" s="126"/>
      <c r="Q386" s="127"/>
      <c r="R386" s="127"/>
      <c r="S386" s="126"/>
      <c r="T386" s="123"/>
      <c r="U386" s="92"/>
      <c r="V386" s="92"/>
      <c r="W386" s="92"/>
      <c r="X386" s="92"/>
      <c r="Y386" s="92"/>
      <c r="Z386" s="92"/>
      <c r="AA386" s="92"/>
      <c r="AB386" s="92"/>
      <c r="AC386" s="92"/>
      <c r="AD386" s="124"/>
      <c r="AE386" s="92"/>
      <c r="AF386" s="92"/>
      <c r="AG386" s="92"/>
      <c r="AH386" s="92"/>
    </row>
    <row r="387" spans="1:34" ht="15.75" customHeight="1">
      <c r="A387" s="92"/>
      <c r="B387" s="92"/>
      <c r="C387" s="92"/>
      <c r="D387" s="92"/>
      <c r="E387" s="92"/>
      <c r="F387" s="92"/>
      <c r="G387" s="92"/>
      <c r="H387" s="122"/>
      <c r="I387" s="123"/>
      <c r="J387" s="124"/>
      <c r="K387" s="124"/>
      <c r="L387" s="124"/>
      <c r="M387" s="92"/>
      <c r="N387" s="125"/>
      <c r="O387" s="126"/>
      <c r="P387" s="126"/>
      <c r="Q387" s="127"/>
      <c r="R387" s="127"/>
      <c r="S387" s="126"/>
      <c r="T387" s="123"/>
      <c r="U387" s="92"/>
      <c r="V387" s="92"/>
      <c r="W387" s="92"/>
      <c r="X387" s="92"/>
      <c r="Y387" s="92"/>
      <c r="Z387" s="92"/>
      <c r="AA387" s="92"/>
      <c r="AB387" s="92"/>
      <c r="AC387" s="92"/>
      <c r="AD387" s="124"/>
      <c r="AE387" s="92"/>
      <c r="AF387" s="92"/>
      <c r="AG387" s="92"/>
      <c r="AH387" s="92"/>
    </row>
    <row r="388" spans="1:34" ht="15.75" customHeight="1">
      <c r="A388" s="92"/>
      <c r="B388" s="92"/>
      <c r="C388" s="92"/>
      <c r="D388" s="92"/>
      <c r="E388" s="92"/>
      <c r="F388" s="92"/>
      <c r="G388" s="92"/>
      <c r="H388" s="122"/>
      <c r="I388" s="123"/>
      <c r="J388" s="124"/>
      <c r="K388" s="124"/>
      <c r="L388" s="124"/>
      <c r="M388" s="92"/>
      <c r="N388" s="125"/>
      <c r="O388" s="126"/>
      <c r="P388" s="126"/>
      <c r="Q388" s="127"/>
      <c r="R388" s="127"/>
      <c r="S388" s="126"/>
      <c r="T388" s="123"/>
      <c r="U388" s="92"/>
      <c r="V388" s="92"/>
      <c r="W388" s="92"/>
      <c r="X388" s="92"/>
      <c r="Y388" s="92"/>
      <c r="Z388" s="92"/>
      <c r="AA388" s="92"/>
      <c r="AB388" s="92"/>
      <c r="AC388" s="92"/>
      <c r="AD388" s="124"/>
      <c r="AE388" s="92"/>
      <c r="AF388" s="92"/>
      <c r="AG388" s="92"/>
      <c r="AH388" s="92"/>
    </row>
    <row r="389" spans="1:34" ht="15.75" customHeight="1">
      <c r="A389" s="92"/>
      <c r="B389" s="92"/>
      <c r="C389" s="92"/>
      <c r="D389" s="92"/>
      <c r="E389" s="92"/>
      <c r="F389" s="92"/>
      <c r="G389" s="92"/>
      <c r="H389" s="122"/>
      <c r="I389" s="123"/>
      <c r="J389" s="124"/>
      <c r="K389" s="124"/>
      <c r="L389" s="124"/>
      <c r="M389" s="92"/>
      <c r="N389" s="125"/>
      <c r="O389" s="126"/>
      <c r="P389" s="126"/>
      <c r="Q389" s="127"/>
      <c r="R389" s="127"/>
      <c r="S389" s="126"/>
      <c r="T389" s="123"/>
      <c r="U389" s="92"/>
      <c r="V389" s="92"/>
      <c r="W389" s="92"/>
      <c r="X389" s="92"/>
      <c r="Y389" s="92"/>
      <c r="Z389" s="92"/>
      <c r="AA389" s="92"/>
      <c r="AB389" s="92"/>
      <c r="AC389" s="92"/>
      <c r="AD389" s="124"/>
      <c r="AE389" s="92"/>
      <c r="AF389" s="92"/>
      <c r="AG389" s="92"/>
      <c r="AH389" s="92"/>
    </row>
    <row r="390" spans="1:34" ht="15.75" customHeight="1">
      <c r="A390" s="92"/>
      <c r="B390" s="92"/>
      <c r="C390" s="92"/>
      <c r="D390" s="92"/>
      <c r="E390" s="92"/>
      <c r="F390" s="92"/>
      <c r="G390" s="92"/>
      <c r="H390" s="122"/>
      <c r="I390" s="123"/>
      <c r="J390" s="124"/>
      <c r="K390" s="124"/>
      <c r="L390" s="124"/>
      <c r="M390" s="92"/>
      <c r="N390" s="125"/>
      <c r="O390" s="126"/>
      <c r="P390" s="126"/>
      <c r="Q390" s="127"/>
      <c r="R390" s="127"/>
      <c r="S390" s="126"/>
      <c r="T390" s="123"/>
      <c r="U390" s="92"/>
      <c r="V390" s="92"/>
      <c r="W390" s="92"/>
      <c r="X390" s="92"/>
      <c r="Y390" s="92"/>
      <c r="Z390" s="92"/>
      <c r="AA390" s="92"/>
      <c r="AB390" s="92"/>
      <c r="AC390" s="92"/>
      <c r="AD390" s="124"/>
      <c r="AE390" s="92"/>
      <c r="AF390" s="92"/>
      <c r="AG390" s="92"/>
      <c r="AH390" s="92"/>
    </row>
    <row r="391" spans="1:34" ht="15.75" customHeight="1">
      <c r="A391" s="92"/>
      <c r="B391" s="92"/>
      <c r="C391" s="92"/>
      <c r="D391" s="92"/>
      <c r="E391" s="92"/>
      <c r="F391" s="92"/>
      <c r="G391" s="92"/>
      <c r="H391" s="122"/>
      <c r="I391" s="123"/>
      <c r="J391" s="124"/>
      <c r="K391" s="124"/>
      <c r="L391" s="124"/>
      <c r="M391" s="92"/>
      <c r="N391" s="125"/>
      <c r="O391" s="126"/>
      <c r="P391" s="126"/>
      <c r="Q391" s="127"/>
      <c r="R391" s="127"/>
      <c r="S391" s="126"/>
      <c r="T391" s="123"/>
      <c r="U391" s="92"/>
      <c r="V391" s="92"/>
      <c r="W391" s="92"/>
      <c r="X391" s="92"/>
      <c r="Y391" s="92"/>
      <c r="Z391" s="92"/>
      <c r="AA391" s="92"/>
      <c r="AB391" s="92"/>
      <c r="AC391" s="92"/>
      <c r="AD391" s="124"/>
      <c r="AE391" s="92"/>
      <c r="AF391" s="92"/>
      <c r="AG391" s="92"/>
      <c r="AH391" s="92"/>
    </row>
    <row r="392" spans="1:34" ht="15.75" customHeight="1">
      <c r="A392" s="92"/>
      <c r="B392" s="92"/>
      <c r="C392" s="92"/>
      <c r="D392" s="92"/>
      <c r="E392" s="92"/>
      <c r="F392" s="92"/>
      <c r="G392" s="92"/>
      <c r="H392" s="122"/>
      <c r="I392" s="123"/>
      <c r="J392" s="124"/>
      <c r="K392" s="124"/>
      <c r="L392" s="124"/>
      <c r="M392" s="92"/>
      <c r="N392" s="125"/>
      <c r="O392" s="126"/>
      <c r="P392" s="126"/>
      <c r="Q392" s="127"/>
      <c r="R392" s="127"/>
      <c r="S392" s="126"/>
      <c r="T392" s="123"/>
      <c r="U392" s="92"/>
      <c r="V392" s="92"/>
      <c r="W392" s="92"/>
      <c r="X392" s="92"/>
      <c r="Y392" s="92"/>
      <c r="Z392" s="92"/>
      <c r="AA392" s="92"/>
      <c r="AB392" s="92"/>
      <c r="AC392" s="92"/>
      <c r="AD392" s="124"/>
      <c r="AE392" s="92"/>
      <c r="AF392" s="92"/>
      <c r="AG392" s="92"/>
      <c r="AH392" s="92"/>
    </row>
    <row r="393" spans="1:34" ht="15.75" customHeight="1">
      <c r="A393" s="92"/>
      <c r="B393" s="92"/>
      <c r="C393" s="92"/>
      <c r="D393" s="92"/>
      <c r="E393" s="92"/>
      <c r="F393" s="92"/>
      <c r="G393" s="92"/>
      <c r="H393" s="122"/>
      <c r="I393" s="123"/>
      <c r="J393" s="124"/>
      <c r="K393" s="124"/>
      <c r="L393" s="124"/>
      <c r="M393" s="92"/>
      <c r="N393" s="125"/>
      <c r="O393" s="126"/>
      <c r="P393" s="126"/>
      <c r="Q393" s="127"/>
      <c r="R393" s="127"/>
      <c r="S393" s="126"/>
      <c r="T393" s="123"/>
      <c r="U393" s="92"/>
      <c r="V393" s="92"/>
      <c r="W393" s="92"/>
      <c r="X393" s="92"/>
      <c r="Y393" s="92"/>
      <c r="Z393" s="92"/>
      <c r="AA393" s="92"/>
      <c r="AB393" s="92"/>
      <c r="AC393" s="92"/>
      <c r="AD393" s="124"/>
      <c r="AE393" s="92"/>
      <c r="AF393" s="92"/>
      <c r="AG393" s="92"/>
      <c r="AH393" s="92"/>
    </row>
    <row r="394" spans="1:34" ht="15.75" customHeight="1">
      <c r="A394" s="92"/>
      <c r="B394" s="92"/>
      <c r="C394" s="92"/>
      <c r="D394" s="92"/>
      <c r="E394" s="92"/>
      <c r="F394" s="92"/>
      <c r="G394" s="92"/>
      <c r="H394" s="122"/>
      <c r="I394" s="123"/>
      <c r="J394" s="124"/>
      <c r="K394" s="124"/>
      <c r="L394" s="124"/>
      <c r="M394" s="92"/>
      <c r="N394" s="125"/>
      <c r="O394" s="126"/>
      <c r="P394" s="126"/>
      <c r="Q394" s="127"/>
      <c r="R394" s="127"/>
      <c r="S394" s="126"/>
      <c r="T394" s="123"/>
      <c r="U394" s="92"/>
      <c r="V394" s="92"/>
      <c r="W394" s="92"/>
      <c r="X394" s="92"/>
      <c r="Y394" s="92"/>
      <c r="Z394" s="92"/>
      <c r="AA394" s="92"/>
      <c r="AB394" s="92"/>
      <c r="AC394" s="92"/>
      <c r="AD394" s="124"/>
      <c r="AE394" s="92"/>
      <c r="AF394" s="92"/>
      <c r="AG394" s="92"/>
      <c r="AH394" s="92"/>
    </row>
    <row r="395" spans="1:34" ht="15.75" customHeight="1">
      <c r="A395" s="92"/>
      <c r="B395" s="92"/>
      <c r="C395" s="92"/>
      <c r="D395" s="92"/>
      <c r="E395" s="92"/>
      <c r="F395" s="92"/>
      <c r="G395" s="92"/>
      <c r="H395" s="122"/>
      <c r="I395" s="123"/>
      <c r="J395" s="124"/>
      <c r="K395" s="124"/>
      <c r="L395" s="124"/>
      <c r="M395" s="92"/>
      <c r="N395" s="125"/>
      <c r="O395" s="126"/>
      <c r="P395" s="126"/>
      <c r="Q395" s="127"/>
      <c r="R395" s="127"/>
      <c r="S395" s="126"/>
      <c r="T395" s="123"/>
      <c r="U395" s="92"/>
      <c r="V395" s="92"/>
      <c r="W395" s="92"/>
      <c r="X395" s="92"/>
      <c r="Y395" s="92"/>
      <c r="Z395" s="92"/>
      <c r="AA395" s="92"/>
      <c r="AB395" s="92"/>
      <c r="AC395" s="92"/>
      <c r="AD395" s="124"/>
      <c r="AE395" s="92"/>
      <c r="AF395" s="92"/>
      <c r="AG395" s="92"/>
      <c r="AH395" s="92"/>
    </row>
    <row r="396" spans="1:34" ht="15.75" customHeight="1">
      <c r="A396" s="92"/>
      <c r="B396" s="92"/>
      <c r="C396" s="92"/>
      <c r="D396" s="92"/>
      <c r="E396" s="92"/>
      <c r="F396" s="92"/>
      <c r="G396" s="92"/>
      <c r="H396" s="122"/>
      <c r="I396" s="123"/>
      <c r="J396" s="124"/>
      <c r="K396" s="124"/>
      <c r="L396" s="124"/>
      <c r="M396" s="92"/>
      <c r="N396" s="125"/>
      <c r="O396" s="126"/>
      <c r="P396" s="126"/>
      <c r="Q396" s="127"/>
      <c r="R396" s="127"/>
      <c r="S396" s="126"/>
      <c r="T396" s="123"/>
      <c r="U396" s="92"/>
      <c r="V396" s="92"/>
      <c r="W396" s="92"/>
      <c r="X396" s="92"/>
      <c r="Y396" s="92"/>
      <c r="Z396" s="92"/>
      <c r="AA396" s="92"/>
      <c r="AB396" s="92"/>
      <c r="AC396" s="92"/>
      <c r="AD396" s="124"/>
      <c r="AE396" s="92"/>
      <c r="AF396" s="92"/>
      <c r="AG396" s="92"/>
      <c r="AH396" s="92"/>
    </row>
    <row r="397" spans="1:34" ht="15.75" customHeight="1">
      <c r="A397" s="92"/>
      <c r="B397" s="92"/>
      <c r="C397" s="92"/>
      <c r="D397" s="92"/>
      <c r="E397" s="92"/>
      <c r="F397" s="92"/>
      <c r="G397" s="92"/>
      <c r="H397" s="122"/>
      <c r="I397" s="123"/>
      <c r="J397" s="124"/>
      <c r="K397" s="124"/>
      <c r="L397" s="124"/>
      <c r="M397" s="92"/>
      <c r="N397" s="125"/>
      <c r="O397" s="126"/>
      <c r="P397" s="126"/>
      <c r="Q397" s="127"/>
      <c r="R397" s="127"/>
      <c r="S397" s="126"/>
      <c r="T397" s="123"/>
      <c r="U397" s="92"/>
      <c r="V397" s="92"/>
      <c r="W397" s="92"/>
      <c r="X397" s="92"/>
      <c r="Y397" s="92"/>
      <c r="Z397" s="92"/>
      <c r="AA397" s="92"/>
      <c r="AB397" s="92"/>
      <c r="AC397" s="92"/>
      <c r="AD397" s="124"/>
      <c r="AE397" s="92"/>
      <c r="AF397" s="92"/>
      <c r="AG397" s="92"/>
      <c r="AH397" s="92"/>
    </row>
    <row r="398" spans="1:34" ht="15.75" customHeight="1">
      <c r="A398" s="92"/>
      <c r="B398" s="92"/>
      <c r="C398" s="92"/>
      <c r="D398" s="92"/>
      <c r="E398" s="92"/>
      <c r="F398" s="92"/>
      <c r="G398" s="92"/>
      <c r="H398" s="122"/>
      <c r="I398" s="123"/>
      <c r="J398" s="124"/>
      <c r="K398" s="124"/>
      <c r="L398" s="124"/>
      <c r="M398" s="92"/>
      <c r="N398" s="125"/>
      <c r="O398" s="126"/>
      <c r="P398" s="126"/>
      <c r="Q398" s="127"/>
      <c r="R398" s="127"/>
      <c r="S398" s="126"/>
      <c r="T398" s="123"/>
      <c r="U398" s="92"/>
      <c r="V398" s="92"/>
      <c r="W398" s="92"/>
      <c r="X398" s="92"/>
      <c r="Y398" s="92"/>
      <c r="Z398" s="92"/>
      <c r="AA398" s="92"/>
      <c r="AB398" s="92"/>
      <c r="AC398" s="92"/>
      <c r="AD398" s="124"/>
      <c r="AE398" s="92"/>
      <c r="AF398" s="92"/>
      <c r="AG398" s="92"/>
      <c r="AH398" s="92"/>
    </row>
    <row r="399" spans="1:34" ht="15.75" customHeight="1">
      <c r="A399" s="92"/>
      <c r="B399" s="92"/>
      <c r="C399" s="92"/>
      <c r="D399" s="92"/>
      <c r="E399" s="92"/>
      <c r="F399" s="92"/>
      <c r="G399" s="92"/>
      <c r="H399" s="122"/>
      <c r="I399" s="123"/>
      <c r="J399" s="124"/>
      <c r="K399" s="124"/>
      <c r="L399" s="124"/>
      <c r="M399" s="92"/>
      <c r="N399" s="125"/>
      <c r="O399" s="126"/>
      <c r="P399" s="126"/>
      <c r="Q399" s="127"/>
      <c r="R399" s="127"/>
      <c r="S399" s="126"/>
      <c r="T399" s="123"/>
      <c r="U399" s="92"/>
      <c r="V399" s="92"/>
      <c r="W399" s="92"/>
      <c r="X399" s="92"/>
      <c r="Y399" s="92"/>
      <c r="Z399" s="92"/>
      <c r="AA399" s="92"/>
      <c r="AB399" s="92"/>
      <c r="AC399" s="92"/>
      <c r="AD399" s="124"/>
      <c r="AE399" s="92"/>
      <c r="AF399" s="92"/>
      <c r="AG399" s="92"/>
      <c r="AH399" s="92"/>
    </row>
    <row r="400" spans="1:34" ht="15.75" customHeight="1">
      <c r="A400" s="92"/>
      <c r="B400" s="92"/>
      <c r="C400" s="92"/>
      <c r="D400" s="92"/>
      <c r="E400" s="92"/>
      <c r="F400" s="92"/>
      <c r="G400" s="92"/>
      <c r="H400" s="122"/>
      <c r="I400" s="123"/>
      <c r="J400" s="124"/>
      <c r="K400" s="124"/>
      <c r="L400" s="124"/>
      <c r="M400" s="92"/>
      <c r="N400" s="125"/>
      <c r="O400" s="126"/>
      <c r="P400" s="126"/>
      <c r="Q400" s="127"/>
      <c r="R400" s="127"/>
      <c r="S400" s="126"/>
      <c r="T400" s="123"/>
      <c r="U400" s="92"/>
      <c r="V400" s="92"/>
      <c r="W400" s="92"/>
      <c r="X400" s="92"/>
      <c r="Y400" s="92"/>
      <c r="Z400" s="92"/>
      <c r="AA400" s="92"/>
      <c r="AB400" s="92"/>
      <c r="AC400" s="92"/>
      <c r="AD400" s="124"/>
      <c r="AE400" s="92"/>
      <c r="AF400" s="92"/>
      <c r="AG400" s="92"/>
      <c r="AH400" s="92"/>
    </row>
    <row r="401" spans="1:34" ht="15.75" customHeight="1">
      <c r="A401" s="92"/>
      <c r="B401" s="92"/>
      <c r="C401" s="92"/>
      <c r="D401" s="92"/>
      <c r="E401" s="92"/>
      <c r="F401" s="92"/>
      <c r="G401" s="92"/>
      <c r="H401" s="122"/>
      <c r="I401" s="123"/>
      <c r="J401" s="124"/>
      <c r="K401" s="124"/>
      <c r="L401" s="124"/>
      <c r="M401" s="92"/>
      <c r="N401" s="125"/>
      <c r="O401" s="126"/>
      <c r="P401" s="126"/>
      <c r="Q401" s="127"/>
      <c r="R401" s="127"/>
      <c r="S401" s="126"/>
      <c r="T401" s="123"/>
      <c r="U401" s="92"/>
      <c r="V401" s="92"/>
      <c r="W401" s="92"/>
      <c r="X401" s="92"/>
      <c r="Y401" s="92"/>
      <c r="Z401" s="92"/>
      <c r="AA401" s="92"/>
      <c r="AB401" s="92"/>
      <c r="AC401" s="92"/>
      <c r="AD401" s="124"/>
      <c r="AE401" s="92"/>
      <c r="AF401" s="92"/>
      <c r="AG401" s="92"/>
      <c r="AH401" s="92"/>
    </row>
    <row r="402" spans="1:34" ht="15.75" customHeight="1">
      <c r="A402" s="92"/>
      <c r="B402" s="92"/>
      <c r="C402" s="92"/>
      <c r="D402" s="92"/>
      <c r="E402" s="92"/>
      <c r="F402" s="92"/>
      <c r="G402" s="92"/>
      <c r="H402" s="122"/>
      <c r="I402" s="123"/>
      <c r="J402" s="124"/>
      <c r="K402" s="124"/>
      <c r="L402" s="124"/>
      <c r="M402" s="92"/>
      <c r="N402" s="125"/>
      <c r="O402" s="126"/>
      <c r="P402" s="126"/>
      <c r="Q402" s="127"/>
      <c r="R402" s="127"/>
      <c r="S402" s="126"/>
      <c r="T402" s="123"/>
      <c r="U402" s="92"/>
      <c r="V402" s="92"/>
      <c r="W402" s="92"/>
      <c r="X402" s="92"/>
      <c r="Y402" s="92"/>
      <c r="Z402" s="92"/>
      <c r="AA402" s="92"/>
      <c r="AB402" s="92"/>
      <c r="AC402" s="92"/>
      <c r="AD402" s="124"/>
      <c r="AE402" s="92"/>
      <c r="AF402" s="92"/>
      <c r="AG402" s="92"/>
      <c r="AH402" s="92"/>
    </row>
    <row r="403" spans="1:34" ht="15.75" customHeight="1">
      <c r="A403" s="92"/>
      <c r="B403" s="92"/>
      <c r="C403" s="92"/>
      <c r="D403" s="92"/>
      <c r="E403" s="92"/>
      <c r="F403" s="92"/>
      <c r="G403" s="92"/>
      <c r="H403" s="122"/>
      <c r="I403" s="123"/>
      <c r="J403" s="124"/>
      <c r="K403" s="124"/>
      <c r="L403" s="124"/>
      <c r="M403" s="92"/>
      <c r="N403" s="125"/>
      <c r="O403" s="126"/>
      <c r="P403" s="126"/>
      <c r="Q403" s="127"/>
      <c r="R403" s="127"/>
      <c r="S403" s="126"/>
      <c r="T403" s="123"/>
      <c r="U403" s="92"/>
      <c r="V403" s="92"/>
      <c r="W403" s="92"/>
      <c r="X403" s="92"/>
      <c r="Y403" s="92"/>
      <c r="Z403" s="92"/>
      <c r="AA403" s="92"/>
      <c r="AB403" s="92"/>
      <c r="AC403" s="92"/>
      <c r="AD403" s="124"/>
      <c r="AE403" s="92"/>
      <c r="AF403" s="92"/>
      <c r="AG403" s="92"/>
      <c r="AH403" s="92"/>
    </row>
    <row r="404" spans="1:34" ht="15.75" customHeight="1">
      <c r="A404" s="92"/>
      <c r="B404" s="92"/>
      <c r="C404" s="92"/>
      <c r="D404" s="92"/>
      <c r="E404" s="92"/>
      <c r="F404" s="92"/>
      <c r="G404" s="92"/>
      <c r="H404" s="122"/>
      <c r="I404" s="123"/>
      <c r="J404" s="124"/>
      <c r="K404" s="124"/>
      <c r="L404" s="124"/>
      <c r="M404" s="92"/>
      <c r="N404" s="125"/>
      <c r="O404" s="126"/>
      <c r="P404" s="126"/>
      <c r="Q404" s="127"/>
      <c r="R404" s="127"/>
      <c r="S404" s="126"/>
      <c r="T404" s="123"/>
      <c r="U404" s="92"/>
      <c r="V404" s="92"/>
      <c r="W404" s="92"/>
      <c r="X404" s="92"/>
      <c r="Y404" s="92"/>
      <c r="Z404" s="92"/>
      <c r="AA404" s="92"/>
      <c r="AB404" s="92"/>
      <c r="AC404" s="92"/>
      <c r="AD404" s="124"/>
      <c r="AE404" s="92"/>
      <c r="AF404" s="92"/>
      <c r="AG404" s="92"/>
      <c r="AH404" s="92"/>
    </row>
    <row r="405" spans="1:34" ht="15.75" customHeight="1">
      <c r="A405" s="92"/>
      <c r="B405" s="92"/>
      <c r="C405" s="92"/>
      <c r="D405" s="92"/>
      <c r="E405" s="92"/>
      <c r="F405" s="92"/>
      <c r="G405" s="92"/>
      <c r="H405" s="122"/>
      <c r="I405" s="123"/>
      <c r="J405" s="124"/>
      <c r="K405" s="124"/>
      <c r="L405" s="124"/>
      <c r="M405" s="92"/>
      <c r="N405" s="125"/>
      <c r="O405" s="126"/>
      <c r="P405" s="126"/>
      <c r="Q405" s="127"/>
      <c r="R405" s="127"/>
      <c r="S405" s="126"/>
      <c r="T405" s="123"/>
      <c r="U405" s="92"/>
      <c r="V405" s="92"/>
      <c r="W405" s="92"/>
      <c r="X405" s="92"/>
      <c r="Y405" s="92"/>
      <c r="Z405" s="92"/>
      <c r="AA405" s="92"/>
      <c r="AB405" s="92"/>
      <c r="AC405" s="92"/>
      <c r="AD405" s="124"/>
      <c r="AE405" s="92"/>
      <c r="AF405" s="92"/>
      <c r="AG405" s="92"/>
      <c r="AH405" s="92"/>
    </row>
    <row r="406" spans="1:34" ht="15.75" customHeight="1">
      <c r="A406" s="92"/>
      <c r="B406" s="92"/>
      <c r="C406" s="92"/>
      <c r="D406" s="92"/>
      <c r="E406" s="92"/>
      <c r="F406" s="92"/>
      <c r="G406" s="92"/>
      <c r="H406" s="122"/>
      <c r="I406" s="123"/>
      <c r="J406" s="124"/>
      <c r="K406" s="124"/>
      <c r="L406" s="124"/>
      <c r="M406" s="92"/>
      <c r="N406" s="125"/>
      <c r="O406" s="126"/>
      <c r="P406" s="126"/>
      <c r="Q406" s="127"/>
      <c r="R406" s="127"/>
      <c r="S406" s="126"/>
      <c r="T406" s="123"/>
      <c r="U406" s="92"/>
      <c r="V406" s="92"/>
      <c r="W406" s="92"/>
      <c r="X406" s="92"/>
      <c r="Y406" s="92"/>
      <c r="Z406" s="92"/>
      <c r="AA406" s="92"/>
      <c r="AB406" s="92"/>
      <c r="AC406" s="92"/>
      <c r="AD406" s="124"/>
      <c r="AE406" s="92"/>
      <c r="AF406" s="92"/>
      <c r="AG406" s="92"/>
      <c r="AH406" s="92"/>
    </row>
    <row r="407" spans="1:34" ht="15.75" customHeight="1">
      <c r="A407" s="92"/>
      <c r="B407" s="92"/>
      <c r="C407" s="92"/>
      <c r="D407" s="92"/>
      <c r="E407" s="92"/>
      <c r="F407" s="92"/>
      <c r="G407" s="92"/>
      <c r="H407" s="122"/>
      <c r="I407" s="123"/>
      <c r="J407" s="124"/>
      <c r="K407" s="124"/>
      <c r="L407" s="124"/>
      <c r="M407" s="92"/>
      <c r="N407" s="125"/>
      <c r="O407" s="126"/>
      <c r="P407" s="126"/>
      <c r="Q407" s="127"/>
      <c r="R407" s="127"/>
      <c r="S407" s="126"/>
      <c r="T407" s="123"/>
      <c r="U407" s="92"/>
      <c r="V407" s="92"/>
      <c r="W407" s="92"/>
      <c r="X407" s="92"/>
      <c r="Y407" s="92"/>
      <c r="Z407" s="92"/>
      <c r="AA407" s="92"/>
      <c r="AB407" s="92"/>
      <c r="AC407" s="92"/>
      <c r="AD407" s="124"/>
      <c r="AE407" s="92"/>
      <c r="AF407" s="92"/>
      <c r="AG407" s="92"/>
      <c r="AH407" s="92"/>
    </row>
    <row r="408" spans="1:34" ht="15.75" customHeight="1">
      <c r="A408" s="92"/>
      <c r="B408" s="92"/>
      <c r="C408" s="92"/>
      <c r="D408" s="92"/>
      <c r="E408" s="92"/>
      <c r="F408" s="92"/>
      <c r="G408" s="92"/>
      <c r="H408" s="122"/>
      <c r="I408" s="123"/>
      <c r="J408" s="124"/>
      <c r="K408" s="124"/>
      <c r="L408" s="124"/>
      <c r="M408" s="92"/>
      <c r="N408" s="125"/>
      <c r="O408" s="126"/>
      <c r="P408" s="126"/>
      <c r="Q408" s="127"/>
      <c r="R408" s="127"/>
      <c r="S408" s="126"/>
      <c r="T408" s="123"/>
      <c r="U408" s="92"/>
      <c r="V408" s="92"/>
      <c r="W408" s="92"/>
      <c r="X408" s="92"/>
      <c r="Y408" s="92"/>
      <c r="Z408" s="92"/>
      <c r="AA408" s="92"/>
      <c r="AB408" s="92"/>
      <c r="AC408" s="92"/>
      <c r="AD408" s="124"/>
      <c r="AE408" s="92"/>
      <c r="AF408" s="92"/>
      <c r="AG408" s="92"/>
      <c r="AH408" s="92"/>
    </row>
    <row r="409" spans="1:34" ht="15.75" customHeight="1">
      <c r="A409" s="92"/>
      <c r="B409" s="92"/>
      <c r="C409" s="92"/>
      <c r="D409" s="92"/>
      <c r="E409" s="92"/>
      <c r="F409" s="92"/>
      <c r="G409" s="92"/>
      <c r="H409" s="122"/>
      <c r="I409" s="123"/>
      <c r="J409" s="124"/>
      <c r="K409" s="124"/>
      <c r="L409" s="124"/>
      <c r="M409" s="92"/>
      <c r="N409" s="125"/>
      <c r="O409" s="126"/>
      <c r="P409" s="126"/>
      <c r="Q409" s="127"/>
      <c r="R409" s="127"/>
      <c r="S409" s="126"/>
      <c r="T409" s="123"/>
      <c r="U409" s="92"/>
      <c r="V409" s="92"/>
      <c r="W409" s="92"/>
      <c r="X409" s="92"/>
      <c r="Y409" s="92"/>
      <c r="Z409" s="92"/>
      <c r="AA409" s="92"/>
      <c r="AB409" s="92"/>
      <c r="AC409" s="92"/>
      <c r="AD409" s="124"/>
      <c r="AE409" s="92"/>
      <c r="AF409" s="92"/>
      <c r="AG409" s="92"/>
      <c r="AH409" s="92"/>
    </row>
    <row r="410" spans="1:34" ht="15.75" customHeight="1">
      <c r="A410" s="92"/>
      <c r="B410" s="92"/>
      <c r="C410" s="92"/>
      <c r="D410" s="92"/>
      <c r="E410" s="92"/>
      <c r="F410" s="92"/>
      <c r="G410" s="92"/>
      <c r="H410" s="122"/>
      <c r="I410" s="123"/>
      <c r="J410" s="124"/>
      <c r="K410" s="124"/>
      <c r="L410" s="124"/>
      <c r="M410" s="92"/>
      <c r="N410" s="125"/>
      <c r="O410" s="126"/>
      <c r="P410" s="126"/>
      <c r="Q410" s="127"/>
      <c r="R410" s="127"/>
      <c r="S410" s="126"/>
      <c r="T410" s="123"/>
      <c r="U410" s="92"/>
      <c r="V410" s="92"/>
      <c r="W410" s="92"/>
      <c r="X410" s="92"/>
      <c r="Y410" s="92"/>
      <c r="Z410" s="92"/>
      <c r="AA410" s="92"/>
      <c r="AB410" s="92"/>
      <c r="AC410" s="92"/>
      <c r="AD410" s="124"/>
      <c r="AE410" s="92"/>
      <c r="AF410" s="92"/>
      <c r="AG410" s="92"/>
      <c r="AH410" s="92"/>
    </row>
    <row r="411" spans="1:34" ht="15.75" customHeight="1">
      <c r="A411" s="92"/>
      <c r="B411" s="92"/>
      <c r="C411" s="92"/>
      <c r="D411" s="92"/>
      <c r="E411" s="92"/>
      <c r="F411" s="92"/>
      <c r="G411" s="92"/>
      <c r="H411" s="122"/>
      <c r="I411" s="123"/>
      <c r="J411" s="124"/>
      <c r="K411" s="124"/>
      <c r="L411" s="124"/>
      <c r="M411" s="92"/>
      <c r="N411" s="125"/>
      <c r="O411" s="126"/>
      <c r="P411" s="126"/>
      <c r="Q411" s="127"/>
      <c r="R411" s="127"/>
      <c r="S411" s="126"/>
      <c r="T411" s="123"/>
      <c r="U411" s="92"/>
      <c r="V411" s="92"/>
      <c r="W411" s="92"/>
      <c r="X411" s="92"/>
      <c r="Y411" s="92"/>
      <c r="Z411" s="92"/>
      <c r="AA411" s="92"/>
      <c r="AB411" s="92"/>
      <c r="AC411" s="92"/>
      <c r="AD411" s="124"/>
      <c r="AE411" s="92"/>
      <c r="AF411" s="92"/>
      <c r="AG411" s="92"/>
      <c r="AH411" s="92"/>
    </row>
    <row r="412" spans="1:34" ht="15.75" customHeight="1">
      <c r="A412" s="92"/>
      <c r="B412" s="92"/>
      <c r="C412" s="92"/>
      <c r="D412" s="92"/>
      <c r="E412" s="92"/>
      <c r="F412" s="92"/>
      <c r="G412" s="92"/>
      <c r="H412" s="122"/>
      <c r="I412" s="123"/>
      <c r="J412" s="124"/>
      <c r="K412" s="124"/>
      <c r="L412" s="124"/>
      <c r="M412" s="92"/>
      <c r="N412" s="125"/>
      <c r="O412" s="126"/>
      <c r="P412" s="126"/>
      <c r="Q412" s="127"/>
      <c r="R412" s="127"/>
      <c r="S412" s="126"/>
      <c r="T412" s="123"/>
      <c r="U412" s="92"/>
      <c r="V412" s="92"/>
      <c r="W412" s="92"/>
      <c r="X412" s="92"/>
      <c r="Y412" s="92"/>
      <c r="Z412" s="92"/>
      <c r="AA412" s="92"/>
      <c r="AB412" s="92"/>
      <c r="AC412" s="92"/>
      <c r="AD412" s="124"/>
      <c r="AE412" s="92"/>
      <c r="AF412" s="92"/>
      <c r="AG412" s="92"/>
      <c r="AH412" s="92"/>
    </row>
    <row r="413" spans="1:34" ht="15.75" customHeight="1">
      <c r="A413" s="92"/>
      <c r="B413" s="92"/>
      <c r="C413" s="92"/>
      <c r="D413" s="92"/>
      <c r="E413" s="92"/>
      <c r="F413" s="92"/>
      <c r="G413" s="92"/>
      <c r="H413" s="122"/>
      <c r="I413" s="123"/>
      <c r="J413" s="124"/>
      <c r="K413" s="124"/>
      <c r="L413" s="124"/>
      <c r="M413" s="92"/>
      <c r="N413" s="125"/>
      <c r="O413" s="126"/>
      <c r="P413" s="126"/>
      <c r="Q413" s="127"/>
      <c r="R413" s="127"/>
      <c r="S413" s="126"/>
      <c r="T413" s="123"/>
      <c r="U413" s="92"/>
      <c r="V413" s="92"/>
      <c r="W413" s="92"/>
      <c r="X413" s="92"/>
      <c r="Y413" s="92"/>
      <c r="Z413" s="92"/>
      <c r="AA413" s="92"/>
      <c r="AB413" s="92"/>
      <c r="AC413" s="92"/>
      <c r="AD413" s="124"/>
      <c r="AE413" s="92"/>
      <c r="AF413" s="92"/>
      <c r="AG413" s="92"/>
      <c r="AH413" s="92"/>
    </row>
    <row r="414" spans="1:34" ht="15.75" customHeight="1">
      <c r="A414" s="92"/>
      <c r="B414" s="92"/>
      <c r="C414" s="92"/>
      <c r="D414" s="92"/>
      <c r="E414" s="92"/>
      <c r="F414" s="92"/>
      <c r="G414" s="92"/>
      <c r="H414" s="122"/>
      <c r="I414" s="123"/>
      <c r="J414" s="124"/>
      <c r="K414" s="124"/>
      <c r="L414" s="124"/>
      <c r="M414" s="92"/>
      <c r="N414" s="125"/>
      <c r="O414" s="126"/>
      <c r="P414" s="126"/>
      <c r="Q414" s="127"/>
      <c r="R414" s="127"/>
      <c r="S414" s="126"/>
      <c r="T414" s="123"/>
      <c r="U414" s="92"/>
      <c r="V414" s="92"/>
      <c r="W414" s="92"/>
      <c r="X414" s="92"/>
      <c r="Y414" s="92"/>
      <c r="Z414" s="92"/>
      <c r="AA414" s="92"/>
      <c r="AB414" s="92"/>
      <c r="AC414" s="92"/>
      <c r="AD414" s="124"/>
      <c r="AE414" s="92"/>
      <c r="AF414" s="92"/>
      <c r="AG414" s="92"/>
      <c r="AH414" s="92"/>
    </row>
    <row r="415" spans="1:34" ht="15.75" customHeight="1">
      <c r="A415" s="92"/>
      <c r="B415" s="92"/>
      <c r="C415" s="92"/>
      <c r="D415" s="92"/>
      <c r="E415" s="92"/>
      <c r="F415" s="92"/>
      <c r="G415" s="92"/>
      <c r="H415" s="122"/>
      <c r="I415" s="123"/>
      <c r="J415" s="124"/>
      <c r="K415" s="124"/>
      <c r="L415" s="124"/>
      <c r="M415" s="92"/>
      <c r="N415" s="125"/>
      <c r="O415" s="126"/>
      <c r="P415" s="126"/>
      <c r="Q415" s="127"/>
      <c r="R415" s="127"/>
      <c r="S415" s="126"/>
      <c r="T415" s="123"/>
      <c r="U415" s="92"/>
      <c r="V415" s="92"/>
      <c r="W415" s="92"/>
      <c r="X415" s="92"/>
      <c r="Y415" s="92"/>
      <c r="Z415" s="92"/>
      <c r="AA415" s="92"/>
      <c r="AB415" s="92"/>
      <c r="AC415" s="92"/>
      <c r="AD415" s="124"/>
      <c r="AE415" s="92"/>
      <c r="AF415" s="92"/>
      <c r="AG415" s="92"/>
      <c r="AH415" s="92"/>
    </row>
    <row r="416" spans="1:34" ht="15.75" customHeight="1">
      <c r="A416" s="92"/>
      <c r="B416" s="92"/>
      <c r="C416" s="92"/>
      <c r="D416" s="92"/>
      <c r="E416" s="92"/>
      <c r="F416" s="92"/>
      <c r="G416" s="92"/>
      <c r="H416" s="122"/>
      <c r="I416" s="123"/>
      <c r="J416" s="124"/>
      <c r="K416" s="124"/>
      <c r="L416" s="124"/>
      <c r="M416" s="92"/>
      <c r="N416" s="125"/>
      <c r="O416" s="126"/>
      <c r="P416" s="126"/>
      <c r="Q416" s="127"/>
      <c r="R416" s="127"/>
      <c r="S416" s="126"/>
      <c r="T416" s="123"/>
      <c r="U416" s="92"/>
      <c r="V416" s="92"/>
      <c r="W416" s="92"/>
      <c r="X416" s="92"/>
      <c r="Y416" s="92"/>
      <c r="Z416" s="92"/>
      <c r="AA416" s="92"/>
      <c r="AB416" s="92"/>
      <c r="AC416" s="92"/>
      <c r="AD416" s="124"/>
      <c r="AE416" s="92"/>
      <c r="AF416" s="92"/>
      <c r="AG416" s="92"/>
      <c r="AH416" s="92"/>
    </row>
    <row r="417" spans="1:34" ht="15.75" customHeight="1">
      <c r="A417" s="92"/>
      <c r="B417" s="92"/>
      <c r="C417" s="92"/>
      <c r="D417" s="92"/>
      <c r="E417" s="92"/>
      <c r="F417" s="92"/>
      <c r="G417" s="92"/>
      <c r="H417" s="122"/>
      <c r="I417" s="123"/>
      <c r="J417" s="124"/>
      <c r="K417" s="124"/>
      <c r="L417" s="124"/>
      <c r="M417" s="92"/>
      <c r="N417" s="125"/>
      <c r="O417" s="126"/>
      <c r="P417" s="126"/>
      <c r="Q417" s="127"/>
      <c r="R417" s="127"/>
      <c r="S417" s="126"/>
      <c r="T417" s="123"/>
      <c r="U417" s="92"/>
      <c r="V417" s="92"/>
      <c r="W417" s="92"/>
      <c r="X417" s="92"/>
      <c r="Y417" s="92"/>
      <c r="Z417" s="92"/>
      <c r="AA417" s="92"/>
      <c r="AB417" s="92"/>
      <c r="AC417" s="92"/>
      <c r="AD417" s="124"/>
      <c r="AE417" s="92"/>
      <c r="AF417" s="92"/>
      <c r="AG417" s="92"/>
      <c r="AH417" s="92"/>
    </row>
    <row r="418" spans="1:34" ht="15.75" customHeight="1">
      <c r="A418" s="92"/>
      <c r="B418" s="92"/>
      <c r="C418" s="92"/>
      <c r="D418" s="92"/>
      <c r="E418" s="92"/>
      <c r="F418" s="92"/>
      <c r="G418" s="92"/>
      <c r="H418" s="122"/>
      <c r="I418" s="123"/>
      <c r="J418" s="124"/>
      <c r="K418" s="124"/>
      <c r="L418" s="124"/>
      <c r="M418" s="92"/>
      <c r="N418" s="125"/>
      <c r="O418" s="126"/>
      <c r="P418" s="126"/>
      <c r="Q418" s="127"/>
      <c r="R418" s="127"/>
      <c r="S418" s="126"/>
      <c r="T418" s="123"/>
      <c r="U418" s="92"/>
      <c r="V418" s="92"/>
      <c r="W418" s="92"/>
      <c r="X418" s="92"/>
      <c r="Y418" s="92"/>
      <c r="Z418" s="92"/>
      <c r="AA418" s="92"/>
      <c r="AB418" s="92"/>
      <c r="AC418" s="92"/>
      <c r="AD418" s="124"/>
      <c r="AE418" s="92"/>
      <c r="AF418" s="92"/>
      <c r="AG418" s="92"/>
      <c r="AH418" s="92"/>
    </row>
    <row r="419" spans="1:34" ht="15.75" customHeight="1">
      <c r="A419" s="92"/>
      <c r="B419" s="92"/>
      <c r="C419" s="92"/>
      <c r="D419" s="92"/>
      <c r="E419" s="92"/>
      <c r="F419" s="92"/>
      <c r="G419" s="92"/>
      <c r="H419" s="122"/>
      <c r="I419" s="123"/>
      <c r="J419" s="124"/>
      <c r="K419" s="124"/>
      <c r="L419" s="124"/>
      <c r="M419" s="92"/>
      <c r="N419" s="125"/>
      <c r="O419" s="126"/>
      <c r="P419" s="126"/>
      <c r="Q419" s="127"/>
      <c r="R419" s="127"/>
      <c r="S419" s="126"/>
      <c r="T419" s="123"/>
      <c r="U419" s="92"/>
      <c r="V419" s="92"/>
      <c r="W419" s="92"/>
      <c r="X419" s="92"/>
      <c r="Y419" s="92"/>
      <c r="Z419" s="92"/>
      <c r="AA419" s="92"/>
      <c r="AB419" s="92"/>
      <c r="AC419" s="92"/>
      <c r="AD419" s="124"/>
      <c r="AE419" s="92"/>
      <c r="AF419" s="92"/>
      <c r="AG419" s="92"/>
      <c r="AH419" s="92"/>
    </row>
    <row r="420" spans="1:34" ht="15.75" customHeight="1">
      <c r="A420" s="92"/>
      <c r="B420" s="92"/>
      <c r="C420" s="92"/>
      <c r="D420" s="92"/>
      <c r="E420" s="92"/>
      <c r="F420" s="92"/>
      <c r="G420" s="92"/>
      <c r="H420" s="122"/>
      <c r="I420" s="123"/>
      <c r="J420" s="124"/>
      <c r="K420" s="124"/>
      <c r="L420" s="124"/>
      <c r="M420" s="92"/>
      <c r="N420" s="125"/>
      <c r="O420" s="126"/>
      <c r="P420" s="126"/>
      <c r="Q420" s="127"/>
      <c r="R420" s="127"/>
      <c r="S420" s="126"/>
      <c r="T420" s="123"/>
      <c r="U420" s="92"/>
      <c r="V420" s="92"/>
      <c r="W420" s="92"/>
      <c r="X420" s="92"/>
      <c r="Y420" s="92"/>
      <c r="Z420" s="92"/>
      <c r="AA420" s="92"/>
      <c r="AB420" s="92"/>
      <c r="AC420" s="92"/>
      <c r="AD420" s="124"/>
      <c r="AE420" s="92"/>
      <c r="AF420" s="92"/>
      <c r="AG420" s="92"/>
      <c r="AH420" s="92"/>
    </row>
    <row r="421" spans="1:34" ht="15.75" customHeight="1">
      <c r="A421" s="92"/>
      <c r="B421" s="92"/>
      <c r="C421" s="92"/>
      <c r="D421" s="92"/>
      <c r="E421" s="92"/>
      <c r="F421" s="92"/>
      <c r="G421" s="92"/>
      <c r="H421" s="122"/>
      <c r="I421" s="123"/>
      <c r="J421" s="124"/>
      <c r="K421" s="124"/>
      <c r="L421" s="124"/>
      <c r="M421" s="92"/>
      <c r="N421" s="125"/>
      <c r="O421" s="126"/>
      <c r="P421" s="126"/>
      <c r="Q421" s="127"/>
      <c r="R421" s="127"/>
      <c r="S421" s="126"/>
      <c r="T421" s="123"/>
      <c r="U421" s="92"/>
      <c r="V421" s="92"/>
      <c r="W421" s="92"/>
      <c r="X421" s="92"/>
      <c r="Y421" s="92"/>
      <c r="Z421" s="92"/>
      <c r="AA421" s="92"/>
      <c r="AB421" s="92"/>
      <c r="AC421" s="92"/>
      <c r="AD421" s="124"/>
      <c r="AE421" s="92"/>
      <c r="AF421" s="92"/>
      <c r="AG421" s="92"/>
      <c r="AH421" s="92"/>
    </row>
    <row r="422" spans="1:34" ht="15.75" customHeight="1">
      <c r="A422" s="92"/>
      <c r="B422" s="92"/>
      <c r="C422" s="92"/>
      <c r="D422" s="92"/>
      <c r="E422" s="92"/>
      <c r="F422" s="92"/>
      <c r="G422" s="92"/>
      <c r="H422" s="122"/>
      <c r="I422" s="123"/>
      <c r="J422" s="124"/>
      <c r="K422" s="124"/>
      <c r="L422" s="124"/>
      <c r="M422" s="92"/>
      <c r="N422" s="125"/>
      <c r="O422" s="126"/>
      <c r="P422" s="126"/>
      <c r="Q422" s="127"/>
      <c r="R422" s="127"/>
      <c r="S422" s="126"/>
      <c r="T422" s="123"/>
      <c r="U422" s="92"/>
      <c r="V422" s="92"/>
      <c r="W422" s="92"/>
      <c r="X422" s="92"/>
      <c r="Y422" s="92"/>
      <c r="Z422" s="92"/>
      <c r="AA422" s="92"/>
      <c r="AB422" s="92"/>
      <c r="AC422" s="92"/>
      <c r="AD422" s="124"/>
      <c r="AE422" s="92"/>
      <c r="AF422" s="92"/>
      <c r="AG422" s="92"/>
      <c r="AH422" s="92"/>
    </row>
    <row r="423" spans="1:34" ht="15.75" customHeight="1">
      <c r="A423" s="92"/>
      <c r="B423" s="92"/>
      <c r="C423" s="92"/>
      <c r="D423" s="92"/>
      <c r="E423" s="92"/>
      <c r="F423" s="92"/>
      <c r="G423" s="92"/>
      <c r="H423" s="122"/>
      <c r="I423" s="123"/>
      <c r="J423" s="124"/>
      <c r="K423" s="124"/>
      <c r="L423" s="124"/>
      <c r="M423" s="92"/>
      <c r="N423" s="125"/>
      <c r="O423" s="126"/>
      <c r="P423" s="126"/>
      <c r="Q423" s="127"/>
      <c r="R423" s="127"/>
      <c r="S423" s="126"/>
      <c r="T423" s="123"/>
      <c r="U423" s="92"/>
      <c r="V423" s="92"/>
      <c r="W423" s="92"/>
      <c r="X423" s="92"/>
      <c r="Y423" s="92"/>
      <c r="Z423" s="92"/>
      <c r="AA423" s="92"/>
      <c r="AB423" s="92"/>
      <c r="AC423" s="92"/>
      <c r="AD423" s="124"/>
      <c r="AE423" s="92"/>
      <c r="AF423" s="92"/>
      <c r="AG423" s="92"/>
      <c r="AH423" s="92"/>
    </row>
    <row r="424" spans="1:34" ht="15.75" customHeight="1">
      <c r="A424" s="92"/>
      <c r="B424" s="92"/>
      <c r="C424" s="92"/>
      <c r="D424" s="92"/>
      <c r="E424" s="92"/>
      <c r="F424" s="92"/>
      <c r="G424" s="92"/>
      <c r="H424" s="122"/>
      <c r="I424" s="123"/>
      <c r="J424" s="124"/>
      <c r="K424" s="124"/>
      <c r="L424" s="124"/>
      <c r="M424" s="92"/>
      <c r="N424" s="125"/>
      <c r="O424" s="126"/>
      <c r="P424" s="126"/>
      <c r="Q424" s="127"/>
      <c r="R424" s="127"/>
      <c r="S424" s="126"/>
      <c r="T424" s="123"/>
      <c r="U424" s="92"/>
      <c r="V424" s="92"/>
      <c r="W424" s="92"/>
      <c r="X424" s="92"/>
      <c r="Y424" s="92"/>
      <c r="Z424" s="92"/>
      <c r="AA424" s="92"/>
      <c r="AB424" s="92"/>
      <c r="AC424" s="92"/>
      <c r="AD424" s="124"/>
      <c r="AE424" s="92"/>
      <c r="AF424" s="92"/>
      <c r="AG424" s="92"/>
      <c r="AH424" s="92"/>
    </row>
    <row r="425" spans="1:34" ht="15.75" customHeight="1">
      <c r="A425" s="92"/>
      <c r="B425" s="92"/>
      <c r="C425" s="92"/>
      <c r="D425" s="92"/>
      <c r="E425" s="92"/>
      <c r="F425" s="92"/>
      <c r="G425" s="92"/>
      <c r="H425" s="122"/>
      <c r="I425" s="123"/>
      <c r="J425" s="124"/>
      <c r="K425" s="124"/>
      <c r="L425" s="124"/>
      <c r="M425" s="92"/>
      <c r="N425" s="125"/>
      <c r="O425" s="126"/>
      <c r="P425" s="126"/>
      <c r="Q425" s="127"/>
      <c r="R425" s="127"/>
      <c r="S425" s="126"/>
      <c r="T425" s="123"/>
      <c r="U425" s="92"/>
      <c r="V425" s="92"/>
      <c r="W425" s="92"/>
      <c r="X425" s="92"/>
      <c r="Y425" s="92"/>
      <c r="Z425" s="92"/>
      <c r="AA425" s="92"/>
      <c r="AB425" s="92"/>
      <c r="AC425" s="92"/>
      <c r="AD425" s="124"/>
      <c r="AE425" s="92"/>
      <c r="AF425" s="92"/>
      <c r="AG425" s="92"/>
      <c r="AH425" s="92"/>
    </row>
    <row r="426" spans="1:34" ht="15.75" customHeight="1">
      <c r="A426" s="92"/>
      <c r="B426" s="92"/>
      <c r="C426" s="92"/>
      <c r="D426" s="92"/>
      <c r="E426" s="92"/>
      <c r="F426" s="92"/>
      <c r="G426" s="92"/>
      <c r="H426" s="122"/>
      <c r="I426" s="123"/>
      <c r="J426" s="124"/>
      <c r="K426" s="124"/>
      <c r="L426" s="124"/>
      <c r="M426" s="92"/>
      <c r="N426" s="125"/>
      <c r="O426" s="126"/>
      <c r="P426" s="126"/>
      <c r="Q426" s="127"/>
      <c r="R426" s="127"/>
      <c r="S426" s="126"/>
      <c r="T426" s="123"/>
      <c r="U426" s="92"/>
      <c r="V426" s="92"/>
      <c r="W426" s="92"/>
      <c r="X426" s="92"/>
      <c r="Y426" s="92"/>
      <c r="Z426" s="92"/>
      <c r="AA426" s="92"/>
      <c r="AB426" s="92"/>
      <c r="AC426" s="92"/>
      <c r="AD426" s="124"/>
      <c r="AE426" s="92"/>
      <c r="AF426" s="92"/>
      <c r="AG426" s="92"/>
      <c r="AH426" s="92"/>
    </row>
    <row r="427" spans="1:34" ht="15.75" customHeight="1">
      <c r="A427" s="92"/>
      <c r="B427" s="92"/>
      <c r="C427" s="92"/>
      <c r="D427" s="92"/>
      <c r="E427" s="92"/>
      <c r="F427" s="92"/>
      <c r="G427" s="92"/>
      <c r="H427" s="122"/>
      <c r="I427" s="123"/>
      <c r="J427" s="124"/>
      <c r="K427" s="124"/>
      <c r="L427" s="124"/>
      <c r="M427" s="92"/>
      <c r="N427" s="125"/>
      <c r="O427" s="126"/>
      <c r="P427" s="126"/>
      <c r="Q427" s="127"/>
      <c r="R427" s="127"/>
      <c r="S427" s="126"/>
      <c r="T427" s="123"/>
      <c r="U427" s="92"/>
      <c r="V427" s="92"/>
      <c r="W427" s="92"/>
      <c r="X427" s="92"/>
      <c r="Y427" s="92"/>
      <c r="Z427" s="92"/>
      <c r="AA427" s="92"/>
      <c r="AB427" s="92"/>
      <c r="AC427" s="92"/>
      <c r="AD427" s="124"/>
      <c r="AE427" s="92"/>
      <c r="AF427" s="92"/>
      <c r="AG427" s="92"/>
      <c r="AH427" s="92"/>
    </row>
    <row r="428" spans="1:34" ht="15.75" customHeight="1">
      <c r="A428" s="92"/>
      <c r="B428" s="92"/>
      <c r="C428" s="92"/>
      <c r="D428" s="92"/>
      <c r="E428" s="92"/>
      <c r="F428" s="92"/>
      <c r="G428" s="92"/>
      <c r="H428" s="122"/>
      <c r="I428" s="123"/>
      <c r="J428" s="124"/>
      <c r="K428" s="124"/>
      <c r="L428" s="124"/>
      <c r="M428" s="92"/>
      <c r="N428" s="125"/>
      <c r="O428" s="126"/>
      <c r="P428" s="126"/>
      <c r="Q428" s="127"/>
      <c r="R428" s="127"/>
      <c r="S428" s="126"/>
      <c r="T428" s="123"/>
      <c r="U428" s="92"/>
      <c r="V428" s="92"/>
      <c r="W428" s="92"/>
      <c r="X428" s="92"/>
      <c r="Y428" s="92"/>
      <c r="Z428" s="92"/>
      <c r="AA428" s="92"/>
      <c r="AB428" s="92"/>
      <c r="AC428" s="92"/>
      <c r="AD428" s="124"/>
      <c r="AE428" s="92"/>
      <c r="AF428" s="92"/>
      <c r="AG428" s="92"/>
      <c r="AH428" s="92"/>
    </row>
    <row r="429" spans="1:34" ht="15.75" customHeight="1">
      <c r="A429" s="92"/>
      <c r="B429" s="92"/>
      <c r="C429" s="92"/>
      <c r="D429" s="92"/>
      <c r="E429" s="92"/>
      <c r="F429" s="92"/>
      <c r="G429" s="92"/>
      <c r="H429" s="122"/>
      <c r="I429" s="123"/>
      <c r="J429" s="124"/>
      <c r="K429" s="124"/>
      <c r="L429" s="124"/>
      <c r="M429" s="92"/>
      <c r="N429" s="125"/>
      <c r="O429" s="126"/>
      <c r="P429" s="126"/>
      <c r="Q429" s="127"/>
      <c r="R429" s="127"/>
      <c r="S429" s="126"/>
      <c r="T429" s="123"/>
      <c r="U429" s="92"/>
      <c r="V429" s="92"/>
      <c r="W429" s="92"/>
      <c r="X429" s="92"/>
      <c r="Y429" s="92"/>
      <c r="Z429" s="92"/>
      <c r="AA429" s="92"/>
      <c r="AB429" s="92"/>
      <c r="AC429" s="92"/>
      <c r="AD429" s="124"/>
      <c r="AE429" s="92"/>
      <c r="AF429" s="92"/>
      <c r="AG429" s="92"/>
      <c r="AH429" s="92"/>
    </row>
    <row r="430" spans="1:34" ht="15.75" customHeight="1">
      <c r="A430" s="92"/>
      <c r="B430" s="92"/>
      <c r="C430" s="92"/>
      <c r="D430" s="92"/>
      <c r="E430" s="92"/>
      <c r="F430" s="92"/>
      <c r="G430" s="92"/>
      <c r="H430" s="122"/>
      <c r="I430" s="123"/>
      <c r="J430" s="124"/>
      <c r="K430" s="124"/>
      <c r="L430" s="124"/>
      <c r="M430" s="92"/>
      <c r="N430" s="125"/>
      <c r="O430" s="126"/>
      <c r="P430" s="126"/>
      <c r="Q430" s="127"/>
      <c r="R430" s="127"/>
      <c r="S430" s="126"/>
      <c r="T430" s="123"/>
      <c r="U430" s="92"/>
      <c r="V430" s="92"/>
      <c r="W430" s="92"/>
      <c r="X430" s="92"/>
      <c r="Y430" s="92"/>
      <c r="Z430" s="92"/>
      <c r="AA430" s="92"/>
      <c r="AB430" s="92"/>
      <c r="AC430" s="92"/>
      <c r="AD430" s="124"/>
      <c r="AE430" s="92"/>
      <c r="AF430" s="92"/>
      <c r="AG430" s="92"/>
      <c r="AH430" s="92"/>
    </row>
    <row r="431" spans="1:34" ht="15.75" customHeight="1">
      <c r="A431" s="92"/>
      <c r="B431" s="92"/>
      <c r="C431" s="92"/>
      <c r="D431" s="92"/>
      <c r="E431" s="92"/>
      <c r="F431" s="92"/>
      <c r="G431" s="92"/>
      <c r="H431" s="122"/>
      <c r="I431" s="123"/>
      <c r="J431" s="124"/>
      <c r="K431" s="124"/>
      <c r="L431" s="124"/>
      <c r="M431" s="92"/>
      <c r="N431" s="125"/>
      <c r="O431" s="126"/>
      <c r="P431" s="126"/>
      <c r="Q431" s="127"/>
      <c r="R431" s="127"/>
      <c r="S431" s="126"/>
      <c r="T431" s="123"/>
      <c r="U431" s="92"/>
      <c r="V431" s="92"/>
      <c r="W431" s="92"/>
      <c r="X431" s="92"/>
      <c r="Y431" s="92"/>
      <c r="Z431" s="92"/>
      <c r="AA431" s="92"/>
      <c r="AB431" s="92"/>
      <c r="AC431" s="92"/>
      <c r="AD431" s="124"/>
      <c r="AE431" s="92"/>
      <c r="AF431" s="92"/>
      <c r="AG431" s="92"/>
      <c r="AH431" s="92"/>
    </row>
    <row r="432" spans="1:34" ht="15.75" customHeight="1">
      <c r="A432" s="92"/>
      <c r="B432" s="92"/>
      <c r="C432" s="92"/>
      <c r="D432" s="92"/>
      <c r="E432" s="92"/>
      <c r="F432" s="92"/>
      <c r="G432" s="92"/>
      <c r="H432" s="122"/>
      <c r="I432" s="123"/>
      <c r="J432" s="124"/>
      <c r="K432" s="124"/>
      <c r="L432" s="124"/>
      <c r="M432" s="92"/>
      <c r="N432" s="125"/>
      <c r="O432" s="126"/>
      <c r="P432" s="126"/>
      <c r="Q432" s="127"/>
      <c r="R432" s="127"/>
      <c r="S432" s="126"/>
      <c r="T432" s="123"/>
      <c r="U432" s="92"/>
      <c r="V432" s="92"/>
      <c r="W432" s="92"/>
      <c r="X432" s="92"/>
      <c r="Y432" s="92"/>
      <c r="Z432" s="92"/>
      <c r="AA432" s="92"/>
      <c r="AB432" s="92"/>
      <c r="AC432" s="92"/>
      <c r="AD432" s="124"/>
      <c r="AE432" s="92"/>
      <c r="AF432" s="92"/>
      <c r="AG432" s="92"/>
      <c r="AH432" s="92"/>
    </row>
    <row r="433" spans="1:34" ht="15.75" customHeight="1">
      <c r="A433" s="92"/>
      <c r="B433" s="92"/>
      <c r="C433" s="92"/>
      <c r="D433" s="92"/>
      <c r="E433" s="92"/>
      <c r="F433" s="92"/>
      <c r="G433" s="92"/>
      <c r="H433" s="122"/>
      <c r="I433" s="123"/>
      <c r="J433" s="124"/>
      <c r="K433" s="124"/>
      <c r="L433" s="124"/>
      <c r="M433" s="92"/>
      <c r="N433" s="125"/>
      <c r="O433" s="126"/>
      <c r="P433" s="126"/>
      <c r="Q433" s="127"/>
      <c r="R433" s="127"/>
      <c r="S433" s="126"/>
      <c r="T433" s="123"/>
      <c r="U433" s="92"/>
      <c r="V433" s="92"/>
      <c r="W433" s="92"/>
      <c r="X433" s="92"/>
      <c r="Y433" s="92"/>
      <c r="Z433" s="92"/>
      <c r="AA433" s="92"/>
      <c r="AB433" s="92"/>
      <c r="AC433" s="92"/>
      <c r="AD433" s="124"/>
      <c r="AE433" s="92"/>
      <c r="AF433" s="92"/>
      <c r="AG433" s="92"/>
      <c r="AH433" s="92"/>
    </row>
    <row r="434" spans="1:34" ht="15.75" customHeight="1">
      <c r="A434" s="92"/>
      <c r="B434" s="92"/>
      <c r="C434" s="92"/>
      <c r="D434" s="92"/>
      <c r="E434" s="92"/>
      <c r="F434" s="92"/>
      <c r="G434" s="92"/>
      <c r="H434" s="122"/>
      <c r="I434" s="123"/>
      <c r="J434" s="124"/>
      <c r="K434" s="124"/>
      <c r="L434" s="124"/>
      <c r="M434" s="92"/>
      <c r="N434" s="125"/>
      <c r="O434" s="126"/>
      <c r="P434" s="126"/>
      <c r="Q434" s="127"/>
      <c r="R434" s="127"/>
      <c r="S434" s="126"/>
      <c r="T434" s="123"/>
      <c r="U434" s="92"/>
      <c r="V434" s="92"/>
      <c r="W434" s="92"/>
      <c r="X434" s="92"/>
      <c r="Y434" s="92"/>
      <c r="Z434" s="92"/>
      <c r="AA434" s="92"/>
      <c r="AB434" s="92"/>
      <c r="AC434" s="92"/>
      <c r="AD434" s="124"/>
      <c r="AE434" s="92"/>
      <c r="AF434" s="92"/>
      <c r="AG434" s="92"/>
      <c r="AH434" s="92"/>
    </row>
    <row r="435" spans="1:34" ht="15.75" customHeight="1">
      <c r="A435" s="92"/>
      <c r="B435" s="92"/>
      <c r="C435" s="92"/>
      <c r="D435" s="92"/>
      <c r="E435" s="92"/>
      <c r="F435" s="92"/>
      <c r="G435" s="92"/>
      <c r="H435" s="122"/>
      <c r="I435" s="123"/>
      <c r="J435" s="124"/>
      <c r="K435" s="124"/>
      <c r="L435" s="124"/>
      <c r="M435" s="92"/>
      <c r="N435" s="125"/>
      <c r="O435" s="126"/>
      <c r="P435" s="126"/>
      <c r="Q435" s="127"/>
      <c r="R435" s="127"/>
      <c r="S435" s="126"/>
      <c r="T435" s="123"/>
      <c r="U435" s="92"/>
      <c r="V435" s="92"/>
      <c r="W435" s="92"/>
      <c r="X435" s="92"/>
      <c r="Y435" s="92"/>
      <c r="Z435" s="92"/>
      <c r="AA435" s="92"/>
      <c r="AB435" s="92"/>
      <c r="AC435" s="92"/>
      <c r="AD435" s="124"/>
      <c r="AE435" s="92"/>
      <c r="AF435" s="92"/>
      <c r="AG435" s="92"/>
      <c r="AH435" s="92"/>
    </row>
    <row r="436" spans="1:34" ht="15.75" customHeight="1">
      <c r="A436" s="92"/>
      <c r="B436" s="92"/>
      <c r="C436" s="92"/>
      <c r="D436" s="92"/>
      <c r="E436" s="92"/>
      <c r="F436" s="92"/>
      <c r="G436" s="92"/>
      <c r="H436" s="122"/>
      <c r="I436" s="123"/>
      <c r="J436" s="124"/>
      <c r="K436" s="124"/>
      <c r="L436" s="124"/>
      <c r="M436" s="92"/>
      <c r="N436" s="125"/>
      <c r="O436" s="126"/>
      <c r="P436" s="126"/>
      <c r="Q436" s="127"/>
      <c r="R436" s="127"/>
      <c r="S436" s="126"/>
      <c r="T436" s="123"/>
      <c r="U436" s="92"/>
      <c r="V436" s="92"/>
      <c r="W436" s="92"/>
      <c r="X436" s="92"/>
      <c r="Y436" s="92"/>
      <c r="Z436" s="92"/>
      <c r="AA436" s="92"/>
      <c r="AB436" s="92"/>
      <c r="AC436" s="92"/>
      <c r="AD436" s="124"/>
      <c r="AE436" s="92"/>
      <c r="AF436" s="92"/>
      <c r="AG436" s="92"/>
      <c r="AH436" s="92"/>
    </row>
    <row r="437" spans="1:34" ht="15.75" customHeight="1">
      <c r="A437" s="92"/>
      <c r="B437" s="92"/>
      <c r="C437" s="92"/>
      <c r="D437" s="92"/>
      <c r="E437" s="92"/>
      <c r="F437" s="92"/>
      <c r="G437" s="92"/>
      <c r="H437" s="122"/>
      <c r="I437" s="123"/>
      <c r="J437" s="124"/>
      <c r="K437" s="124"/>
      <c r="L437" s="124"/>
      <c r="M437" s="92"/>
      <c r="N437" s="125"/>
      <c r="O437" s="126"/>
      <c r="P437" s="126"/>
      <c r="Q437" s="127"/>
      <c r="R437" s="127"/>
      <c r="S437" s="126"/>
      <c r="T437" s="123"/>
      <c r="U437" s="92"/>
      <c r="V437" s="92"/>
      <c r="W437" s="92"/>
      <c r="X437" s="92"/>
      <c r="Y437" s="92"/>
      <c r="Z437" s="92"/>
      <c r="AA437" s="92"/>
      <c r="AB437" s="92"/>
      <c r="AC437" s="92"/>
      <c r="AD437" s="124"/>
      <c r="AE437" s="92"/>
      <c r="AF437" s="92"/>
      <c r="AG437" s="92"/>
      <c r="AH437" s="92"/>
    </row>
    <row r="438" spans="1:34" ht="15.75" customHeight="1">
      <c r="A438" s="92"/>
      <c r="B438" s="92"/>
      <c r="C438" s="92"/>
      <c r="D438" s="92"/>
      <c r="E438" s="92"/>
      <c r="F438" s="92"/>
      <c r="G438" s="92"/>
      <c r="H438" s="122"/>
      <c r="I438" s="123"/>
      <c r="J438" s="124"/>
      <c r="K438" s="124"/>
      <c r="L438" s="124"/>
      <c r="M438" s="92"/>
      <c r="N438" s="125"/>
      <c r="O438" s="126"/>
      <c r="P438" s="126"/>
      <c r="Q438" s="127"/>
      <c r="R438" s="127"/>
      <c r="S438" s="126"/>
      <c r="T438" s="123"/>
      <c r="U438" s="92"/>
      <c r="V438" s="92"/>
      <c r="W438" s="92"/>
      <c r="X438" s="92"/>
      <c r="Y438" s="92"/>
      <c r="Z438" s="92"/>
      <c r="AA438" s="92"/>
      <c r="AB438" s="92"/>
      <c r="AC438" s="92"/>
      <c r="AD438" s="124"/>
      <c r="AE438" s="92"/>
      <c r="AF438" s="92"/>
      <c r="AG438" s="92"/>
      <c r="AH438" s="92"/>
    </row>
    <row r="439" spans="1:34" ht="15.75" customHeight="1">
      <c r="A439" s="92"/>
      <c r="B439" s="92"/>
      <c r="C439" s="92"/>
      <c r="D439" s="92"/>
      <c r="E439" s="92"/>
      <c r="F439" s="92"/>
      <c r="G439" s="92"/>
      <c r="H439" s="122"/>
      <c r="I439" s="123"/>
      <c r="J439" s="124"/>
      <c r="K439" s="124"/>
      <c r="L439" s="124"/>
      <c r="M439" s="92"/>
      <c r="N439" s="125"/>
      <c r="O439" s="126"/>
      <c r="P439" s="126"/>
      <c r="Q439" s="127"/>
      <c r="R439" s="127"/>
      <c r="S439" s="126"/>
      <c r="T439" s="123"/>
      <c r="U439" s="92"/>
      <c r="V439" s="92"/>
      <c r="W439" s="92"/>
      <c r="X439" s="92"/>
      <c r="Y439" s="92"/>
      <c r="Z439" s="92"/>
      <c r="AA439" s="92"/>
      <c r="AB439" s="92"/>
      <c r="AC439" s="92"/>
      <c r="AD439" s="124"/>
      <c r="AE439" s="92"/>
      <c r="AF439" s="92"/>
      <c r="AG439" s="92"/>
      <c r="AH439" s="92"/>
    </row>
    <row r="440" spans="1:34" ht="15.75" customHeight="1">
      <c r="A440" s="92"/>
      <c r="B440" s="92"/>
      <c r="C440" s="92"/>
      <c r="D440" s="92"/>
      <c r="E440" s="92"/>
      <c r="F440" s="92"/>
      <c r="G440" s="92"/>
      <c r="H440" s="122"/>
      <c r="I440" s="123"/>
      <c r="J440" s="124"/>
      <c r="K440" s="124"/>
      <c r="L440" s="124"/>
      <c r="M440" s="92"/>
      <c r="N440" s="125"/>
      <c r="O440" s="126"/>
      <c r="P440" s="126"/>
      <c r="Q440" s="127"/>
      <c r="R440" s="127"/>
      <c r="S440" s="126"/>
      <c r="T440" s="123"/>
      <c r="U440" s="92"/>
      <c r="V440" s="92"/>
      <c r="W440" s="92"/>
      <c r="X440" s="92"/>
      <c r="Y440" s="92"/>
      <c r="Z440" s="92"/>
      <c r="AA440" s="92"/>
      <c r="AB440" s="92"/>
      <c r="AC440" s="92"/>
      <c r="AD440" s="124"/>
      <c r="AE440" s="92"/>
      <c r="AF440" s="92"/>
      <c r="AG440" s="92"/>
      <c r="AH440" s="92"/>
    </row>
    <row r="441" spans="1:34" ht="15.75" customHeight="1">
      <c r="A441" s="92"/>
      <c r="B441" s="92"/>
      <c r="C441" s="92"/>
      <c r="D441" s="92"/>
      <c r="E441" s="92"/>
      <c r="F441" s="92"/>
      <c r="G441" s="92"/>
      <c r="H441" s="122"/>
      <c r="I441" s="123"/>
      <c r="J441" s="124"/>
      <c r="K441" s="124"/>
      <c r="L441" s="124"/>
      <c r="M441" s="92"/>
      <c r="N441" s="125"/>
      <c r="O441" s="126"/>
      <c r="P441" s="126"/>
      <c r="Q441" s="127"/>
      <c r="R441" s="127"/>
      <c r="S441" s="126"/>
      <c r="T441" s="123"/>
      <c r="U441" s="92"/>
      <c r="V441" s="92"/>
      <c r="W441" s="92"/>
      <c r="X441" s="92"/>
      <c r="Y441" s="92"/>
      <c r="Z441" s="92"/>
      <c r="AA441" s="92"/>
      <c r="AB441" s="92"/>
      <c r="AC441" s="92"/>
      <c r="AD441" s="124"/>
      <c r="AE441" s="92"/>
      <c r="AF441" s="92"/>
      <c r="AG441" s="92"/>
      <c r="AH441" s="92"/>
    </row>
    <row r="442" spans="1:34" ht="15.75" customHeight="1">
      <c r="A442" s="92"/>
      <c r="B442" s="92"/>
      <c r="C442" s="92"/>
      <c r="D442" s="92"/>
      <c r="E442" s="92"/>
      <c r="F442" s="92"/>
      <c r="G442" s="92"/>
      <c r="H442" s="122"/>
      <c r="I442" s="123"/>
      <c r="J442" s="124"/>
      <c r="K442" s="124"/>
      <c r="L442" s="124"/>
      <c r="M442" s="92"/>
      <c r="N442" s="125"/>
      <c r="O442" s="126"/>
      <c r="P442" s="126"/>
      <c r="Q442" s="127"/>
      <c r="R442" s="127"/>
      <c r="S442" s="126"/>
      <c r="T442" s="123"/>
      <c r="U442" s="92"/>
      <c r="V442" s="92"/>
      <c r="W442" s="92"/>
      <c r="X442" s="92"/>
      <c r="Y442" s="92"/>
      <c r="Z442" s="92"/>
      <c r="AA442" s="92"/>
      <c r="AB442" s="92"/>
      <c r="AC442" s="92"/>
      <c r="AD442" s="124"/>
      <c r="AE442" s="92"/>
      <c r="AF442" s="92"/>
      <c r="AG442" s="92"/>
      <c r="AH442" s="92"/>
    </row>
    <row r="443" spans="1:34" ht="15.75" customHeight="1">
      <c r="A443" s="92"/>
      <c r="B443" s="92"/>
      <c r="C443" s="92"/>
      <c r="D443" s="92"/>
      <c r="E443" s="92"/>
      <c r="F443" s="92"/>
      <c r="G443" s="92"/>
      <c r="H443" s="122"/>
      <c r="I443" s="123"/>
      <c r="J443" s="124"/>
      <c r="K443" s="124"/>
      <c r="L443" s="124"/>
      <c r="M443" s="92"/>
      <c r="N443" s="125"/>
      <c r="O443" s="126"/>
      <c r="P443" s="126"/>
      <c r="Q443" s="127"/>
      <c r="R443" s="127"/>
      <c r="S443" s="126"/>
      <c r="T443" s="123"/>
      <c r="U443" s="92"/>
      <c r="V443" s="92"/>
      <c r="W443" s="92"/>
      <c r="X443" s="92"/>
      <c r="Y443" s="92"/>
      <c r="Z443" s="92"/>
      <c r="AA443" s="92"/>
      <c r="AB443" s="92"/>
      <c r="AC443" s="92"/>
      <c r="AD443" s="124"/>
      <c r="AE443" s="92"/>
      <c r="AF443" s="92"/>
      <c r="AG443" s="92"/>
      <c r="AH443" s="92"/>
    </row>
    <row r="444" spans="1:34" ht="15.75" customHeight="1">
      <c r="A444" s="92"/>
      <c r="B444" s="92"/>
      <c r="C444" s="92"/>
      <c r="D444" s="92"/>
      <c r="E444" s="92"/>
      <c r="F444" s="92"/>
      <c r="G444" s="92"/>
      <c r="H444" s="122"/>
      <c r="I444" s="123"/>
      <c r="J444" s="124"/>
      <c r="K444" s="124"/>
      <c r="L444" s="124"/>
      <c r="M444" s="92"/>
      <c r="N444" s="125"/>
      <c r="O444" s="126"/>
      <c r="P444" s="126"/>
      <c r="Q444" s="127"/>
      <c r="R444" s="127"/>
      <c r="S444" s="126"/>
      <c r="T444" s="123"/>
      <c r="U444" s="92"/>
      <c r="V444" s="92"/>
      <c r="W444" s="92"/>
      <c r="X444" s="92"/>
      <c r="Y444" s="92"/>
      <c r="Z444" s="92"/>
      <c r="AA444" s="92"/>
      <c r="AB444" s="92"/>
      <c r="AC444" s="92"/>
      <c r="AD444" s="124"/>
      <c r="AE444" s="92"/>
      <c r="AF444" s="92"/>
      <c r="AG444" s="92"/>
      <c r="AH444" s="92"/>
    </row>
    <row r="445" spans="1:34" ht="15.75" customHeight="1">
      <c r="A445" s="92"/>
      <c r="B445" s="92"/>
      <c r="C445" s="92"/>
      <c r="D445" s="92"/>
      <c r="E445" s="92"/>
      <c r="F445" s="92"/>
      <c r="G445" s="92"/>
      <c r="H445" s="122"/>
      <c r="I445" s="123"/>
      <c r="J445" s="124"/>
      <c r="K445" s="124"/>
      <c r="L445" s="124"/>
      <c r="M445" s="92"/>
      <c r="N445" s="125"/>
      <c r="O445" s="126"/>
      <c r="P445" s="126"/>
      <c r="Q445" s="127"/>
      <c r="R445" s="127"/>
      <c r="S445" s="126"/>
      <c r="T445" s="123"/>
      <c r="U445" s="92"/>
      <c r="V445" s="92"/>
      <c r="W445" s="92"/>
      <c r="X445" s="92"/>
      <c r="Y445" s="92"/>
      <c r="Z445" s="92"/>
      <c r="AA445" s="92"/>
      <c r="AB445" s="92"/>
      <c r="AC445" s="92"/>
      <c r="AD445" s="124"/>
      <c r="AE445" s="92"/>
      <c r="AF445" s="92"/>
      <c r="AG445" s="92"/>
      <c r="AH445" s="92"/>
    </row>
    <row r="446" spans="1:34" ht="15.75" customHeight="1">
      <c r="A446" s="92"/>
      <c r="B446" s="92"/>
      <c r="C446" s="92"/>
      <c r="D446" s="92"/>
      <c r="E446" s="92"/>
      <c r="F446" s="92"/>
      <c r="G446" s="92"/>
      <c r="H446" s="122"/>
      <c r="I446" s="123"/>
      <c r="J446" s="124"/>
      <c r="K446" s="124"/>
      <c r="L446" s="124"/>
      <c r="M446" s="92"/>
      <c r="N446" s="125"/>
      <c r="O446" s="126"/>
      <c r="P446" s="126"/>
      <c r="Q446" s="127"/>
      <c r="R446" s="127"/>
      <c r="S446" s="126"/>
      <c r="T446" s="123"/>
      <c r="U446" s="92"/>
      <c r="V446" s="92"/>
      <c r="W446" s="92"/>
      <c r="X446" s="92"/>
      <c r="Y446" s="92"/>
      <c r="Z446" s="92"/>
      <c r="AA446" s="92"/>
      <c r="AB446" s="92"/>
      <c r="AC446" s="92"/>
      <c r="AD446" s="124"/>
      <c r="AE446" s="92"/>
      <c r="AF446" s="92"/>
      <c r="AG446" s="92"/>
      <c r="AH446" s="92"/>
    </row>
    <row r="447" spans="1:34" ht="15.75" customHeight="1">
      <c r="A447" s="92"/>
      <c r="B447" s="92"/>
      <c r="C447" s="92"/>
      <c r="D447" s="92"/>
      <c r="E447" s="92"/>
      <c r="F447" s="92"/>
      <c r="G447" s="92"/>
      <c r="H447" s="122"/>
      <c r="I447" s="123"/>
      <c r="J447" s="124"/>
      <c r="K447" s="124"/>
      <c r="L447" s="124"/>
      <c r="M447" s="92"/>
      <c r="N447" s="125"/>
      <c r="O447" s="126"/>
      <c r="P447" s="126"/>
      <c r="Q447" s="127"/>
      <c r="R447" s="127"/>
      <c r="S447" s="126"/>
      <c r="T447" s="123"/>
      <c r="U447" s="92"/>
      <c r="V447" s="92"/>
      <c r="W447" s="92"/>
      <c r="X447" s="92"/>
      <c r="Y447" s="92"/>
      <c r="Z447" s="92"/>
      <c r="AA447" s="92"/>
      <c r="AB447" s="92"/>
      <c r="AC447" s="92"/>
      <c r="AD447" s="124"/>
      <c r="AE447" s="92"/>
      <c r="AF447" s="92"/>
      <c r="AG447" s="92"/>
      <c r="AH447" s="92"/>
    </row>
    <row r="448" spans="1:34" ht="15.75" customHeight="1">
      <c r="A448" s="92"/>
      <c r="B448" s="92"/>
      <c r="C448" s="92"/>
      <c r="D448" s="92"/>
      <c r="E448" s="92"/>
      <c r="F448" s="92"/>
      <c r="G448" s="92"/>
      <c r="H448" s="122"/>
      <c r="I448" s="123"/>
      <c r="J448" s="124"/>
      <c r="K448" s="124"/>
      <c r="L448" s="124"/>
      <c r="M448" s="92"/>
      <c r="N448" s="125"/>
      <c r="O448" s="126"/>
      <c r="P448" s="126"/>
      <c r="Q448" s="127"/>
      <c r="R448" s="127"/>
      <c r="S448" s="126"/>
      <c r="T448" s="123"/>
      <c r="U448" s="92"/>
      <c r="V448" s="92"/>
      <c r="W448" s="92"/>
      <c r="X448" s="92"/>
      <c r="Y448" s="92"/>
      <c r="Z448" s="92"/>
      <c r="AA448" s="92"/>
      <c r="AB448" s="92"/>
      <c r="AC448" s="92"/>
      <c r="AD448" s="124"/>
      <c r="AE448" s="92"/>
      <c r="AF448" s="92"/>
      <c r="AG448" s="92"/>
      <c r="AH448" s="92"/>
    </row>
    <row r="449" spans="1:34" ht="15.75" customHeight="1">
      <c r="A449" s="92"/>
      <c r="B449" s="92"/>
      <c r="C449" s="92"/>
      <c r="D449" s="92"/>
      <c r="E449" s="92"/>
      <c r="F449" s="92"/>
      <c r="G449" s="92"/>
      <c r="H449" s="122"/>
      <c r="I449" s="123"/>
      <c r="J449" s="124"/>
      <c r="K449" s="124"/>
      <c r="L449" s="124"/>
      <c r="M449" s="92"/>
      <c r="N449" s="125"/>
      <c r="O449" s="126"/>
      <c r="P449" s="126"/>
      <c r="Q449" s="127"/>
      <c r="R449" s="127"/>
      <c r="S449" s="126"/>
      <c r="T449" s="123"/>
      <c r="U449" s="92"/>
      <c r="V449" s="92"/>
      <c r="W449" s="92"/>
      <c r="X449" s="92"/>
      <c r="Y449" s="92"/>
      <c r="Z449" s="92"/>
      <c r="AA449" s="92"/>
      <c r="AB449" s="92"/>
      <c r="AC449" s="92"/>
      <c r="AD449" s="124"/>
      <c r="AE449" s="92"/>
      <c r="AF449" s="92"/>
      <c r="AG449" s="92"/>
      <c r="AH449" s="92"/>
    </row>
    <row r="450" spans="1:34" ht="15.75" customHeight="1">
      <c r="A450" s="92"/>
      <c r="B450" s="92"/>
      <c r="C450" s="92"/>
      <c r="D450" s="92"/>
      <c r="E450" s="92"/>
      <c r="F450" s="92"/>
      <c r="G450" s="92"/>
      <c r="H450" s="122"/>
      <c r="I450" s="123"/>
      <c r="J450" s="124"/>
      <c r="K450" s="124"/>
      <c r="L450" s="124"/>
      <c r="M450" s="92"/>
      <c r="N450" s="125"/>
      <c r="O450" s="126"/>
      <c r="P450" s="126"/>
      <c r="Q450" s="127"/>
      <c r="R450" s="127"/>
      <c r="S450" s="126"/>
      <c r="T450" s="123"/>
      <c r="U450" s="92"/>
      <c r="V450" s="92"/>
      <c r="W450" s="92"/>
      <c r="X450" s="92"/>
      <c r="Y450" s="92"/>
      <c r="Z450" s="92"/>
      <c r="AA450" s="92"/>
      <c r="AB450" s="92"/>
      <c r="AC450" s="92"/>
      <c r="AD450" s="124"/>
      <c r="AE450" s="92"/>
      <c r="AF450" s="92"/>
      <c r="AG450" s="92"/>
      <c r="AH450" s="92"/>
    </row>
    <row r="451" spans="1:34" ht="15.75" customHeight="1">
      <c r="A451" s="92"/>
      <c r="B451" s="92"/>
      <c r="C451" s="92"/>
      <c r="D451" s="92"/>
      <c r="E451" s="92"/>
      <c r="F451" s="92"/>
      <c r="G451" s="92"/>
      <c r="H451" s="122"/>
      <c r="I451" s="123"/>
      <c r="J451" s="124"/>
      <c r="K451" s="124"/>
      <c r="L451" s="124"/>
      <c r="M451" s="92"/>
      <c r="N451" s="125"/>
      <c r="O451" s="126"/>
      <c r="P451" s="126"/>
      <c r="Q451" s="127"/>
      <c r="R451" s="127"/>
      <c r="S451" s="126"/>
      <c r="T451" s="123"/>
      <c r="U451" s="92"/>
      <c r="V451" s="92"/>
      <c r="W451" s="92"/>
      <c r="X451" s="92"/>
      <c r="Y451" s="92"/>
      <c r="Z451" s="92"/>
      <c r="AA451" s="92"/>
      <c r="AB451" s="92"/>
      <c r="AC451" s="92"/>
      <c r="AD451" s="124"/>
      <c r="AE451" s="92"/>
      <c r="AF451" s="92"/>
      <c r="AG451" s="92"/>
      <c r="AH451" s="92"/>
    </row>
    <row r="452" spans="1:34" ht="15.75" customHeight="1">
      <c r="A452" s="92"/>
      <c r="B452" s="92"/>
      <c r="C452" s="92"/>
      <c r="D452" s="92"/>
      <c r="E452" s="92"/>
      <c r="F452" s="92"/>
      <c r="G452" s="92"/>
      <c r="H452" s="122"/>
      <c r="I452" s="123"/>
      <c r="J452" s="124"/>
      <c r="K452" s="124"/>
      <c r="L452" s="124"/>
      <c r="M452" s="92"/>
      <c r="N452" s="125"/>
      <c r="O452" s="126"/>
      <c r="P452" s="126"/>
      <c r="Q452" s="127"/>
      <c r="R452" s="127"/>
      <c r="S452" s="126"/>
      <c r="T452" s="123"/>
      <c r="U452" s="92"/>
      <c r="V452" s="92"/>
      <c r="W452" s="92"/>
      <c r="X452" s="92"/>
      <c r="Y452" s="92"/>
      <c r="Z452" s="92"/>
      <c r="AA452" s="92"/>
      <c r="AB452" s="92"/>
      <c r="AC452" s="92"/>
      <c r="AD452" s="124"/>
      <c r="AE452" s="92"/>
      <c r="AF452" s="92"/>
      <c r="AG452" s="92"/>
      <c r="AH452" s="92"/>
    </row>
    <row r="453" spans="1:34" ht="15.75" customHeight="1">
      <c r="A453" s="92"/>
      <c r="B453" s="92"/>
      <c r="C453" s="92"/>
      <c r="D453" s="92"/>
      <c r="E453" s="92"/>
      <c r="F453" s="92"/>
      <c r="G453" s="92"/>
      <c r="H453" s="122"/>
      <c r="I453" s="123"/>
      <c r="J453" s="124"/>
      <c r="K453" s="124"/>
      <c r="L453" s="124"/>
      <c r="M453" s="92"/>
      <c r="N453" s="125"/>
      <c r="O453" s="126"/>
      <c r="P453" s="126"/>
      <c r="Q453" s="127"/>
      <c r="R453" s="127"/>
      <c r="S453" s="126"/>
      <c r="T453" s="123"/>
      <c r="U453" s="92"/>
      <c r="V453" s="92"/>
      <c r="W453" s="92"/>
      <c r="X453" s="92"/>
      <c r="Y453" s="92"/>
      <c r="Z453" s="92"/>
      <c r="AA453" s="92"/>
      <c r="AB453" s="92"/>
      <c r="AC453" s="92"/>
      <c r="AD453" s="124"/>
      <c r="AE453" s="92"/>
      <c r="AF453" s="92"/>
      <c r="AG453" s="92"/>
      <c r="AH453" s="92"/>
    </row>
    <row r="454" spans="1:34" ht="15.75" customHeight="1">
      <c r="A454" s="92"/>
      <c r="B454" s="92"/>
      <c r="C454" s="92"/>
      <c r="D454" s="92"/>
      <c r="E454" s="92"/>
      <c r="F454" s="92"/>
      <c r="G454" s="92"/>
      <c r="H454" s="122"/>
      <c r="I454" s="123"/>
      <c r="J454" s="124"/>
      <c r="K454" s="124"/>
      <c r="L454" s="124"/>
      <c r="M454" s="92"/>
      <c r="N454" s="125"/>
      <c r="O454" s="126"/>
      <c r="P454" s="126"/>
      <c r="Q454" s="127"/>
      <c r="R454" s="127"/>
      <c r="S454" s="126"/>
      <c r="T454" s="123"/>
      <c r="U454" s="92"/>
      <c r="V454" s="92"/>
      <c r="W454" s="92"/>
      <c r="X454" s="92"/>
      <c r="Y454" s="92"/>
      <c r="Z454" s="92"/>
      <c r="AA454" s="92"/>
      <c r="AB454" s="92"/>
      <c r="AC454" s="92"/>
      <c r="AD454" s="124"/>
      <c r="AE454" s="92"/>
      <c r="AF454" s="92"/>
      <c r="AG454" s="92"/>
      <c r="AH454" s="92"/>
    </row>
    <row r="455" spans="1:34" ht="15.75" customHeight="1">
      <c r="A455" s="92"/>
      <c r="B455" s="92"/>
      <c r="C455" s="92"/>
      <c r="D455" s="92"/>
      <c r="E455" s="92"/>
      <c r="F455" s="92"/>
      <c r="G455" s="92"/>
      <c r="H455" s="122"/>
      <c r="I455" s="123"/>
      <c r="J455" s="124"/>
      <c r="K455" s="124"/>
      <c r="L455" s="124"/>
      <c r="M455" s="92"/>
      <c r="N455" s="125"/>
      <c r="O455" s="126"/>
      <c r="P455" s="126"/>
      <c r="Q455" s="127"/>
      <c r="R455" s="127"/>
      <c r="S455" s="126"/>
      <c r="T455" s="123"/>
      <c r="U455" s="92"/>
      <c r="V455" s="92"/>
      <c r="W455" s="92"/>
      <c r="X455" s="92"/>
      <c r="Y455" s="92"/>
      <c r="Z455" s="92"/>
      <c r="AA455" s="92"/>
      <c r="AB455" s="92"/>
      <c r="AC455" s="92"/>
      <c r="AD455" s="124"/>
      <c r="AE455" s="92"/>
      <c r="AF455" s="92"/>
      <c r="AG455" s="92"/>
      <c r="AH455" s="92"/>
    </row>
    <row r="456" spans="1:34" ht="15.75" customHeight="1">
      <c r="A456" s="92"/>
      <c r="B456" s="92"/>
      <c r="C456" s="92"/>
      <c r="D456" s="92"/>
      <c r="E456" s="92"/>
      <c r="F456" s="92"/>
      <c r="G456" s="92"/>
      <c r="H456" s="122"/>
      <c r="I456" s="123"/>
      <c r="J456" s="124"/>
      <c r="K456" s="124"/>
      <c r="L456" s="124"/>
      <c r="M456" s="92"/>
      <c r="N456" s="125"/>
      <c r="O456" s="126"/>
      <c r="P456" s="126"/>
      <c r="Q456" s="127"/>
      <c r="R456" s="127"/>
      <c r="S456" s="126"/>
      <c r="T456" s="123"/>
      <c r="U456" s="92"/>
      <c r="V456" s="92"/>
      <c r="W456" s="92"/>
      <c r="X456" s="92"/>
      <c r="Y456" s="92"/>
      <c r="Z456" s="92"/>
      <c r="AA456" s="92"/>
      <c r="AB456" s="92"/>
      <c r="AC456" s="92"/>
      <c r="AD456" s="124"/>
      <c r="AE456" s="92"/>
      <c r="AF456" s="92"/>
      <c r="AG456" s="92"/>
      <c r="AH456" s="92"/>
    </row>
    <row r="457" spans="1:34" ht="15.75" customHeight="1">
      <c r="A457" s="92"/>
      <c r="B457" s="92"/>
      <c r="C457" s="92"/>
      <c r="D457" s="92"/>
      <c r="E457" s="92"/>
      <c r="F457" s="92"/>
      <c r="G457" s="92"/>
      <c r="H457" s="122"/>
      <c r="I457" s="123"/>
      <c r="J457" s="124"/>
      <c r="K457" s="124"/>
      <c r="L457" s="124"/>
      <c r="M457" s="92"/>
      <c r="N457" s="125"/>
      <c r="O457" s="126"/>
      <c r="P457" s="126"/>
      <c r="Q457" s="127"/>
      <c r="R457" s="127"/>
      <c r="S457" s="126"/>
      <c r="T457" s="123"/>
      <c r="U457" s="92"/>
      <c r="V457" s="92"/>
      <c r="W457" s="92"/>
      <c r="X457" s="92"/>
      <c r="Y457" s="92"/>
      <c r="Z457" s="92"/>
      <c r="AA457" s="92"/>
      <c r="AB457" s="92"/>
      <c r="AC457" s="92"/>
      <c r="AD457" s="124"/>
      <c r="AE457" s="92"/>
      <c r="AF457" s="92"/>
      <c r="AG457" s="92"/>
      <c r="AH457" s="92"/>
    </row>
    <row r="458" spans="1:34" ht="15.75" customHeight="1">
      <c r="A458" s="92"/>
      <c r="B458" s="92"/>
      <c r="C458" s="92"/>
      <c r="D458" s="92"/>
      <c r="E458" s="92"/>
      <c r="F458" s="92"/>
      <c r="G458" s="92"/>
      <c r="H458" s="122"/>
      <c r="I458" s="123"/>
      <c r="J458" s="124"/>
      <c r="K458" s="124"/>
      <c r="L458" s="124"/>
      <c r="M458" s="92"/>
      <c r="N458" s="125"/>
      <c r="O458" s="126"/>
      <c r="P458" s="126"/>
      <c r="Q458" s="127"/>
      <c r="R458" s="127"/>
      <c r="S458" s="126"/>
      <c r="T458" s="123"/>
      <c r="U458" s="92"/>
      <c r="V458" s="92"/>
      <c r="W458" s="92"/>
      <c r="X458" s="92"/>
      <c r="Y458" s="92"/>
      <c r="Z458" s="92"/>
      <c r="AA458" s="92"/>
      <c r="AB458" s="92"/>
      <c r="AC458" s="92"/>
      <c r="AD458" s="124"/>
      <c r="AE458" s="92"/>
      <c r="AF458" s="92"/>
      <c r="AG458" s="92"/>
      <c r="AH458" s="92"/>
    </row>
    <row r="459" spans="1:34" ht="15.75" customHeight="1">
      <c r="A459" s="92"/>
      <c r="B459" s="92"/>
      <c r="C459" s="92"/>
      <c r="D459" s="92"/>
      <c r="E459" s="92"/>
      <c r="F459" s="92"/>
      <c r="G459" s="92"/>
      <c r="H459" s="122"/>
      <c r="I459" s="123"/>
      <c r="J459" s="124"/>
      <c r="K459" s="124"/>
      <c r="L459" s="124"/>
      <c r="M459" s="92"/>
      <c r="N459" s="125"/>
      <c r="O459" s="126"/>
      <c r="P459" s="126"/>
      <c r="Q459" s="127"/>
      <c r="R459" s="127"/>
      <c r="S459" s="126"/>
      <c r="T459" s="123"/>
      <c r="U459" s="92"/>
      <c r="V459" s="92"/>
      <c r="W459" s="92"/>
      <c r="X459" s="92"/>
      <c r="Y459" s="92"/>
      <c r="Z459" s="92"/>
      <c r="AA459" s="92"/>
      <c r="AB459" s="92"/>
      <c r="AC459" s="92"/>
      <c r="AD459" s="124"/>
      <c r="AE459" s="92"/>
      <c r="AF459" s="92"/>
      <c r="AG459" s="92"/>
      <c r="AH459" s="92"/>
    </row>
    <row r="460" spans="1:34" ht="15.75" customHeight="1">
      <c r="A460" s="92"/>
      <c r="B460" s="92"/>
      <c r="C460" s="92"/>
      <c r="D460" s="92"/>
      <c r="E460" s="92"/>
      <c r="F460" s="92"/>
      <c r="G460" s="92"/>
      <c r="H460" s="122"/>
      <c r="I460" s="123"/>
      <c r="J460" s="124"/>
      <c r="K460" s="124"/>
      <c r="L460" s="124"/>
      <c r="M460" s="92"/>
      <c r="N460" s="125"/>
      <c r="O460" s="126"/>
      <c r="P460" s="126"/>
      <c r="Q460" s="127"/>
      <c r="R460" s="127"/>
      <c r="S460" s="126"/>
      <c r="T460" s="123"/>
      <c r="U460" s="92"/>
      <c r="V460" s="92"/>
      <c r="W460" s="92"/>
      <c r="X460" s="92"/>
      <c r="Y460" s="92"/>
      <c r="Z460" s="92"/>
      <c r="AA460" s="92"/>
      <c r="AB460" s="92"/>
      <c r="AC460" s="92"/>
      <c r="AD460" s="124"/>
      <c r="AE460" s="92"/>
      <c r="AF460" s="92"/>
      <c r="AG460" s="92"/>
      <c r="AH460" s="92"/>
    </row>
    <row r="461" spans="1:34" ht="15.75" customHeight="1">
      <c r="A461" s="92"/>
      <c r="B461" s="92"/>
      <c r="C461" s="92"/>
      <c r="D461" s="92"/>
      <c r="E461" s="92"/>
      <c r="F461" s="92"/>
      <c r="G461" s="92"/>
      <c r="H461" s="122"/>
      <c r="I461" s="123"/>
      <c r="J461" s="124"/>
      <c r="K461" s="124"/>
      <c r="L461" s="124"/>
      <c r="M461" s="92"/>
      <c r="N461" s="125"/>
      <c r="O461" s="126"/>
      <c r="P461" s="126"/>
      <c r="Q461" s="127"/>
      <c r="R461" s="127"/>
      <c r="S461" s="126"/>
      <c r="T461" s="123"/>
      <c r="U461" s="92"/>
      <c r="V461" s="92"/>
      <c r="W461" s="92"/>
      <c r="X461" s="92"/>
      <c r="Y461" s="92"/>
      <c r="Z461" s="92"/>
      <c r="AA461" s="92"/>
      <c r="AB461" s="92"/>
      <c r="AC461" s="92"/>
      <c r="AD461" s="124"/>
      <c r="AE461" s="92"/>
      <c r="AF461" s="92"/>
      <c r="AG461" s="92"/>
      <c r="AH461" s="92"/>
    </row>
    <row r="462" spans="1:34" ht="15.75" customHeight="1">
      <c r="A462" s="92"/>
      <c r="B462" s="92"/>
      <c r="C462" s="92"/>
      <c r="D462" s="92"/>
      <c r="E462" s="92"/>
      <c r="F462" s="92"/>
      <c r="G462" s="92"/>
      <c r="H462" s="122"/>
      <c r="I462" s="123"/>
      <c r="J462" s="124"/>
      <c r="K462" s="124"/>
      <c r="L462" s="124"/>
      <c r="M462" s="92"/>
      <c r="N462" s="125"/>
      <c r="O462" s="126"/>
      <c r="P462" s="126"/>
      <c r="Q462" s="127"/>
      <c r="R462" s="127"/>
      <c r="S462" s="126"/>
      <c r="T462" s="123"/>
      <c r="U462" s="92"/>
      <c r="V462" s="92"/>
      <c r="W462" s="92"/>
      <c r="X462" s="92"/>
      <c r="Y462" s="92"/>
      <c r="Z462" s="92"/>
      <c r="AA462" s="92"/>
      <c r="AB462" s="92"/>
      <c r="AC462" s="92"/>
      <c r="AD462" s="124"/>
      <c r="AE462" s="92"/>
      <c r="AF462" s="92"/>
      <c r="AG462" s="92"/>
      <c r="AH462" s="92"/>
    </row>
    <row r="463" spans="1:34" ht="15.75" customHeight="1">
      <c r="A463" s="92"/>
      <c r="B463" s="92"/>
      <c r="C463" s="92"/>
      <c r="D463" s="92"/>
      <c r="E463" s="92"/>
      <c r="F463" s="92"/>
      <c r="G463" s="92"/>
      <c r="H463" s="122"/>
      <c r="I463" s="123"/>
      <c r="J463" s="124"/>
      <c r="K463" s="124"/>
      <c r="L463" s="124"/>
      <c r="M463" s="92"/>
      <c r="N463" s="125"/>
      <c r="O463" s="126"/>
      <c r="P463" s="126"/>
      <c r="Q463" s="127"/>
      <c r="R463" s="127"/>
      <c r="S463" s="126"/>
      <c r="T463" s="123"/>
      <c r="U463" s="92"/>
      <c r="V463" s="92"/>
      <c r="W463" s="92"/>
      <c r="X463" s="92"/>
      <c r="Y463" s="92"/>
      <c r="Z463" s="92"/>
      <c r="AA463" s="92"/>
      <c r="AB463" s="92"/>
      <c r="AC463" s="92"/>
      <c r="AD463" s="124"/>
      <c r="AE463" s="92"/>
      <c r="AF463" s="92"/>
      <c r="AG463" s="92"/>
      <c r="AH463" s="92"/>
    </row>
    <row r="464" spans="1:34" ht="15.75" customHeight="1">
      <c r="A464" s="92"/>
      <c r="B464" s="92"/>
      <c r="C464" s="92"/>
      <c r="D464" s="92"/>
      <c r="E464" s="92"/>
      <c r="F464" s="92"/>
      <c r="G464" s="92"/>
      <c r="H464" s="122"/>
      <c r="I464" s="123"/>
      <c r="J464" s="124"/>
      <c r="K464" s="124"/>
      <c r="L464" s="124"/>
      <c r="M464" s="92"/>
      <c r="N464" s="125"/>
      <c r="O464" s="126"/>
      <c r="P464" s="126"/>
      <c r="Q464" s="127"/>
      <c r="R464" s="127"/>
      <c r="S464" s="126"/>
      <c r="T464" s="123"/>
      <c r="U464" s="92"/>
      <c r="V464" s="92"/>
      <c r="W464" s="92"/>
      <c r="X464" s="92"/>
      <c r="Y464" s="92"/>
      <c r="Z464" s="92"/>
      <c r="AA464" s="92"/>
      <c r="AB464" s="92"/>
      <c r="AC464" s="92"/>
      <c r="AD464" s="124"/>
      <c r="AE464" s="92"/>
      <c r="AF464" s="92"/>
      <c r="AG464" s="92"/>
      <c r="AH464" s="92"/>
    </row>
    <row r="465" spans="1:34" ht="15.75" customHeight="1">
      <c r="A465" s="92"/>
      <c r="B465" s="92"/>
      <c r="C465" s="92"/>
      <c r="D465" s="92"/>
      <c r="E465" s="92"/>
      <c r="F465" s="92"/>
      <c r="G465" s="92"/>
      <c r="H465" s="122"/>
      <c r="I465" s="123"/>
      <c r="J465" s="124"/>
      <c r="K465" s="124"/>
      <c r="L465" s="124"/>
      <c r="M465" s="92"/>
      <c r="N465" s="125"/>
      <c r="O465" s="126"/>
      <c r="P465" s="126"/>
      <c r="Q465" s="127"/>
      <c r="R465" s="127"/>
      <c r="S465" s="126"/>
      <c r="T465" s="123"/>
      <c r="U465" s="92"/>
      <c r="V465" s="92"/>
      <c r="W465" s="92"/>
      <c r="X465" s="92"/>
      <c r="Y465" s="92"/>
      <c r="Z465" s="92"/>
      <c r="AA465" s="92"/>
      <c r="AB465" s="92"/>
      <c r="AC465" s="92"/>
      <c r="AD465" s="124"/>
      <c r="AE465" s="92"/>
      <c r="AF465" s="92"/>
      <c r="AG465" s="92"/>
      <c r="AH465" s="92"/>
    </row>
    <row r="466" spans="1:34" ht="15.75" customHeight="1">
      <c r="A466" s="92"/>
      <c r="B466" s="92"/>
      <c r="C466" s="92"/>
      <c r="D466" s="92"/>
      <c r="E466" s="92"/>
      <c r="F466" s="92"/>
      <c r="G466" s="92"/>
      <c r="H466" s="122"/>
      <c r="I466" s="123"/>
      <c r="J466" s="124"/>
      <c r="K466" s="124"/>
      <c r="L466" s="124"/>
      <c r="M466" s="92"/>
      <c r="N466" s="125"/>
      <c r="O466" s="126"/>
      <c r="P466" s="126"/>
      <c r="Q466" s="127"/>
      <c r="R466" s="127"/>
      <c r="S466" s="126"/>
      <c r="T466" s="123"/>
      <c r="U466" s="92"/>
      <c r="V466" s="92"/>
      <c r="W466" s="92"/>
      <c r="X466" s="92"/>
      <c r="Y466" s="92"/>
      <c r="Z466" s="92"/>
      <c r="AA466" s="92"/>
      <c r="AB466" s="92"/>
      <c r="AC466" s="92"/>
      <c r="AD466" s="124"/>
      <c r="AE466" s="92"/>
      <c r="AF466" s="92"/>
      <c r="AG466" s="92"/>
      <c r="AH466" s="92"/>
    </row>
    <row r="467" spans="1:34" ht="15.75" customHeight="1">
      <c r="A467" s="92"/>
      <c r="B467" s="92"/>
      <c r="C467" s="92"/>
      <c r="D467" s="92"/>
      <c r="E467" s="92"/>
      <c r="F467" s="92"/>
      <c r="G467" s="92"/>
      <c r="H467" s="122"/>
      <c r="I467" s="123"/>
      <c r="J467" s="124"/>
      <c r="K467" s="124"/>
      <c r="L467" s="124"/>
      <c r="M467" s="92"/>
      <c r="N467" s="125"/>
      <c r="O467" s="126"/>
      <c r="P467" s="126"/>
      <c r="Q467" s="127"/>
      <c r="R467" s="127"/>
      <c r="S467" s="126"/>
      <c r="T467" s="123"/>
      <c r="U467" s="92"/>
      <c r="V467" s="92"/>
      <c r="W467" s="92"/>
      <c r="X467" s="92"/>
      <c r="Y467" s="92"/>
      <c r="Z467" s="92"/>
      <c r="AA467" s="92"/>
      <c r="AB467" s="92"/>
      <c r="AC467" s="92"/>
      <c r="AD467" s="124"/>
      <c r="AE467" s="92"/>
      <c r="AF467" s="92"/>
      <c r="AG467" s="92"/>
      <c r="AH467" s="92"/>
    </row>
    <row r="468" spans="1:34" ht="15.75" customHeight="1">
      <c r="A468" s="92"/>
      <c r="B468" s="92"/>
      <c r="C468" s="92"/>
      <c r="D468" s="92"/>
      <c r="E468" s="92"/>
      <c r="F468" s="92"/>
      <c r="G468" s="92"/>
      <c r="H468" s="122"/>
      <c r="I468" s="123"/>
      <c r="J468" s="124"/>
      <c r="K468" s="124"/>
      <c r="L468" s="124"/>
      <c r="M468" s="92"/>
      <c r="N468" s="125"/>
      <c r="O468" s="126"/>
      <c r="P468" s="126"/>
      <c r="Q468" s="127"/>
      <c r="R468" s="127"/>
      <c r="S468" s="126"/>
      <c r="T468" s="123"/>
      <c r="U468" s="92"/>
      <c r="V468" s="92"/>
      <c r="W468" s="92"/>
      <c r="X468" s="92"/>
      <c r="Y468" s="92"/>
      <c r="Z468" s="92"/>
      <c r="AA468" s="92"/>
      <c r="AB468" s="92"/>
      <c r="AC468" s="92"/>
      <c r="AD468" s="124"/>
      <c r="AE468" s="92"/>
      <c r="AF468" s="92"/>
      <c r="AG468" s="92"/>
      <c r="AH468" s="92"/>
    </row>
    <row r="469" spans="1:34" ht="15.75" customHeight="1">
      <c r="A469" s="92"/>
      <c r="B469" s="92"/>
      <c r="C469" s="92"/>
      <c r="D469" s="92"/>
      <c r="E469" s="92"/>
      <c r="F469" s="92"/>
      <c r="G469" s="92"/>
      <c r="H469" s="122"/>
      <c r="I469" s="123"/>
      <c r="J469" s="124"/>
      <c r="K469" s="124"/>
      <c r="L469" s="124"/>
      <c r="M469" s="92"/>
      <c r="N469" s="125"/>
      <c r="O469" s="126"/>
      <c r="P469" s="126"/>
      <c r="Q469" s="127"/>
      <c r="R469" s="127"/>
      <c r="S469" s="126"/>
      <c r="T469" s="123"/>
      <c r="U469" s="92"/>
      <c r="V469" s="92"/>
      <c r="W469" s="92"/>
      <c r="X469" s="92"/>
      <c r="Y469" s="92"/>
      <c r="Z469" s="92"/>
      <c r="AA469" s="92"/>
      <c r="AB469" s="92"/>
      <c r="AC469" s="92"/>
      <c r="AD469" s="124"/>
      <c r="AE469" s="92"/>
      <c r="AF469" s="92"/>
      <c r="AG469" s="92"/>
      <c r="AH469" s="92"/>
    </row>
    <row r="470" spans="1:34" ht="15.75" customHeight="1">
      <c r="A470" s="92"/>
      <c r="B470" s="92"/>
      <c r="C470" s="92"/>
      <c r="D470" s="92"/>
      <c r="E470" s="92"/>
      <c r="F470" s="92"/>
      <c r="G470" s="92"/>
      <c r="H470" s="122"/>
      <c r="I470" s="123"/>
      <c r="J470" s="124"/>
      <c r="K470" s="124"/>
      <c r="L470" s="124"/>
      <c r="M470" s="92"/>
      <c r="N470" s="125"/>
      <c r="O470" s="126"/>
      <c r="P470" s="126"/>
      <c r="Q470" s="127"/>
      <c r="R470" s="127"/>
      <c r="S470" s="126"/>
      <c r="T470" s="123"/>
      <c r="U470" s="92"/>
      <c r="V470" s="92"/>
      <c r="W470" s="92"/>
      <c r="X470" s="92"/>
      <c r="Y470" s="92"/>
      <c r="Z470" s="92"/>
      <c r="AA470" s="92"/>
      <c r="AB470" s="92"/>
      <c r="AC470" s="92"/>
      <c r="AD470" s="124"/>
      <c r="AE470" s="92"/>
      <c r="AF470" s="92"/>
      <c r="AG470" s="92"/>
      <c r="AH470" s="92"/>
    </row>
    <row r="471" spans="1:34" ht="15.75" customHeight="1">
      <c r="A471" s="92"/>
      <c r="B471" s="92"/>
      <c r="C471" s="92"/>
      <c r="D471" s="92"/>
      <c r="E471" s="92"/>
      <c r="F471" s="92"/>
      <c r="G471" s="92"/>
      <c r="H471" s="122"/>
      <c r="I471" s="123"/>
      <c r="J471" s="124"/>
      <c r="K471" s="124"/>
      <c r="L471" s="124"/>
      <c r="M471" s="92"/>
      <c r="N471" s="125"/>
      <c r="O471" s="126"/>
      <c r="P471" s="126"/>
      <c r="Q471" s="127"/>
      <c r="R471" s="127"/>
      <c r="S471" s="126"/>
      <c r="T471" s="123"/>
      <c r="U471" s="92"/>
      <c r="V471" s="92"/>
      <c r="W471" s="92"/>
      <c r="X471" s="92"/>
      <c r="Y471" s="92"/>
      <c r="Z471" s="92"/>
      <c r="AA471" s="92"/>
      <c r="AB471" s="92"/>
      <c r="AC471" s="92"/>
      <c r="AD471" s="124"/>
      <c r="AE471" s="92"/>
      <c r="AF471" s="92"/>
      <c r="AG471" s="92"/>
      <c r="AH471" s="92"/>
    </row>
    <row r="472" spans="1:34" ht="15.75" customHeight="1">
      <c r="A472" s="92"/>
      <c r="B472" s="92"/>
      <c r="C472" s="92"/>
      <c r="D472" s="92"/>
      <c r="E472" s="92"/>
      <c r="F472" s="92"/>
      <c r="G472" s="92"/>
      <c r="H472" s="122"/>
      <c r="I472" s="123"/>
      <c r="J472" s="124"/>
      <c r="K472" s="124"/>
      <c r="L472" s="124"/>
      <c r="M472" s="92"/>
      <c r="N472" s="125"/>
      <c r="O472" s="126"/>
      <c r="P472" s="126"/>
      <c r="Q472" s="127"/>
      <c r="R472" s="127"/>
      <c r="S472" s="126"/>
      <c r="T472" s="123"/>
      <c r="U472" s="92"/>
      <c r="V472" s="92"/>
      <c r="W472" s="92"/>
      <c r="X472" s="92"/>
      <c r="Y472" s="92"/>
      <c r="Z472" s="92"/>
      <c r="AA472" s="92"/>
      <c r="AB472" s="92"/>
      <c r="AC472" s="92"/>
      <c r="AD472" s="124"/>
      <c r="AE472" s="92"/>
      <c r="AF472" s="92"/>
      <c r="AG472" s="92"/>
      <c r="AH472" s="92"/>
    </row>
    <row r="473" spans="1:34" ht="15.75" customHeight="1">
      <c r="A473" s="92"/>
      <c r="B473" s="92"/>
      <c r="C473" s="92"/>
      <c r="D473" s="92"/>
      <c r="E473" s="92"/>
      <c r="F473" s="92"/>
      <c r="G473" s="92"/>
      <c r="H473" s="122"/>
      <c r="I473" s="123"/>
      <c r="J473" s="124"/>
      <c r="K473" s="124"/>
      <c r="L473" s="124"/>
      <c r="M473" s="92"/>
      <c r="N473" s="125"/>
      <c r="O473" s="126"/>
      <c r="P473" s="126"/>
      <c r="Q473" s="127"/>
      <c r="R473" s="127"/>
      <c r="S473" s="126"/>
      <c r="T473" s="123"/>
      <c r="U473" s="92"/>
      <c r="V473" s="92"/>
      <c r="W473" s="92"/>
      <c r="X473" s="92"/>
      <c r="Y473" s="92"/>
      <c r="Z473" s="92"/>
      <c r="AA473" s="92"/>
      <c r="AB473" s="92"/>
      <c r="AC473" s="92"/>
      <c r="AD473" s="124"/>
      <c r="AE473" s="92"/>
      <c r="AF473" s="92"/>
      <c r="AG473" s="92"/>
      <c r="AH473" s="92"/>
    </row>
    <row r="474" spans="1:34" ht="15.75" customHeight="1">
      <c r="A474" s="92"/>
      <c r="B474" s="92"/>
      <c r="C474" s="92"/>
      <c r="D474" s="92"/>
      <c r="E474" s="92"/>
      <c r="F474" s="92"/>
      <c r="G474" s="92"/>
      <c r="H474" s="122"/>
      <c r="I474" s="123"/>
      <c r="J474" s="124"/>
      <c r="K474" s="124"/>
      <c r="L474" s="124"/>
      <c r="M474" s="92"/>
      <c r="N474" s="125"/>
      <c r="O474" s="126"/>
      <c r="P474" s="126"/>
      <c r="Q474" s="127"/>
      <c r="R474" s="127"/>
      <c r="S474" s="126"/>
      <c r="T474" s="123"/>
      <c r="U474" s="92"/>
      <c r="V474" s="92"/>
      <c r="W474" s="92"/>
      <c r="X474" s="92"/>
      <c r="Y474" s="92"/>
      <c r="Z474" s="92"/>
      <c r="AA474" s="92"/>
      <c r="AB474" s="92"/>
      <c r="AC474" s="92"/>
      <c r="AD474" s="124"/>
      <c r="AE474" s="92"/>
      <c r="AF474" s="92"/>
      <c r="AG474" s="92"/>
      <c r="AH474" s="92"/>
    </row>
    <row r="475" spans="1:34" ht="15.75" customHeight="1">
      <c r="A475" s="92"/>
      <c r="B475" s="92"/>
      <c r="C475" s="92"/>
      <c r="D475" s="92"/>
      <c r="E475" s="92"/>
      <c r="F475" s="92"/>
      <c r="G475" s="92"/>
      <c r="H475" s="122"/>
      <c r="I475" s="123"/>
      <c r="J475" s="124"/>
      <c r="K475" s="124"/>
      <c r="L475" s="124"/>
      <c r="M475" s="92"/>
      <c r="N475" s="125"/>
      <c r="O475" s="126"/>
      <c r="P475" s="126"/>
      <c r="Q475" s="127"/>
      <c r="R475" s="127"/>
      <c r="S475" s="126"/>
      <c r="T475" s="123"/>
      <c r="U475" s="92"/>
      <c r="V475" s="92"/>
      <c r="W475" s="92"/>
      <c r="X475" s="92"/>
      <c r="Y475" s="92"/>
      <c r="Z475" s="92"/>
      <c r="AA475" s="92"/>
      <c r="AB475" s="92"/>
      <c r="AC475" s="92"/>
      <c r="AD475" s="124"/>
      <c r="AE475" s="92"/>
      <c r="AF475" s="92"/>
      <c r="AG475" s="92"/>
      <c r="AH475" s="92"/>
    </row>
    <row r="476" spans="1:34" ht="15.75" customHeight="1">
      <c r="A476" s="92"/>
      <c r="B476" s="92"/>
      <c r="C476" s="92"/>
      <c r="D476" s="92"/>
      <c r="E476" s="92"/>
      <c r="F476" s="92"/>
      <c r="G476" s="92"/>
      <c r="H476" s="122"/>
      <c r="I476" s="123"/>
      <c r="J476" s="124"/>
      <c r="K476" s="124"/>
      <c r="L476" s="124"/>
      <c r="M476" s="92"/>
      <c r="N476" s="125"/>
      <c r="O476" s="126"/>
      <c r="P476" s="126"/>
      <c r="Q476" s="127"/>
      <c r="R476" s="127"/>
      <c r="S476" s="126"/>
      <c r="T476" s="123"/>
      <c r="U476" s="92"/>
      <c r="V476" s="92"/>
      <c r="W476" s="92"/>
      <c r="X476" s="92"/>
      <c r="Y476" s="92"/>
      <c r="Z476" s="92"/>
      <c r="AA476" s="92"/>
      <c r="AB476" s="92"/>
      <c r="AC476" s="92"/>
      <c r="AD476" s="124"/>
      <c r="AE476" s="92"/>
      <c r="AF476" s="92"/>
      <c r="AG476" s="92"/>
      <c r="AH476" s="92"/>
    </row>
    <row r="477" spans="1:34" ht="15.75" customHeight="1">
      <c r="A477" s="92"/>
      <c r="B477" s="92"/>
      <c r="C477" s="92"/>
      <c r="D477" s="92"/>
      <c r="E477" s="92"/>
      <c r="F477" s="92"/>
      <c r="G477" s="92"/>
      <c r="H477" s="122"/>
      <c r="I477" s="123"/>
      <c r="J477" s="124"/>
      <c r="K477" s="124"/>
      <c r="L477" s="124"/>
      <c r="M477" s="92"/>
      <c r="N477" s="125"/>
      <c r="O477" s="126"/>
      <c r="P477" s="126"/>
      <c r="Q477" s="127"/>
      <c r="R477" s="127"/>
      <c r="S477" s="126"/>
      <c r="T477" s="123"/>
      <c r="U477" s="92"/>
      <c r="V477" s="92"/>
      <c r="W477" s="92"/>
      <c r="X477" s="92"/>
      <c r="Y477" s="92"/>
      <c r="Z477" s="92"/>
      <c r="AA477" s="92"/>
      <c r="AB477" s="92"/>
      <c r="AC477" s="92"/>
      <c r="AD477" s="124"/>
      <c r="AE477" s="92"/>
      <c r="AF477" s="92"/>
      <c r="AG477" s="92"/>
      <c r="AH477" s="92"/>
    </row>
    <row r="478" spans="1:34" ht="15.75" customHeight="1">
      <c r="A478" s="92"/>
      <c r="B478" s="92"/>
      <c r="C478" s="92"/>
      <c r="D478" s="92"/>
      <c r="E478" s="92"/>
      <c r="F478" s="92"/>
      <c r="G478" s="92"/>
      <c r="H478" s="122"/>
      <c r="I478" s="123"/>
      <c r="J478" s="124"/>
      <c r="K478" s="124"/>
      <c r="L478" s="124"/>
      <c r="M478" s="92"/>
      <c r="N478" s="125"/>
      <c r="O478" s="126"/>
      <c r="P478" s="126"/>
      <c r="Q478" s="127"/>
      <c r="R478" s="127"/>
      <c r="S478" s="126"/>
      <c r="T478" s="123"/>
      <c r="U478" s="92"/>
      <c r="V478" s="92"/>
      <c r="W478" s="92"/>
      <c r="X478" s="92"/>
      <c r="Y478" s="92"/>
      <c r="Z478" s="92"/>
      <c r="AA478" s="92"/>
      <c r="AB478" s="92"/>
      <c r="AC478" s="92"/>
      <c r="AD478" s="124"/>
      <c r="AE478" s="92"/>
      <c r="AF478" s="92"/>
      <c r="AG478" s="92"/>
      <c r="AH478" s="92"/>
    </row>
    <row r="479" spans="1:34" ht="15.75" customHeight="1">
      <c r="A479" s="92"/>
      <c r="B479" s="92"/>
      <c r="C479" s="92"/>
      <c r="D479" s="92"/>
      <c r="E479" s="92"/>
      <c r="F479" s="92"/>
      <c r="G479" s="92"/>
      <c r="H479" s="122"/>
      <c r="I479" s="123"/>
      <c r="J479" s="124"/>
      <c r="K479" s="124"/>
      <c r="L479" s="124"/>
      <c r="M479" s="92"/>
      <c r="N479" s="125"/>
      <c r="O479" s="126"/>
      <c r="P479" s="126"/>
      <c r="Q479" s="127"/>
      <c r="R479" s="127"/>
      <c r="S479" s="126"/>
      <c r="T479" s="123"/>
      <c r="U479" s="92"/>
      <c r="V479" s="92"/>
      <c r="W479" s="92"/>
      <c r="X479" s="92"/>
      <c r="Y479" s="92"/>
      <c r="Z479" s="92"/>
      <c r="AA479" s="92"/>
      <c r="AB479" s="92"/>
      <c r="AC479" s="92"/>
      <c r="AD479" s="124"/>
      <c r="AE479" s="92"/>
      <c r="AF479" s="92"/>
      <c r="AG479" s="92"/>
      <c r="AH479" s="92"/>
    </row>
    <row r="480" spans="1:34" ht="15.75" customHeight="1">
      <c r="A480" s="92"/>
      <c r="B480" s="92"/>
      <c r="C480" s="92"/>
      <c r="D480" s="92"/>
      <c r="E480" s="92"/>
      <c r="F480" s="92"/>
      <c r="G480" s="92"/>
      <c r="H480" s="122"/>
      <c r="I480" s="123"/>
      <c r="J480" s="124"/>
      <c r="K480" s="124"/>
      <c r="L480" s="124"/>
      <c r="M480" s="92"/>
      <c r="N480" s="125"/>
      <c r="O480" s="126"/>
      <c r="P480" s="126"/>
      <c r="Q480" s="127"/>
      <c r="R480" s="127"/>
      <c r="S480" s="126"/>
      <c r="T480" s="123"/>
      <c r="U480" s="92"/>
      <c r="V480" s="92"/>
      <c r="W480" s="92"/>
      <c r="X480" s="92"/>
      <c r="Y480" s="92"/>
      <c r="Z480" s="92"/>
      <c r="AA480" s="92"/>
      <c r="AB480" s="92"/>
      <c r="AC480" s="92"/>
      <c r="AD480" s="124"/>
      <c r="AE480" s="92"/>
      <c r="AF480" s="92"/>
      <c r="AG480" s="92"/>
      <c r="AH480" s="92"/>
    </row>
    <row r="481" spans="1:34" ht="15.75" customHeight="1">
      <c r="A481" s="92"/>
      <c r="B481" s="92"/>
      <c r="C481" s="92"/>
      <c r="D481" s="92"/>
      <c r="E481" s="92"/>
      <c r="F481" s="92"/>
      <c r="G481" s="92"/>
      <c r="H481" s="122"/>
      <c r="I481" s="123"/>
      <c r="J481" s="124"/>
      <c r="K481" s="124"/>
      <c r="L481" s="124"/>
      <c r="M481" s="92"/>
      <c r="N481" s="125"/>
      <c r="O481" s="126"/>
      <c r="P481" s="126"/>
      <c r="Q481" s="127"/>
      <c r="R481" s="127"/>
      <c r="S481" s="126"/>
      <c r="T481" s="123"/>
      <c r="U481" s="92"/>
      <c r="V481" s="92"/>
      <c r="W481" s="92"/>
      <c r="X481" s="92"/>
      <c r="Y481" s="92"/>
      <c r="Z481" s="92"/>
      <c r="AA481" s="92"/>
      <c r="AB481" s="92"/>
      <c r="AC481" s="92"/>
      <c r="AD481" s="124"/>
      <c r="AE481" s="92"/>
      <c r="AF481" s="92"/>
      <c r="AG481" s="92"/>
      <c r="AH481" s="92"/>
    </row>
    <row r="482" spans="1:34" ht="15.75" customHeight="1">
      <c r="A482" s="92"/>
      <c r="B482" s="92"/>
      <c r="C482" s="92"/>
      <c r="D482" s="92"/>
      <c r="E482" s="92"/>
      <c r="F482" s="92"/>
      <c r="G482" s="92"/>
      <c r="H482" s="122"/>
      <c r="I482" s="123"/>
      <c r="J482" s="124"/>
      <c r="K482" s="124"/>
      <c r="L482" s="124"/>
      <c r="M482" s="92"/>
      <c r="N482" s="125"/>
      <c r="O482" s="126"/>
      <c r="P482" s="126"/>
      <c r="Q482" s="127"/>
      <c r="R482" s="127"/>
      <c r="S482" s="126"/>
      <c r="T482" s="123"/>
      <c r="U482" s="92"/>
      <c r="V482" s="92"/>
      <c r="W482" s="92"/>
      <c r="X482" s="92"/>
      <c r="Y482" s="92"/>
      <c r="Z482" s="92"/>
      <c r="AA482" s="92"/>
      <c r="AB482" s="92"/>
      <c r="AC482" s="92"/>
      <c r="AD482" s="124"/>
      <c r="AE482" s="92"/>
      <c r="AF482" s="92"/>
      <c r="AG482" s="92"/>
      <c r="AH482" s="92"/>
    </row>
    <row r="483" spans="1:34" ht="15.75" customHeight="1">
      <c r="A483" s="92"/>
      <c r="B483" s="92"/>
      <c r="C483" s="92"/>
      <c r="D483" s="92"/>
      <c r="E483" s="92"/>
      <c r="F483" s="92"/>
      <c r="G483" s="92"/>
      <c r="H483" s="122"/>
      <c r="I483" s="123"/>
      <c r="J483" s="124"/>
      <c r="K483" s="124"/>
      <c r="L483" s="124"/>
      <c r="M483" s="92"/>
      <c r="N483" s="125"/>
      <c r="O483" s="126"/>
      <c r="P483" s="126"/>
      <c r="Q483" s="127"/>
      <c r="R483" s="127"/>
      <c r="S483" s="126"/>
      <c r="T483" s="123"/>
      <c r="U483" s="92"/>
      <c r="V483" s="92"/>
      <c r="W483" s="92"/>
      <c r="X483" s="92"/>
      <c r="Y483" s="92"/>
      <c r="Z483" s="92"/>
      <c r="AA483" s="92"/>
      <c r="AB483" s="92"/>
      <c r="AC483" s="92"/>
      <c r="AD483" s="124"/>
      <c r="AE483" s="92"/>
      <c r="AF483" s="92"/>
      <c r="AG483" s="92"/>
      <c r="AH483" s="92"/>
    </row>
    <row r="484" spans="1:34" ht="15.75" customHeight="1">
      <c r="A484" s="92"/>
      <c r="B484" s="92"/>
      <c r="C484" s="92"/>
      <c r="D484" s="92"/>
      <c r="E484" s="92"/>
      <c r="F484" s="92"/>
      <c r="G484" s="92"/>
      <c r="H484" s="122"/>
      <c r="I484" s="123"/>
      <c r="J484" s="124"/>
      <c r="K484" s="124"/>
      <c r="L484" s="124"/>
      <c r="M484" s="92"/>
      <c r="N484" s="125"/>
      <c r="O484" s="126"/>
      <c r="P484" s="126"/>
      <c r="Q484" s="127"/>
      <c r="R484" s="127"/>
      <c r="S484" s="126"/>
      <c r="T484" s="123"/>
      <c r="U484" s="92"/>
      <c r="V484" s="92"/>
      <c r="W484" s="92"/>
      <c r="X484" s="92"/>
      <c r="Y484" s="92"/>
      <c r="Z484" s="92"/>
      <c r="AA484" s="92"/>
      <c r="AB484" s="92"/>
      <c r="AC484" s="92"/>
      <c r="AD484" s="124"/>
      <c r="AE484" s="92"/>
      <c r="AF484" s="92"/>
      <c r="AG484" s="92"/>
      <c r="AH484" s="92"/>
    </row>
    <row r="485" spans="1:34" ht="15.75" customHeight="1">
      <c r="A485" s="92"/>
      <c r="B485" s="92"/>
      <c r="C485" s="92"/>
      <c r="D485" s="92"/>
      <c r="E485" s="92"/>
      <c r="F485" s="92"/>
      <c r="G485" s="92"/>
      <c r="H485" s="122"/>
      <c r="I485" s="123"/>
      <c r="J485" s="124"/>
      <c r="K485" s="124"/>
      <c r="L485" s="124"/>
      <c r="M485" s="92"/>
      <c r="N485" s="125"/>
      <c r="O485" s="126"/>
      <c r="P485" s="126"/>
      <c r="Q485" s="127"/>
      <c r="R485" s="127"/>
      <c r="S485" s="126"/>
      <c r="T485" s="123"/>
      <c r="U485" s="92"/>
      <c r="V485" s="92"/>
      <c r="W485" s="92"/>
      <c r="X485" s="92"/>
      <c r="Y485" s="92"/>
      <c r="Z485" s="92"/>
      <c r="AA485" s="92"/>
      <c r="AB485" s="92"/>
      <c r="AC485" s="92"/>
      <c r="AD485" s="124"/>
      <c r="AE485" s="92"/>
      <c r="AF485" s="92"/>
      <c r="AG485" s="92"/>
      <c r="AH485" s="92"/>
    </row>
    <row r="486" spans="1:34" ht="15.75" customHeight="1">
      <c r="A486" s="92"/>
      <c r="B486" s="92"/>
      <c r="C486" s="92"/>
      <c r="D486" s="92"/>
      <c r="E486" s="92"/>
      <c r="F486" s="92"/>
      <c r="G486" s="92"/>
      <c r="H486" s="122"/>
      <c r="I486" s="123"/>
      <c r="J486" s="124"/>
      <c r="K486" s="124"/>
      <c r="L486" s="124"/>
      <c r="M486" s="92"/>
      <c r="N486" s="125"/>
      <c r="O486" s="126"/>
      <c r="P486" s="126"/>
      <c r="Q486" s="127"/>
      <c r="R486" s="127"/>
      <c r="S486" s="126"/>
      <c r="T486" s="123"/>
      <c r="U486" s="92"/>
      <c r="V486" s="92"/>
      <c r="W486" s="92"/>
      <c r="X486" s="92"/>
      <c r="Y486" s="92"/>
      <c r="Z486" s="92"/>
      <c r="AA486" s="92"/>
      <c r="AB486" s="92"/>
      <c r="AC486" s="92"/>
      <c r="AD486" s="124"/>
      <c r="AE486" s="92"/>
      <c r="AF486" s="92"/>
      <c r="AG486" s="92"/>
      <c r="AH486" s="92"/>
    </row>
    <row r="487" spans="1:34" ht="15.75" customHeight="1">
      <c r="A487" s="92"/>
      <c r="B487" s="92"/>
      <c r="C487" s="92"/>
      <c r="D487" s="92"/>
      <c r="E487" s="92"/>
      <c r="F487" s="92"/>
      <c r="G487" s="92"/>
      <c r="H487" s="122"/>
      <c r="I487" s="123"/>
      <c r="J487" s="124"/>
      <c r="K487" s="124"/>
      <c r="L487" s="124"/>
      <c r="M487" s="92"/>
      <c r="N487" s="125"/>
      <c r="O487" s="126"/>
      <c r="P487" s="126"/>
      <c r="Q487" s="127"/>
      <c r="R487" s="127"/>
      <c r="S487" s="126"/>
      <c r="T487" s="123"/>
      <c r="U487" s="92"/>
      <c r="V487" s="92"/>
      <c r="W487" s="92"/>
      <c r="X487" s="92"/>
      <c r="Y487" s="92"/>
      <c r="Z487" s="92"/>
      <c r="AA487" s="92"/>
      <c r="AB487" s="92"/>
      <c r="AC487" s="92"/>
      <c r="AD487" s="124"/>
      <c r="AE487" s="92"/>
      <c r="AF487" s="92"/>
      <c r="AG487" s="92"/>
      <c r="AH487" s="92"/>
    </row>
    <row r="488" spans="1:34" ht="15.75" customHeight="1">
      <c r="A488" s="92"/>
      <c r="B488" s="92"/>
      <c r="C488" s="92"/>
      <c r="D488" s="92"/>
      <c r="E488" s="92"/>
      <c r="F488" s="92"/>
      <c r="G488" s="92"/>
      <c r="H488" s="122"/>
      <c r="I488" s="123"/>
      <c r="J488" s="124"/>
      <c r="K488" s="124"/>
      <c r="L488" s="124"/>
      <c r="M488" s="92"/>
      <c r="N488" s="125"/>
      <c r="O488" s="126"/>
      <c r="P488" s="126"/>
      <c r="Q488" s="127"/>
      <c r="R488" s="127"/>
      <c r="S488" s="126"/>
      <c r="T488" s="123"/>
      <c r="U488" s="92"/>
      <c r="V488" s="92"/>
      <c r="W488" s="92"/>
      <c r="X488" s="92"/>
      <c r="Y488" s="92"/>
      <c r="Z488" s="92"/>
      <c r="AA488" s="92"/>
      <c r="AB488" s="92"/>
      <c r="AC488" s="92"/>
      <c r="AD488" s="124"/>
      <c r="AE488" s="92"/>
      <c r="AF488" s="92"/>
      <c r="AG488" s="92"/>
      <c r="AH488" s="92"/>
    </row>
    <row r="489" spans="1:34" ht="15.75" customHeight="1">
      <c r="A489" s="92"/>
      <c r="B489" s="92"/>
      <c r="C489" s="92"/>
      <c r="D489" s="92"/>
      <c r="E489" s="92"/>
      <c r="F489" s="92"/>
      <c r="G489" s="92"/>
      <c r="H489" s="122"/>
      <c r="I489" s="123"/>
      <c r="J489" s="124"/>
      <c r="K489" s="124"/>
      <c r="L489" s="124"/>
      <c r="M489" s="92"/>
      <c r="N489" s="125"/>
      <c r="O489" s="126"/>
      <c r="P489" s="126"/>
      <c r="Q489" s="127"/>
      <c r="R489" s="127"/>
      <c r="S489" s="126"/>
      <c r="T489" s="123"/>
      <c r="U489" s="92"/>
      <c r="V489" s="92"/>
      <c r="W489" s="92"/>
      <c r="X489" s="92"/>
      <c r="Y489" s="92"/>
      <c r="Z489" s="92"/>
      <c r="AA489" s="92"/>
      <c r="AB489" s="92"/>
      <c r="AC489" s="92"/>
      <c r="AD489" s="124"/>
      <c r="AE489" s="92"/>
      <c r="AF489" s="92"/>
      <c r="AG489" s="92"/>
      <c r="AH489" s="92"/>
    </row>
    <row r="490" spans="1:34" ht="15.75" customHeight="1">
      <c r="A490" s="92"/>
      <c r="B490" s="92"/>
      <c r="C490" s="92"/>
      <c r="D490" s="92"/>
      <c r="E490" s="92"/>
      <c r="F490" s="92"/>
      <c r="G490" s="92"/>
      <c r="H490" s="122"/>
      <c r="I490" s="123"/>
      <c r="J490" s="124"/>
      <c r="K490" s="124"/>
      <c r="L490" s="124"/>
      <c r="M490" s="92"/>
      <c r="N490" s="125"/>
      <c r="O490" s="126"/>
      <c r="P490" s="126"/>
      <c r="Q490" s="127"/>
      <c r="R490" s="127"/>
      <c r="S490" s="126"/>
      <c r="T490" s="123"/>
      <c r="U490" s="92"/>
      <c r="V490" s="92"/>
      <c r="W490" s="92"/>
      <c r="X490" s="92"/>
      <c r="Y490" s="92"/>
      <c r="Z490" s="92"/>
      <c r="AA490" s="92"/>
      <c r="AB490" s="92"/>
      <c r="AC490" s="92"/>
      <c r="AD490" s="124"/>
      <c r="AE490" s="92"/>
      <c r="AF490" s="92"/>
      <c r="AG490" s="92"/>
      <c r="AH490" s="92"/>
    </row>
    <row r="491" spans="1:34" ht="15.75" customHeight="1">
      <c r="A491" s="92"/>
      <c r="B491" s="92"/>
      <c r="C491" s="92"/>
      <c r="D491" s="92"/>
      <c r="E491" s="92"/>
      <c r="F491" s="92"/>
      <c r="G491" s="92"/>
      <c r="H491" s="122"/>
      <c r="I491" s="123"/>
      <c r="J491" s="124"/>
      <c r="K491" s="124"/>
      <c r="L491" s="124"/>
      <c r="M491" s="92"/>
      <c r="N491" s="125"/>
      <c r="O491" s="126"/>
      <c r="P491" s="126"/>
      <c r="Q491" s="127"/>
      <c r="R491" s="127"/>
      <c r="S491" s="126"/>
      <c r="T491" s="123"/>
      <c r="U491" s="92"/>
      <c r="V491" s="92"/>
      <c r="W491" s="92"/>
      <c r="X491" s="92"/>
      <c r="Y491" s="92"/>
      <c r="Z491" s="92"/>
      <c r="AA491" s="92"/>
      <c r="AB491" s="92"/>
      <c r="AC491" s="92"/>
      <c r="AD491" s="124"/>
      <c r="AE491" s="92"/>
      <c r="AF491" s="92"/>
      <c r="AG491" s="92"/>
      <c r="AH491" s="92"/>
    </row>
    <row r="492" spans="1:34" ht="15.75" customHeight="1">
      <c r="A492" s="92"/>
      <c r="B492" s="92"/>
      <c r="C492" s="92"/>
      <c r="D492" s="92"/>
      <c r="E492" s="92"/>
      <c r="F492" s="92"/>
      <c r="G492" s="92"/>
      <c r="H492" s="122"/>
      <c r="I492" s="123"/>
      <c r="J492" s="124"/>
      <c r="K492" s="124"/>
      <c r="L492" s="124"/>
      <c r="M492" s="92"/>
      <c r="N492" s="125"/>
      <c r="O492" s="126"/>
      <c r="P492" s="126"/>
      <c r="Q492" s="127"/>
      <c r="R492" s="127"/>
      <c r="S492" s="126"/>
      <c r="T492" s="123"/>
      <c r="U492" s="92"/>
      <c r="V492" s="92"/>
      <c r="W492" s="92"/>
      <c r="X492" s="92"/>
      <c r="Y492" s="92"/>
      <c r="Z492" s="92"/>
      <c r="AA492" s="92"/>
      <c r="AB492" s="92"/>
      <c r="AC492" s="92"/>
      <c r="AD492" s="124"/>
      <c r="AE492" s="92"/>
      <c r="AF492" s="92"/>
      <c r="AG492" s="92"/>
      <c r="AH492" s="92"/>
    </row>
    <row r="493" spans="1:34" ht="15.75" customHeight="1">
      <c r="A493" s="92"/>
      <c r="B493" s="92"/>
      <c r="C493" s="92"/>
      <c r="D493" s="92"/>
      <c r="E493" s="92"/>
      <c r="F493" s="92"/>
      <c r="G493" s="92"/>
      <c r="H493" s="122"/>
      <c r="I493" s="123"/>
      <c r="J493" s="124"/>
      <c r="K493" s="124"/>
      <c r="L493" s="124"/>
      <c r="M493" s="92"/>
      <c r="N493" s="125"/>
      <c r="O493" s="126"/>
      <c r="P493" s="126"/>
      <c r="Q493" s="127"/>
      <c r="R493" s="127"/>
      <c r="S493" s="126"/>
      <c r="T493" s="123"/>
      <c r="U493" s="92"/>
      <c r="V493" s="92"/>
      <c r="W493" s="92"/>
      <c r="X493" s="92"/>
      <c r="Y493" s="92"/>
      <c r="Z493" s="92"/>
      <c r="AA493" s="92"/>
      <c r="AB493" s="92"/>
      <c r="AC493" s="92"/>
      <c r="AD493" s="124"/>
      <c r="AE493" s="92"/>
      <c r="AF493" s="92"/>
      <c r="AG493" s="92"/>
      <c r="AH493" s="92"/>
    </row>
    <row r="494" spans="1:34" ht="15.75" customHeight="1">
      <c r="A494" s="92"/>
      <c r="B494" s="92"/>
      <c r="C494" s="92"/>
      <c r="D494" s="92"/>
      <c r="E494" s="92"/>
      <c r="F494" s="92"/>
      <c r="G494" s="92"/>
      <c r="H494" s="122"/>
      <c r="I494" s="123"/>
      <c r="J494" s="124"/>
      <c r="K494" s="124"/>
      <c r="L494" s="124"/>
      <c r="M494" s="92"/>
      <c r="N494" s="125"/>
      <c r="O494" s="126"/>
      <c r="P494" s="126"/>
      <c r="Q494" s="127"/>
      <c r="R494" s="127"/>
      <c r="S494" s="126"/>
      <c r="T494" s="123"/>
      <c r="U494" s="92"/>
      <c r="V494" s="92"/>
      <c r="W494" s="92"/>
      <c r="X494" s="92"/>
      <c r="Y494" s="92"/>
      <c r="Z494" s="92"/>
      <c r="AA494" s="92"/>
      <c r="AB494" s="92"/>
      <c r="AC494" s="92"/>
      <c r="AD494" s="124"/>
      <c r="AE494" s="92"/>
      <c r="AF494" s="92"/>
      <c r="AG494" s="92"/>
      <c r="AH494" s="92"/>
    </row>
    <row r="495" spans="1:34" ht="15.75" customHeight="1">
      <c r="A495" s="92"/>
      <c r="B495" s="92"/>
      <c r="C495" s="92"/>
      <c r="D495" s="92"/>
      <c r="E495" s="92"/>
      <c r="F495" s="92"/>
      <c r="G495" s="92"/>
      <c r="H495" s="122"/>
      <c r="I495" s="123"/>
      <c r="J495" s="124"/>
      <c r="K495" s="124"/>
      <c r="L495" s="124"/>
      <c r="M495" s="92"/>
      <c r="N495" s="125"/>
      <c r="O495" s="126"/>
      <c r="P495" s="126"/>
      <c r="Q495" s="127"/>
      <c r="R495" s="127"/>
      <c r="S495" s="126"/>
      <c r="T495" s="123"/>
      <c r="U495" s="92"/>
      <c r="V495" s="92"/>
      <c r="W495" s="92"/>
      <c r="X495" s="92"/>
      <c r="Y495" s="92"/>
      <c r="Z495" s="92"/>
      <c r="AA495" s="92"/>
      <c r="AB495" s="92"/>
      <c r="AC495" s="92"/>
      <c r="AD495" s="124"/>
      <c r="AE495" s="92"/>
      <c r="AF495" s="92"/>
      <c r="AG495" s="92"/>
      <c r="AH495" s="92"/>
    </row>
    <row r="496" spans="1:34" ht="15.75" customHeight="1">
      <c r="A496" s="92"/>
      <c r="B496" s="92"/>
      <c r="C496" s="92"/>
      <c r="D496" s="92"/>
      <c r="E496" s="92"/>
      <c r="F496" s="92"/>
      <c r="G496" s="92"/>
      <c r="H496" s="122"/>
      <c r="I496" s="123"/>
      <c r="J496" s="124"/>
      <c r="K496" s="124"/>
      <c r="L496" s="124"/>
      <c r="M496" s="92"/>
      <c r="N496" s="125"/>
      <c r="O496" s="126"/>
      <c r="P496" s="126"/>
      <c r="Q496" s="127"/>
      <c r="R496" s="127"/>
      <c r="S496" s="126"/>
      <c r="T496" s="123"/>
      <c r="U496" s="92"/>
      <c r="V496" s="92"/>
      <c r="W496" s="92"/>
      <c r="X496" s="92"/>
      <c r="Y496" s="92"/>
      <c r="Z496" s="92"/>
      <c r="AA496" s="92"/>
      <c r="AB496" s="92"/>
      <c r="AC496" s="92"/>
      <c r="AD496" s="124"/>
      <c r="AE496" s="92"/>
      <c r="AF496" s="92"/>
      <c r="AG496" s="92"/>
      <c r="AH496" s="92"/>
    </row>
    <row r="497" spans="1:34" ht="15.75" customHeight="1">
      <c r="A497" s="92"/>
      <c r="B497" s="92"/>
      <c r="C497" s="92"/>
      <c r="D497" s="92"/>
      <c r="E497" s="92"/>
      <c r="F497" s="92"/>
      <c r="G497" s="92"/>
      <c r="H497" s="122"/>
      <c r="I497" s="123"/>
      <c r="J497" s="124"/>
      <c r="K497" s="124"/>
      <c r="L497" s="124"/>
      <c r="M497" s="92"/>
      <c r="N497" s="125"/>
      <c r="O497" s="126"/>
      <c r="P497" s="126"/>
      <c r="Q497" s="127"/>
      <c r="R497" s="127"/>
      <c r="S497" s="126"/>
      <c r="T497" s="123"/>
      <c r="U497" s="92"/>
      <c r="V497" s="92"/>
      <c r="W497" s="92"/>
      <c r="X497" s="92"/>
      <c r="Y497" s="92"/>
      <c r="Z497" s="92"/>
      <c r="AA497" s="92"/>
      <c r="AB497" s="92"/>
      <c r="AC497" s="92"/>
      <c r="AD497" s="124"/>
      <c r="AE497" s="92"/>
      <c r="AF497" s="92"/>
      <c r="AG497" s="92"/>
      <c r="AH497" s="92"/>
    </row>
    <row r="498" spans="1:34" ht="15.75" customHeight="1">
      <c r="A498" s="92"/>
      <c r="B498" s="92"/>
      <c r="C498" s="92"/>
      <c r="D498" s="92"/>
      <c r="E498" s="92"/>
      <c r="F498" s="92"/>
      <c r="G498" s="92"/>
      <c r="H498" s="122"/>
      <c r="I498" s="123"/>
      <c r="J498" s="124"/>
      <c r="K498" s="124"/>
      <c r="L498" s="124"/>
      <c r="M498" s="92"/>
      <c r="N498" s="125"/>
      <c r="O498" s="126"/>
      <c r="P498" s="126"/>
      <c r="Q498" s="127"/>
      <c r="R498" s="127"/>
      <c r="S498" s="126"/>
      <c r="T498" s="123"/>
      <c r="U498" s="92"/>
      <c r="V498" s="92"/>
      <c r="W498" s="92"/>
      <c r="X498" s="92"/>
      <c r="Y498" s="92"/>
      <c r="Z498" s="92"/>
      <c r="AA498" s="92"/>
      <c r="AB498" s="92"/>
      <c r="AC498" s="92"/>
      <c r="AD498" s="124"/>
      <c r="AE498" s="92"/>
      <c r="AF498" s="92"/>
      <c r="AG498" s="92"/>
      <c r="AH498" s="92"/>
    </row>
    <row r="499" spans="1:34" ht="15.75" customHeight="1">
      <c r="A499" s="92"/>
      <c r="B499" s="92"/>
      <c r="C499" s="92"/>
      <c r="D499" s="92"/>
      <c r="E499" s="92"/>
      <c r="F499" s="92"/>
      <c r="G499" s="92"/>
      <c r="H499" s="122"/>
      <c r="I499" s="123"/>
      <c r="J499" s="124"/>
      <c r="K499" s="124"/>
      <c r="L499" s="124"/>
      <c r="M499" s="92"/>
      <c r="N499" s="125"/>
      <c r="O499" s="126"/>
      <c r="P499" s="126"/>
      <c r="Q499" s="127"/>
      <c r="R499" s="127"/>
      <c r="S499" s="126"/>
      <c r="T499" s="123"/>
      <c r="U499" s="92"/>
      <c r="V499" s="92"/>
      <c r="W499" s="92"/>
      <c r="X499" s="92"/>
      <c r="Y499" s="92"/>
      <c r="Z499" s="92"/>
      <c r="AA499" s="92"/>
      <c r="AB499" s="92"/>
      <c r="AC499" s="92"/>
      <c r="AD499" s="124"/>
      <c r="AE499" s="92"/>
      <c r="AF499" s="92"/>
      <c r="AG499" s="92"/>
      <c r="AH499" s="92"/>
    </row>
    <row r="500" spans="1:34" ht="15.75" customHeight="1">
      <c r="A500" s="92"/>
      <c r="B500" s="92"/>
      <c r="C500" s="92"/>
      <c r="D500" s="92"/>
      <c r="E500" s="92"/>
      <c r="F500" s="92"/>
      <c r="G500" s="92"/>
      <c r="H500" s="122"/>
      <c r="I500" s="123"/>
      <c r="J500" s="124"/>
      <c r="K500" s="124"/>
      <c r="L500" s="124"/>
      <c r="M500" s="92"/>
      <c r="N500" s="125"/>
      <c r="O500" s="126"/>
      <c r="P500" s="126"/>
      <c r="Q500" s="127"/>
      <c r="R500" s="127"/>
      <c r="S500" s="126"/>
      <c r="T500" s="123"/>
      <c r="U500" s="92"/>
      <c r="V500" s="92"/>
      <c r="W500" s="92"/>
      <c r="X500" s="92"/>
      <c r="Y500" s="92"/>
      <c r="Z500" s="92"/>
      <c r="AA500" s="92"/>
      <c r="AB500" s="92"/>
      <c r="AC500" s="92"/>
      <c r="AD500" s="124"/>
      <c r="AE500" s="92"/>
      <c r="AF500" s="92"/>
      <c r="AG500" s="92"/>
      <c r="AH500" s="92"/>
    </row>
    <row r="501" spans="1:34" ht="15.75" customHeight="1">
      <c r="A501" s="92"/>
      <c r="B501" s="92"/>
      <c r="C501" s="92"/>
      <c r="D501" s="92"/>
      <c r="E501" s="92"/>
      <c r="F501" s="92"/>
      <c r="G501" s="92"/>
      <c r="H501" s="122"/>
      <c r="I501" s="123"/>
      <c r="J501" s="124"/>
      <c r="K501" s="124"/>
      <c r="L501" s="124"/>
      <c r="M501" s="92"/>
      <c r="N501" s="125"/>
      <c r="O501" s="126"/>
      <c r="P501" s="126"/>
      <c r="Q501" s="127"/>
      <c r="R501" s="127"/>
      <c r="S501" s="126"/>
      <c r="T501" s="123"/>
      <c r="U501" s="92"/>
      <c r="V501" s="92"/>
      <c r="W501" s="92"/>
      <c r="X501" s="92"/>
      <c r="Y501" s="92"/>
      <c r="Z501" s="92"/>
      <c r="AA501" s="92"/>
      <c r="AB501" s="92"/>
      <c r="AC501" s="92"/>
      <c r="AD501" s="124"/>
      <c r="AE501" s="92"/>
      <c r="AF501" s="92"/>
      <c r="AG501" s="92"/>
      <c r="AH501" s="92"/>
    </row>
    <row r="502" spans="1:34" ht="15.75" customHeight="1">
      <c r="A502" s="92"/>
      <c r="B502" s="92"/>
      <c r="C502" s="92"/>
      <c r="D502" s="92"/>
      <c r="E502" s="92"/>
      <c r="F502" s="92"/>
      <c r="G502" s="92"/>
      <c r="H502" s="122"/>
      <c r="I502" s="123"/>
      <c r="J502" s="124"/>
      <c r="K502" s="124"/>
      <c r="L502" s="124"/>
      <c r="M502" s="92"/>
      <c r="N502" s="125"/>
      <c r="O502" s="126"/>
      <c r="P502" s="126"/>
      <c r="Q502" s="127"/>
      <c r="R502" s="127"/>
      <c r="S502" s="126"/>
      <c r="T502" s="123"/>
      <c r="U502" s="92"/>
      <c r="V502" s="92"/>
      <c r="W502" s="92"/>
      <c r="X502" s="92"/>
      <c r="Y502" s="92"/>
      <c r="Z502" s="92"/>
      <c r="AA502" s="92"/>
      <c r="AB502" s="92"/>
      <c r="AC502" s="92"/>
      <c r="AD502" s="124"/>
      <c r="AE502" s="92"/>
      <c r="AF502" s="92"/>
      <c r="AG502" s="92"/>
      <c r="AH502" s="92"/>
    </row>
    <row r="503" spans="1:34" ht="15.75" customHeight="1">
      <c r="A503" s="92"/>
      <c r="B503" s="92"/>
      <c r="C503" s="92"/>
      <c r="D503" s="92"/>
      <c r="E503" s="92"/>
      <c r="F503" s="92"/>
      <c r="G503" s="92"/>
      <c r="H503" s="122"/>
      <c r="I503" s="123"/>
      <c r="J503" s="124"/>
      <c r="K503" s="124"/>
      <c r="L503" s="124"/>
      <c r="M503" s="92"/>
      <c r="N503" s="125"/>
      <c r="O503" s="126"/>
      <c r="P503" s="126"/>
      <c r="Q503" s="127"/>
      <c r="R503" s="127"/>
      <c r="S503" s="126"/>
      <c r="T503" s="123"/>
      <c r="U503" s="92"/>
      <c r="V503" s="92"/>
      <c r="W503" s="92"/>
      <c r="X503" s="92"/>
      <c r="Y503" s="92"/>
      <c r="Z503" s="92"/>
      <c r="AA503" s="92"/>
      <c r="AB503" s="92"/>
      <c r="AC503" s="92"/>
      <c r="AD503" s="124"/>
      <c r="AE503" s="92"/>
      <c r="AF503" s="92"/>
      <c r="AG503" s="92"/>
      <c r="AH503" s="92"/>
    </row>
    <row r="504" spans="1:34" ht="15.75" customHeight="1">
      <c r="A504" s="92"/>
      <c r="B504" s="92"/>
      <c r="C504" s="92"/>
      <c r="D504" s="92"/>
      <c r="E504" s="92"/>
      <c r="F504" s="92"/>
      <c r="G504" s="92"/>
      <c r="H504" s="122"/>
      <c r="I504" s="123"/>
      <c r="J504" s="124"/>
      <c r="K504" s="124"/>
      <c r="L504" s="124"/>
      <c r="M504" s="92"/>
      <c r="N504" s="125"/>
      <c r="O504" s="126"/>
      <c r="P504" s="126"/>
      <c r="Q504" s="127"/>
      <c r="R504" s="127"/>
      <c r="S504" s="126"/>
      <c r="T504" s="123"/>
      <c r="U504" s="92"/>
      <c r="V504" s="92"/>
      <c r="W504" s="92"/>
      <c r="X504" s="92"/>
      <c r="Y504" s="92"/>
      <c r="Z504" s="92"/>
      <c r="AA504" s="92"/>
      <c r="AB504" s="92"/>
      <c r="AC504" s="92"/>
      <c r="AD504" s="124"/>
      <c r="AE504" s="92"/>
      <c r="AF504" s="92"/>
      <c r="AG504" s="92"/>
      <c r="AH504" s="92"/>
    </row>
    <row r="505" spans="1:34" ht="15.75" customHeight="1">
      <c r="A505" s="92"/>
      <c r="B505" s="92"/>
      <c r="C505" s="92"/>
      <c r="D505" s="92"/>
      <c r="E505" s="92"/>
      <c r="F505" s="92"/>
      <c r="G505" s="92"/>
      <c r="H505" s="122"/>
      <c r="I505" s="123"/>
      <c r="J505" s="124"/>
      <c r="K505" s="124"/>
      <c r="L505" s="124"/>
      <c r="M505" s="92"/>
      <c r="N505" s="125"/>
      <c r="O505" s="126"/>
      <c r="P505" s="126"/>
      <c r="Q505" s="127"/>
      <c r="R505" s="127"/>
      <c r="S505" s="126"/>
      <c r="T505" s="123"/>
      <c r="U505" s="92"/>
      <c r="V505" s="92"/>
      <c r="W505" s="92"/>
      <c r="X505" s="92"/>
      <c r="Y505" s="92"/>
      <c r="Z505" s="92"/>
      <c r="AA505" s="92"/>
      <c r="AB505" s="92"/>
      <c r="AC505" s="92"/>
      <c r="AD505" s="124"/>
      <c r="AE505" s="92"/>
      <c r="AF505" s="92"/>
      <c r="AG505" s="92"/>
      <c r="AH505" s="92"/>
    </row>
    <row r="506" spans="1:34" ht="15.75" customHeight="1">
      <c r="A506" s="92"/>
      <c r="B506" s="92"/>
      <c r="C506" s="92"/>
      <c r="D506" s="92"/>
      <c r="E506" s="92"/>
      <c r="F506" s="92"/>
      <c r="G506" s="92"/>
      <c r="H506" s="122"/>
      <c r="I506" s="123"/>
      <c r="J506" s="124"/>
      <c r="K506" s="124"/>
      <c r="L506" s="124"/>
      <c r="M506" s="92"/>
      <c r="N506" s="125"/>
      <c r="O506" s="126"/>
      <c r="P506" s="126"/>
      <c r="Q506" s="127"/>
      <c r="R506" s="127"/>
      <c r="S506" s="126"/>
      <c r="T506" s="123"/>
      <c r="U506" s="92"/>
      <c r="V506" s="92"/>
      <c r="W506" s="92"/>
      <c r="X506" s="92"/>
      <c r="Y506" s="92"/>
      <c r="Z506" s="92"/>
      <c r="AA506" s="92"/>
      <c r="AB506" s="92"/>
      <c r="AC506" s="92"/>
      <c r="AD506" s="124"/>
      <c r="AE506" s="92"/>
      <c r="AF506" s="92"/>
      <c r="AG506" s="92"/>
      <c r="AH506" s="92"/>
    </row>
    <row r="507" spans="1:34" ht="15.75" customHeight="1">
      <c r="A507" s="92"/>
      <c r="B507" s="92"/>
      <c r="C507" s="92"/>
      <c r="D507" s="92"/>
      <c r="E507" s="92"/>
      <c r="F507" s="92"/>
      <c r="G507" s="92"/>
      <c r="H507" s="122"/>
      <c r="I507" s="123"/>
      <c r="J507" s="124"/>
      <c r="K507" s="124"/>
      <c r="L507" s="124"/>
      <c r="M507" s="92"/>
      <c r="N507" s="125"/>
      <c r="O507" s="126"/>
      <c r="P507" s="126"/>
      <c r="Q507" s="127"/>
      <c r="R507" s="127"/>
      <c r="S507" s="126"/>
      <c r="T507" s="123"/>
      <c r="U507" s="92"/>
      <c r="V507" s="92"/>
      <c r="W507" s="92"/>
      <c r="X507" s="92"/>
      <c r="Y507" s="92"/>
      <c r="Z507" s="92"/>
      <c r="AA507" s="92"/>
      <c r="AB507" s="92"/>
      <c r="AC507" s="92"/>
      <c r="AD507" s="124"/>
      <c r="AE507" s="92"/>
      <c r="AF507" s="92"/>
      <c r="AG507" s="92"/>
      <c r="AH507" s="92"/>
    </row>
    <row r="508" spans="1:34" ht="15.75" customHeight="1">
      <c r="A508" s="92"/>
      <c r="B508" s="92"/>
      <c r="C508" s="92"/>
      <c r="D508" s="92"/>
      <c r="E508" s="92"/>
      <c r="F508" s="92"/>
      <c r="G508" s="92"/>
      <c r="H508" s="122"/>
      <c r="I508" s="123"/>
      <c r="J508" s="124"/>
      <c r="K508" s="124"/>
      <c r="L508" s="124"/>
      <c r="M508" s="92"/>
      <c r="N508" s="125"/>
      <c r="O508" s="126"/>
      <c r="P508" s="126"/>
      <c r="Q508" s="127"/>
      <c r="R508" s="127"/>
      <c r="S508" s="126"/>
      <c r="T508" s="123"/>
      <c r="U508" s="92"/>
      <c r="V508" s="92"/>
      <c r="W508" s="92"/>
      <c r="X508" s="92"/>
      <c r="Y508" s="92"/>
      <c r="Z508" s="92"/>
      <c r="AA508" s="92"/>
      <c r="AB508" s="92"/>
      <c r="AC508" s="92"/>
      <c r="AD508" s="124"/>
      <c r="AE508" s="92"/>
      <c r="AF508" s="92"/>
      <c r="AG508" s="92"/>
      <c r="AH508" s="92"/>
    </row>
    <row r="509" spans="1:34" ht="15.75" customHeight="1">
      <c r="A509" s="92"/>
      <c r="B509" s="92"/>
      <c r="C509" s="92"/>
      <c r="D509" s="92"/>
      <c r="E509" s="92"/>
      <c r="F509" s="92"/>
      <c r="G509" s="92"/>
      <c r="H509" s="122"/>
      <c r="I509" s="123"/>
      <c r="J509" s="124"/>
      <c r="K509" s="124"/>
      <c r="L509" s="124"/>
      <c r="M509" s="92"/>
      <c r="N509" s="125"/>
      <c r="O509" s="126"/>
      <c r="P509" s="126"/>
      <c r="Q509" s="127"/>
      <c r="R509" s="127"/>
      <c r="S509" s="126"/>
      <c r="T509" s="123"/>
      <c r="U509" s="92"/>
      <c r="V509" s="92"/>
      <c r="W509" s="92"/>
      <c r="X509" s="92"/>
      <c r="Y509" s="92"/>
      <c r="Z509" s="92"/>
      <c r="AA509" s="92"/>
      <c r="AB509" s="92"/>
      <c r="AC509" s="92"/>
      <c r="AD509" s="124"/>
      <c r="AE509" s="92"/>
      <c r="AF509" s="92"/>
      <c r="AG509" s="92"/>
      <c r="AH509" s="92"/>
    </row>
    <row r="510" spans="1:34" ht="15.75" customHeight="1">
      <c r="A510" s="92"/>
      <c r="B510" s="92"/>
      <c r="C510" s="92"/>
      <c r="D510" s="92"/>
      <c r="E510" s="92"/>
      <c r="F510" s="92"/>
      <c r="G510" s="92"/>
      <c r="H510" s="122"/>
      <c r="I510" s="123"/>
      <c r="J510" s="124"/>
      <c r="K510" s="124"/>
      <c r="L510" s="124"/>
      <c r="M510" s="92"/>
      <c r="N510" s="125"/>
      <c r="O510" s="126"/>
      <c r="P510" s="126"/>
      <c r="Q510" s="127"/>
      <c r="R510" s="127"/>
      <c r="S510" s="126"/>
      <c r="T510" s="123"/>
      <c r="U510" s="92"/>
      <c r="V510" s="92"/>
      <c r="W510" s="92"/>
      <c r="X510" s="92"/>
      <c r="Y510" s="92"/>
      <c r="Z510" s="92"/>
      <c r="AA510" s="92"/>
      <c r="AB510" s="92"/>
      <c r="AC510" s="92"/>
      <c r="AD510" s="124"/>
      <c r="AE510" s="92"/>
      <c r="AF510" s="92"/>
      <c r="AG510" s="92"/>
      <c r="AH510" s="92"/>
    </row>
    <row r="511" spans="1:34" ht="15.75" customHeight="1">
      <c r="A511" s="92"/>
      <c r="B511" s="92"/>
      <c r="C511" s="92"/>
      <c r="D511" s="92"/>
      <c r="E511" s="92"/>
      <c r="F511" s="92"/>
      <c r="G511" s="92"/>
      <c r="H511" s="122"/>
      <c r="I511" s="123"/>
      <c r="J511" s="124"/>
      <c r="K511" s="124"/>
      <c r="L511" s="124"/>
      <c r="M511" s="92"/>
      <c r="N511" s="125"/>
      <c r="O511" s="126"/>
      <c r="P511" s="126"/>
      <c r="Q511" s="127"/>
      <c r="R511" s="127"/>
      <c r="S511" s="126"/>
      <c r="T511" s="123"/>
      <c r="U511" s="92"/>
      <c r="V511" s="92"/>
      <c r="W511" s="92"/>
      <c r="X511" s="92"/>
      <c r="Y511" s="92"/>
      <c r="Z511" s="92"/>
      <c r="AA511" s="92"/>
      <c r="AB511" s="92"/>
      <c r="AC511" s="92"/>
      <c r="AD511" s="124"/>
      <c r="AE511" s="92"/>
      <c r="AF511" s="92"/>
      <c r="AG511" s="92"/>
      <c r="AH511" s="92"/>
    </row>
    <row r="512" spans="1:34" ht="15.75" customHeight="1">
      <c r="A512" s="92"/>
      <c r="B512" s="92"/>
      <c r="C512" s="92"/>
      <c r="D512" s="92"/>
      <c r="E512" s="92"/>
      <c r="F512" s="92"/>
      <c r="G512" s="92"/>
      <c r="H512" s="122"/>
      <c r="I512" s="123"/>
      <c r="J512" s="124"/>
      <c r="K512" s="124"/>
      <c r="L512" s="124"/>
      <c r="M512" s="92"/>
      <c r="N512" s="125"/>
      <c r="O512" s="126"/>
      <c r="P512" s="126"/>
      <c r="Q512" s="127"/>
      <c r="R512" s="127"/>
      <c r="S512" s="126"/>
      <c r="T512" s="123"/>
      <c r="U512" s="92"/>
      <c r="V512" s="92"/>
      <c r="W512" s="92"/>
      <c r="X512" s="92"/>
      <c r="Y512" s="92"/>
      <c r="Z512" s="92"/>
      <c r="AA512" s="92"/>
      <c r="AB512" s="92"/>
      <c r="AC512" s="92"/>
      <c r="AD512" s="124"/>
      <c r="AE512" s="92"/>
      <c r="AF512" s="92"/>
      <c r="AG512" s="92"/>
      <c r="AH512" s="92"/>
    </row>
    <row r="513" spans="1:34" ht="15.75" customHeight="1">
      <c r="A513" s="92"/>
      <c r="B513" s="92"/>
      <c r="C513" s="92"/>
      <c r="D513" s="92"/>
      <c r="E513" s="92"/>
      <c r="F513" s="92"/>
      <c r="G513" s="92"/>
      <c r="H513" s="122"/>
      <c r="I513" s="123"/>
      <c r="J513" s="124"/>
      <c r="K513" s="124"/>
      <c r="L513" s="124"/>
      <c r="M513" s="92"/>
      <c r="N513" s="125"/>
      <c r="O513" s="126"/>
      <c r="P513" s="126"/>
      <c r="Q513" s="127"/>
      <c r="R513" s="127"/>
      <c r="S513" s="126"/>
      <c r="T513" s="123"/>
      <c r="U513" s="92"/>
      <c r="V513" s="92"/>
      <c r="W513" s="92"/>
      <c r="X513" s="92"/>
      <c r="Y513" s="92"/>
      <c r="Z513" s="92"/>
      <c r="AA513" s="92"/>
      <c r="AB513" s="92"/>
      <c r="AC513" s="92"/>
      <c r="AD513" s="124"/>
      <c r="AE513" s="92"/>
      <c r="AF513" s="92"/>
      <c r="AG513" s="92"/>
      <c r="AH513" s="92"/>
    </row>
    <row r="514" spans="1:34" ht="15.75" customHeight="1">
      <c r="N514" s="129"/>
    </row>
    <row r="515" spans="1:34" ht="15.75" customHeight="1">
      <c r="N515" s="129"/>
    </row>
    <row r="516" spans="1:34" ht="15.75" customHeight="1">
      <c r="N516" s="129"/>
    </row>
    <row r="517" spans="1:34" ht="15.75" customHeight="1">
      <c r="N517" s="129"/>
    </row>
    <row r="518" spans="1:34" ht="15.75" customHeight="1">
      <c r="N518" s="129"/>
    </row>
    <row r="519" spans="1:34" ht="15.75" customHeight="1">
      <c r="N519" s="129"/>
    </row>
    <row r="520" spans="1:34" ht="15.75" customHeight="1">
      <c r="N520" s="129"/>
    </row>
    <row r="521" spans="1:34" ht="15.75" customHeight="1">
      <c r="N521" s="129"/>
    </row>
    <row r="522" spans="1:34" ht="15.75" customHeight="1">
      <c r="N522" s="129"/>
    </row>
    <row r="523" spans="1:34" ht="15.75" customHeight="1">
      <c r="N523" s="129"/>
    </row>
    <row r="524" spans="1:34" ht="15.75" customHeight="1">
      <c r="N524" s="129"/>
    </row>
    <row r="525" spans="1:34" ht="15.75" customHeight="1">
      <c r="N525" s="129"/>
    </row>
    <row r="526" spans="1:34" ht="15.75" customHeight="1">
      <c r="N526" s="129"/>
    </row>
    <row r="527" spans="1:34" ht="15.75" customHeight="1">
      <c r="N527" s="129"/>
    </row>
    <row r="528" spans="1:34" ht="15.75" customHeight="1">
      <c r="N528" s="129"/>
    </row>
    <row r="529" spans="14:14">
      <c r="N529" s="129"/>
    </row>
    <row r="530" spans="14:14">
      <c r="N530" s="129"/>
    </row>
    <row r="531" spans="14:14">
      <c r="N531" s="129"/>
    </row>
    <row r="532" spans="14:14">
      <c r="N532" s="129"/>
    </row>
    <row r="533" spans="14:14">
      <c r="N533" s="129"/>
    </row>
    <row r="534" spans="14:14">
      <c r="N534" s="129"/>
    </row>
    <row r="535" spans="14:14">
      <c r="N535" s="129"/>
    </row>
    <row r="536" spans="14:14">
      <c r="N536" s="129"/>
    </row>
    <row r="537" spans="14:14">
      <c r="N537" s="129"/>
    </row>
    <row r="538" spans="14:14">
      <c r="N538" s="129"/>
    </row>
    <row r="539" spans="14:14">
      <c r="N539" s="129"/>
    </row>
    <row r="540" spans="14:14">
      <c r="N540" s="129"/>
    </row>
    <row r="541" spans="14:14">
      <c r="N541" s="129"/>
    </row>
    <row r="542" spans="14:14">
      <c r="N542" s="129"/>
    </row>
    <row r="543" spans="14:14">
      <c r="N543" s="129"/>
    </row>
    <row r="544" spans="14:14">
      <c r="N544" s="129"/>
    </row>
    <row r="545" spans="14:14">
      <c r="N545" s="129"/>
    </row>
    <row r="546" spans="14:14">
      <c r="N546" s="129"/>
    </row>
    <row r="547" spans="14:14">
      <c r="N547" s="129"/>
    </row>
    <row r="548" spans="14:14">
      <c r="N548" s="129"/>
    </row>
    <row r="549" spans="14:14">
      <c r="N549" s="129"/>
    </row>
    <row r="550" spans="14:14">
      <c r="N550" s="129"/>
    </row>
    <row r="551" spans="14:14">
      <c r="N551" s="129"/>
    </row>
    <row r="552" spans="14:14">
      <c r="N552" s="129"/>
    </row>
    <row r="553" spans="14:14">
      <c r="N553" s="129"/>
    </row>
    <row r="554" spans="14:14">
      <c r="N554" s="129"/>
    </row>
    <row r="555" spans="14:14">
      <c r="N555" s="129"/>
    </row>
    <row r="556" spans="14:14">
      <c r="N556" s="129"/>
    </row>
    <row r="557" spans="14:14">
      <c r="N557" s="129"/>
    </row>
    <row r="558" spans="14:14">
      <c r="N558" s="129"/>
    </row>
    <row r="559" spans="14:14">
      <c r="N559" s="129"/>
    </row>
    <row r="560" spans="14:14">
      <c r="N560" s="129"/>
    </row>
    <row r="561" spans="14:14">
      <c r="N561" s="129"/>
    </row>
    <row r="562" spans="14:14">
      <c r="N562" s="129"/>
    </row>
    <row r="563" spans="14:14">
      <c r="N563" s="129"/>
    </row>
    <row r="564" spans="14:14">
      <c r="N564" s="129"/>
    </row>
    <row r="565" spans="14:14">
      <c r="N565" s="129"/>
    </row>
    <row r="566" spans="14:14">
      <c r="N566" s="129"/>
    </row>
    <row r="567" spans="14:14">
      <c r="N567" s="129"/>
    </row>
    <row r="568" spans="14:14">
      <c r="N568" s="129"/>
    </row>
    <row r="569" spans="14:14">
      <c r="N569" s="129"/>
    </row>
    <row r="570" spans="14:14">
      <c r="N570" s="129"/>
    </row>
    <row r="571" spans="14:14">
      <c r="N571" s="129"/>
    </row>
    <row r="572" spans="14:14">
      <c r="N572" s="129"/>
    </row>
    <row r="573" spans="14:14">
      <c r="N573" s="129"/>
    </row>
    <row r="574" spans="14:14">
      <c r="N574" s="129"/>
    </row>
    <row r="575" spans="14:14">
      <c r="N575" s="129"/>
    </row>
    <row r="576" spans="14:14">
      <c r="N576" s="129"/>
    </row>
    <row r="577" spans="14:14">
      <c r="N577" s="129"/>
    </row>
    <row r="578" spans="14:14">
      <c r="N578" s="129"/>
    </row>
    <row r="579" spans="14:14">
      <c r="N579" s="129"/>
    </row>
    <row r="580" spans="14:14">
      <c r="N580" s="129"/>
    </row>
    <row r="581" spans="14:14">
      <c r="N581" s="129"/>
    </row>
    <row r="582" spans="14:14">
      <c r="N582" s="129"/>
    </row>
    <row r="583" spans="14:14">
      <c r="N583" s="129"/>
    </row>
    <row r="584" spans="14:14">
      <c r="N584" s="129"/>
    </row>
    <row r="585" spans="14:14">
      <c r="N585" s="129"/>
    </row>
    <row r="586" spans="14:14">
      <c r="N586" s="129"/>
    </row>
    <row r="587" spans="14:14">
      <c r="N587" s="129"/>
    </row>
    <row r="588" spans="14:14">
      <c r="N588" s="129"/>
    </row>
    <row r="589" spans="14:14">
      <c r="N589" s="129"/>
    </row>
    <row r="590" spans="14:14">
      <c r="N590" s="129"/>
    </row>
    <row r="591" spans="14:14">
      <c r="N591" s="129"/>
    </row>
    <row r="592" spans="14:14">
      <c r="N592" s="129"/>
    </row>
    <row r="593" spans="14:14">
      <c r="N593" s="129"/>
    </row>
    <row r="594" spans="14:14">
      <c r="N594" s="129"/>
    </row>
    <row r="595" spans="14:14">
      <c r="N595" s="129"/>
    </row>
    <row r="596" spans="14:14">
      <c r="N596" s="129"/>
    </row>
    <row r="597" spans="14:14">
      <c r="N597" s="129"/>
    </row>
    <row r="598" spans="14:14">
      <c r="N598" s="129"/>
    </row>
    <row r="599" spans="14:14">
      <c r="N599" s="129"/>
    </row>
    <row r="600" spans="14:14">
      <c r="N600" s="129"/>
    </row>
    <row r="601" spans="14:14">
      <c r="N601" s="129"/>
    </row>
    <row r="602" spans="14:14">
      <c r="N602" s="129"/>
    </row>
    <row r="603" spans="14:14">
      <c r="N603" s="129"/>
    </row>
    <row r="604" spans="14:14">
      <c r="N604" s="129"/>
    </row>
    <row r="605" spans="14:14">
      <c r="N605" s="129"/>
    </row>
    <row r="606" spans="14:14">
      <c r="N606" s="129"/>
    </row>
    <row r="607" spans="14:14">
      <c r="N607" s="129"/>
    </row>
    <row r="608" spans="14:14">
      <c r="N608" s="129"/>
    </row>
    <row r="609" spans="14:14">
      <c r="N609" s="129"/>
    </row>
    <row r="610" spans="14:14">
      <c r="N610" s="129"/>
    </row>
    <row r="611" spans="14:14">
      <c r="N611" s="129"/>
    </row>
    <row r="612" spans="14:14">
      <c r="N612" s="129"/>
    </row>
    <row r="613" spans="14:14">
      <c r="N613" s="129"/>
    </row>
    <row r="614" spans="14:14">
      <c r="N614" s="129"/>
    </row>
    <row r="615" spans="14:14">
      <c r="N615" s="129"/>
    </row>
    <row r="616" spans="14:14">
      <c r="N616" s="129"/>
    </row>
    <row r="617" spans="14:14">
      <c r="N617" s="129"/>
    </row>
    <row r="618" spans="14:14">
      <c r="N618" s="129"/>
    </row>
    <row r="619" spans="14:14">
      <c r="N619" s="129"/>
    </row>
    <row r="620" spans="14:14">
      <c r="N620" s="129"/>
    </row>
    <row r="621" spans="14:14">
      <c r="N621" s="129"/>
    </row>
    <row r="622" spans="14:14">
      <c r="N622" s="129"/>
    </row>
    <row r="623" spans="14:14">
      <c r="N623" s="129"/>
    </row>
    <row r="624" spans="14:14">
      <c r="N624" s="129"/>
    </row>
    <row r="625" spans="14:14">
      <c r="N625" s="129"/>
    </row>
    <row r="626" spans="14:14">
      <c r="N626" s="129"/>
    </row>
    <row r="627" spans="14:14">
      <c r="N627" s="129"/>
    </row>
    <row r="628" spans="14:14">
      <c r="N628" s="129"/>
    </row>
    <row r="629" spans="14:14">
      <c r="N629" s="129"/>
    </row>
    <row r="630" spans="14:14">
      <c r="N630" s="129"/>
    </row>
    <row r="631" spans="14:14">
      <c r="N631" s="129"/>
    </row>
    <row r="632" spans="14:14">
      <c r="N632" s="129"/>
    </row>
    <row r="633" spans="14:14">
      <c r="N633" s="129"/>
    </row>
    <row r="634" spans="14:14">
      <c r="N634" s="129"/>
    </row>
    <row r="635" spans="14:14">
      <c r="N635" s="129"/>
    </row>
    <row r="636" spans="14:14">
      <c r="N636" s="129"/>
    </row>
    <row r="637" spans="14:14">
      <c r="N637" s="129"/>
    </row>
    <row r="638" spans="14:14">
      <c r="N638" s="129"/>
    </row>
    <row r="639" spans="14:14">
      <c r="N639" s="129"/>
    </row>
    <row r="640" spans="14:14">
      <c r="N640" s="129"/>
    </row>
    <row r="641" spans="14:14">
      <c r="N641" s="129"/>
    </row>
    <row r="642" spans="14:14">
      <c r="N642" s="129"/>
    </row>
    <row r="643" spans="14:14">
      <c r="N643" s="129"/>
    </row>
    <row r="644" spans="14:14">
      <c r="N644" s="129"/>
    </row>
    <row r="645" spans="14:14">
      <c r="N645" s="129"/>
    </row>
    <row r="646" spans="14:14">
      <c r="N646" s="129"/>
    </row>
    <row r="647" spans="14:14">
      <c r="N647" s="129"/>
    </row>
    <row r="648" spans="14:14">
      <c r="N648" s="129"/>
    </row>
    <row r="649" spans="14:14">
      <c r="N649" s="129"/>
    </row>
    <row r="650" spans="14:14">
      <c r="N650" s="129"/>
    </row>
    <row r="651" spans="14:14">
      <c r="N651" s="129"/>
    </row>
    <row r="652" spans="14:14">
      <c r="N652" s="129"/>
    </row>
    <row r="653" spans="14:14">
      <c r="N653" s="129"/>
    </row>
    <row r="654" spans="14:14">
      <c r="N654" s="129"/>
    </row>
    <row r="655" spans="14:14">
      <c r="N655" s="129"/>
    </row>
    <row r="656" spans="14:14">
      <c r="N656" s="129"/>
    </row>
    <row r="657" spans="14:14">
      <c r="N657" s="129"/>
    </row>
    <row r="658" spans="14:14">
      <c r="N658" s="129"/>
    </row>
    <row r="659" spans="14:14">
      <c r="N659" s="129"/>
    </row>
    <row r="660" spans="14:14">
      <c r="N660" s="129"/>
    </row>
    <row r="661" spans="14:14">
      <c r="N661" s="129"/>
    </row>
    <row r="662" spans="14:14">
      <c r="N662" s="129"/>
    </row>
    <row r="663" spans="14:14">
      <c r="N663" s="129"/>
    </row>
    <row r="664" spans="14:14">
      <c r="N664" s="129"/>
    </row>
    <row r="665" spans="14:14">
      <c r="N665" s="129"/>
    </row>
    <row r="666" spans="14:14">
      <c r="N666" s="129"/>
    </row>
    <row r="667" spans="14:14">
      <c r="N667" s="129"/>
    </row>
    <row r="668" spans="14:14">
      <c r="N668" s="129"/>
    </row>
    <row r="669" spans="14:14">
      <c r="N669" s="129"/>
    </row>
    <row r="670" spans="14:14">
      <c r="N670" s="129"/>
    </row>
    <row r="671" spans="14:14">
      <c r="N671" s="129"/>
    </row>
    <row r="672" spans="14:14">
      <c r="N672" s="129"/>
    </row>
    <row r="673" spans="14:14">
      <c r="N673" s="129"/>
    </row>
    <row r="674" spans="14:14">
      <c r="N674" s="129"/>
    </row>
    <row r="675" spans="14:14">
      <c r="N675" s="129"/>
    </row>
    <row r="676" spans="14:14">
      <c r="N676" s="129"/>
    </row>
    <row r="677" spans="14:14">
      <c r="N677" s="129"/>
    </row>
    <row r="678" spans="14:14">
      <c r="N678" s="129"/>
    </row>
    <row r="679" spans="14:14">
      <c r="N679" s="129"/>
    </row>
    <row r="680" spans="14:14">
      <c r="N680" s="129"/>
    </row>
    <row r="681" spans="14:14">
      <c r="N681" s="129"/>
    </row>
    <row r="682" spans="14:14">
      <c r="N682" s="129"/>
    </row>
    <row r="683" spans="14:14">
      <c r="N683" s="129"/>
    </row>
    <row r="684" spans="14:14">
      <c r="N684" s="129"/>
    </row>
    <row r="685" spans="14:14">
      <c r="N685" s="129"/>
    </row>
    <row r="686" spans="14:14">
      <c r="N686" s="129"/>
    </row>
    <row r="687" spans="14:14">
      <c r="N687" s="129"/>
    </row>
    <row r="688" spans="14:14">
      <c r="N688" s="129"/>
    </row>
    <row r="689" spans="14:14">
      <c r="N689" s="129"/>
    </row>
    <row r="690" spans="14:14">
      <c r="N690" s="129"/>
    </row>
    <row r="691" spans="14:14">
      <c r="N691" s="129"/>
    </row>
    <row r="692" spans="14:14">
      <c r="N692" s="129"/>
    </row>
    <row r="693" spans="14:14">
      <c r="N693" s="129"/>
    </row>
    <row r="694" spans="14:14">
      <c r="N694" s="129"/>
    </row>
    <row r="695" spans="14:14">
      <c r="N695" s="129"/>
    </row>
    <row r="696" spans="14:14">
      <c r="N696" s="129"/>
    </row>
    <row r="697" spans="14:14">
      <c r="N697" s="129"/>
    </row>
    <row r="698" spans="14:14">
      <c r="N698" s="129"/>
    </row>
    <row r="699" spans="14:14">
      <c r="N699" s="129"/>
    </row>
    <row r="700" spans="14:14">
      <c r="N700" s="129"/>
    </row>
    <row r="701" spans="14:14">
      <c r="N701" s="129"/>
    </row>
    <row r="702" spans="14:14">
      <c r="N702" s="129"/>
    </row>
    <row r="703" spans="14:14">
      <c r="N703" s="129"/>
    </row>
    <row r="704" spans="14:14">
      <c r="N704" s="129"/>
    </row>
    <row r="705" spans="14:14">
      <c r="N705" s="129"/>
    </row>
    <row r="706" spans="14:14">
      <c r="N706" s="129"/>
    </row>
    <row r="707" spans="14:14">
      <c r="N707" s="129"/>
    </row>
    <row r="708" spans="14:14">
      <c r="N708" s="129"/>
    </row>
    <row r="709" spans="14:14">
      <c r="N709" s="129"/>
    </row>
    <row r="710" spans="14:14">
      <c r="N710" s="129"/>
    </row>
    <row r="711" spans="14:14">
      <c r="N711" s="129"/>
    </row>
    <row r="712" spans="14:14">
      <c r="N712" s="129"/>
    </row>
    <row r="713" spans="14:14">
      <c r="N713" s="129"/>
    </row>
    <row r="714" spans="14:14">
      <c r="N714" s="129"/>
    </row>
    <row r="715" spans="14:14">
      <c r="N715" s="129"/>
    </row>
    <row r="716" spans="14:14">
      <c r="N716" s="129"/>
    </row>
    <row r="717" spans="14:14">
      <c r="N717" s="129"/>
    </row>
    <row r="718" spans="14:14">
      <c r="N718" s="129"/>
    </row>
    <row r="719" spans="14:14">
      <c r="N719" s="129"/>
    </row>
    <row r="720" spans="14:14">
      <c r="N720" s="129"/>
    </row>
    <row r="721" spans="14:14">
      <c r="N721" s="129"/>
    </row>
    <row r="722" spans="14:14">
      <c r="N722" s="129"/>
    </row>
    <row r="723" spans="14:14">
      <c r="N723" s="129"/>
    </row>
    <row r="724" spans="14:14">
      <c r="N724" s="129"/>
    </row>
    <row r="725" spans="14:14">
      <c r="N725" s="129"/>
    </row>
    <row r="726" spans="14:14">
      <c r="N726" s="129"/>
    </row>
    <row r="727" spans="14:14">
      <c r="N727" s="129"/>
    </row>
    <row r="728" spans="14:14">
      <c r="N728" s="129"/>
    </row>
    <row r="729" spans="14:14">
      <c r="N729" s="129"/>
    </row>
    <row r="730" spans="14:14">
      <c r="N730" s="129"/>
    </row>
    <row r="731" spans="14:14">
      <c r="N731" s="129"/>
    </row>
    <row r="732" spans="14:14">
      <c r="N732" s="129"/>
    </row>
    <row r="733" spans="14:14">
      <c r="N733" s="129"/>
    </row>
    <row r="734" spans="14:14">
      <c r="N734" s="129"/>
    </row>
    <row r="735" spans="14:14">
      <c r="N735" s="129"/>
    </row>
    <row r="736" spans="14:14">
      <c r="N736" s="129"/>
    </row>
    <row r="737" spans="14:14">
      <c r="N737" s="129"/>
    </row>
    <row r="738" spans="14:14">
      <c r="N738" s="129"/>
    </row>
    <row r="739" spans="14:14">
      <c r="N739" s="129"/>
    </row>
    <row r="740" spans="14:14">
      <c r="N740" s="129"/>
    </row>
    <row r="741" spans="14:14">
      <c r="N741" s="129"/>
    </row>
    <row r="742" spans="14:14">
      <c r="N742" s="129"/>
    </row>
    <row r="743" spans="14:14">
      <c r="N743" s="129"/>
    </row>
    <row r="744" spans="14:14">
      <c r="N744" s="129"/>
    </row>
    <row r="745" spans="14:14">
      <c r="N745" s="129"/>
    </row>
    <row r="746" spans="14:14">
      <c r="N746" s="129"/>
    </row>
    <row r="747" spans="14:14">
      <c r="N747" s="129"/>
    </row>
    <row r="748" spans="14:14">
      <c r="N748" s="129"/>
    </row>
    <row r="749" spans="14:14">
      <c r="N749" s="129"/>
    </row>
    <row r="750" spans="14:14">
      <c r="N750" s="129"/>
    </row>
    <row r="751" spans="14:14">
      <c r="N751" s="129"/>
    </row>
    <row r="752" spans="14:14">
      <c r="N752" s="129"/>
    </row>
    <row r="753" spans="14:14">
      <c r="N753" s="129"/>
    </row>
    <row r="754" spans="14:14">
      <c r="N754" s="129"/>
    </row>
    <row r="755" spans="14:14">
      <c r="N755" s="129"/>
    </row>
    <row r="756" spans="14:14">
      <c r="N756" s="129"/>
    </row>
    <row r="757" spans="14:14">
      <c r="N757" s="129"/>
    </row>
    <row r="758" spans="14:14">
      <c r="N758" s="129"/>
    </row>
    <row r="759" spans="14:14">
      <c r="N759" s="129"/>
    </row>
    <row r="760" spans="14:14">
      <c r="N760" s="129"/>
    </row>
    <row r="761" spans="14:14">
      <c r="N761" s="129"/>
    </row>
    <row r="762" spans="14:14">
      <c r="N762" s="129"/>
    </row>
    <row r="763" spans="14:14">
      <c r="N763" s="129"/>
    </row>
    <row r="764" spans="14:14">
      <c r="N764" s="129"/>
    </row>
    <row r="765" spans="14:14">
      <c r="N765" s="129"/>
    </row>
    <row r="766" spans="14:14">
      <c r="N766" s="129"/>
    </row>
    <row r="767" spans="14:14">
      <c r="N767" s="129"/>
    </row>
    <row r="768" spans="14:14">
      <c r="N768" s="129"/>
    </row>
    <row r="769" spans="14:14">
      <c r="N769" s="129"/>
    </row>
    <row r="770" spans="14:14">
      <c r="N770" s="129"/>
    </row>
    <row r="771" spans="14:14">
      <c r="N771" s="129"/>
    </row>
    <row r="772" spans="14:14">
      <c r="N772" s="129"/>
    </row>
    <row r="773" spans="14:14">
      <c r="N773" s="129"/>
    </row>
    <row r="774" spans="14:14">
      <c r="N774" s="129"/>
    </row>
    <row r="775" spans="14:14">
      <c r="N775" s="129"/>
    </row>
    <row r="776" spans="14:14">
      <c r="N776" s="129"/>
    </row>
    <row r="777" spans="14:14">
      <c r="N777" s="129"/>
    </row>
    <row r="778" spans="14:14">
      <c r="N778" s="129"/>
    </row>
    <row r="779" spans="14:14">
      <c r="N779" s="129"/>
    </row>
    <row r="780" spans="14:14">
      <c r="N780" s="129"/>
    </row>
    <row r="781" spans="14:14">
      <c r="N781" s="129"/>
    </row>
    <row r="782" spans="14:14">
      <c r="N782" s="129"/>
    </row>
    <row r="783" spans="14:14">
      <c r="N783" s="129"/>
    </row>
    <row r="784" spans="14:14">
      <c r="N784" s="129"/>
    </row>
    <row r="785" spans="14:14">
      <c r="N785" s="129"/>
    </row>
    <row r="786" spans="14:14">
      <c r="N786" s="129"/>
    </row>
    <row r="787" spans="14:14">
      <c r="N787" s="129"/>
    </row>
    <row r="788" spans="14:14">
      <c r="N788" s="129"/>
    </row>
    <row r="789" spans="14:14">
      <c r="N789" s="129"/>
    </row>
    <row r="790" spans="14:14">
      <c r="N790" s="129"/>
    </row>
    <row r="791" spans="14:14">
      <c r="N791" s="129"/>
    </row>
    <row r="792" spans="14:14">
      <c r="N792" s="129"/>
    </row>
    <row r="793" spans="14:14">
      <c r="N793" s="129"/>
    </row>
    <row r="794" spans="14:14">
      <c r="N794" s="129"/>
    </row>
    <row r="795" spans="14:14">
      <c r="N795" s="129"/>
    </row>
    <row r="796" spans="14:14">
      <c r="N796" s="129"/>
    </row>
    <row r="797" spans="14:14">
      <c r="N797" s="129"/>
    </row>
    <row r="798" spans="14:14">
      <c r="N798" s="129"/>
    </row>
    <row r="799" spans="14:14">
      <c r="N799" s="129"/>
    </row>
    <row r="800" spans="14:14">
      <c r="N800" s="129"/>
    </row>
    <row r="801" spans="14:14">
      <c r="N801" s="129"/>
    </row>
    <row r="802" spans="14:14">
      <c r="N802" s="129"/>
    </row>
    <row r="803" spans="14:14">
      <c r="N803" s="129"/>
    </row>
    <row r="804" spans="14:14">
      <c r="N804" s="129"/>
    </row>
    <row r="805" spans="14:14">
      <c r="N805" s="129"/>
    </row>
    <row r="806" spans="14:14">
      <c r="N806" s="129"/>
    </row>
    <row r="807" spans="14:14">
      <c r="N807" s="129"/>
    </row>
    <row r="808" spans="14:14">
      <c r="N808" s="129"/>
    </row>
    <row r="809" spans="14:14">
      <c r="N809" s="129"/>
    </row>
    <row r="810" spans="14:14">
      <c r="N810" s="129"/>
    </row>
    <row r="811" spans="14:14">
      <c r="N811" s="129"/>
    </row>
    <row r="812" spans="14:14">
      <c r="N812" s="129"/>
    </row>
    <row r="813" spans="14:14">
      <c r="N813" s="129"/>
    </row>
    <row r="814" spans="14:14">
      <c r="N814" s="129"/>
    </row>
    <row r="815" spans="14:14">
      <c r="N815" s="129"/>
    </row>
    <row r="816" spans="14:14">
      <c r="N816" s="129"/>
    </row>
    <row r="817" spans="14:14">
      <c r="N817" s="129"/>
    </row>
    <row r="818" spans="14:14">
      <c r="N818" s="129"/>
    </row>
    <row r="819" spans="14:14">
      <c r="N819" s="129"/>
    </row>
    <row r="820" spans="14:14">
      <c r="N820" s="129"/>
    </row>
    <row r="821" spans="14:14">
      <c r="N821" s="129"/>
    </row>
    <row r="822" spans="14:14">
      <c r="N822" s="129"/>
    </row>
    <row r="823" spans="14:14">
      <c r="N823" s="129"/>
    </row>
    <row r="824" spans="14:14">
      <c r="N824" s="129"/>
    </row>
    <row r="825" spans="14:14">
      <c r="N825" s="129"/>
    </row>
    <row r="826" spans="14:14">
      <c r="N826" s="129"/>
    </row>
    <row r="827" spans="14:14">
      <c r="N827" s="129"/>
    </row>
    <row r="828" spans="14:14">
      <c r="N828" s="129"/>
    </row>
    <row r="829" spans="14:14">
      <c r="N829" s="129"/>
    </row>
    <row r="830" spans="14:14">
      <c r="N830" s="129"/>
    </row>
    <row r="831" spans="14:14">
      <c r="N831" s="129"/>
    </row>
    <row r="832" spans="14:14">
      <c r="N832" s="129"/>
    </row>
    <row r="833" spans="14:14">
      <c r="N833" s="129"/>
    </row>
    <row r="834" spans="14:14">
      <c r="N834" s="129"/>
    </row>
    <row r="835" spans="14:14">
      <c r="N835" s="129"/>
    </row>
    <row r="836" spans="14:14">
      <c r="N836" s="129"/>
    </row>
    <row r="837" spans="14:14">
      <c r="N837" s="129"/>
    </row>
    <row r="838" spans="14:14">
      <c r="N838" s="129"/>
    </row>
    <row r="839" spans="14:14">
      <c r="N839" s="129"/>
    </row>
    <row r="840" spans="14:14">
      <c r="N840" s="129"/>
    </row>
    <row r="841" spans="14:14">
      <c r="N841" s="129"/>
    </row>
    <row r="842" spans="14:14">
      <c r="N842" s="129"/>
    </row>
    <row r="843" spans="14:14">
      <c r="N843" s="129"/>
    </row>
    <row r="844" spans="14:14">
      <c r="N844" s="129"/>
    </row>
    <row r="845" spans="14:14">
      <c r="N845" s="129"/>
    </row>
    <row r="846" spans="14:14">
      <c r="N846" s="129"/>
    </row>
    <row r="847" spans="14:14">
      <c r="N847" s="129"/>
    </row>
    <row r="848" spans="14:14">
      <c r="N848" s="129"/>
    </row>
    <row r="849" spans="14:14">
      <c r="N849" s="129"/>
    </row>
    <row r="850" spans="14:14">
      <c r="N850" s="129"/>
    </row>
    <row r="851" spans="14:14">
      <c r="N851" s="129"/>
    </row>
    <row r="852" spans="14:14">
      <c r="N852" s="129"/>
    </row>
    <row r="853" spans="14:14">
      <c r="N853" s="129"/>
    </row>
    <row r="854" spans="14:14">
      <c r="N854" s="129"/>
    </row>
    <row r="855" spans="14:14">
      <c r="N855" s="129"/>
    </row>
    <row r="856" spans="14:14">
      <c r="N856" s="129"/>
    </row>
    <row r="857" spans="14:14">
      <c r="N857" s="129"/>
    </row>
    <row r="858" spans="14:14">
      <c r="N858" s="129"/>
    </row>
    <row r="859" spans="14:14">
      <c r="N859" s="129"/>
    </row>
    <row r="860" spans="14:14">
      <c r="N860" s="129"/>
    </row>
    <row r="861" spans="14:14">
      <c r="N861" s="129"/>
    </row>
    <row r="862" spans="14:14">
      <c r="N862" s="129"/>
    </row>
    <row r="863" spans="14:14">
      <c r="N863" s="129"/>
    </row>
    <row r="864" spans="14:14">
      <c r="N864" s="129"/>
    </row>
    <row r="865" spans="14:14">
      <c r="N865" s="129"/>
    </row>
    <row r="866" spans="14:14">
      <c r="N866" s="129"/>
    </row>
    <row r="867" spans="14:14">
      <c r="N867" s="129"/>
    </row>
    <row r="868" spans="14:14">
      <c r="N868" s="129"/>
    </row>
    <row r="869" spans="14:14">
      <c r="N869" s="129"/>
    </row>
    <row r="870" spans="14:14">
      <c r="N870" s="129"/>
    </row>
    <row r="871" spans="14:14">
      <c r="N871" s="129"/>
    </row>
    <row r="872" spans="14:14">
      <c r="N872" s="129"/>
    </row>
    <row r="873" spans="14:14">
      <c r="N873" s="129"/>
    </row>
    <row r="874" spans="14:14">
      <c r="N874" s="129"/>
    </row>
    <row r="875" spans="14:14">
      <c r="N875" s="129"/>
    </row>
    <row r="876" spans="14:14">
      <c r="N876" s="129"/>
    </row>
    <row r="877" spans="14:14">
      <c r="N877" s="129"/>
    </row>
    <row r="878" spans="14:14">
      <c r="N878" s="129"/>
    </row>
    <row r="879" spans="14:14">
      <c r="N879" s="129"/>
    </row>
    <row r="880" spans="14:14">
      <c r="N880" s="129"/>
    </row>
    <row r="881" spans="14:14">
      <c r="N881" s="129"/>
    </row>
    <row r="882" spans="14:14">
      <c r="N882" s="129"/>
    </row>
    <row r="883" spans="14:14">
      <c r="N883" s="129"/>
    </row>
    <row r="884" spans="14:14">
      <c r="N884" s="129"/>
    </row>
    <row r="885" spans="14:14">
      <c r="N885" s="129"/>
    </row>
    <row r="886" spans="14:14">
      <c r="N886" s="129"/>
    </row>
    <row r="887" spans="14:14">
      <c r="N887" s="129"/>
    </row>
    <row r="888" spans="14:14">
      <c r="N888" s="129"/>
    </row>
    <row r="889" spans="14:14">
      <c r="N889" s="129"/>
    </row>
    <row r="890" spans="14:14">
      <c r="N890" s="129"/>
    </row>
    <row r="891" spans="14:14">
      <c r="N891" s="129"/>
    </row>
    <row r="892" spans="14:14">
      <c r="N892" s="129"/>
    </row>
    <row r="893" spans="14:14">
      <c r="N893" s="129"/>
    </row>
    <row r="894" spans="14:14">
      <c r="N894" s="129"/>
    </row>
    <row r="895" spans="14:14">
      <c r="N895" s="129"/>
    </row>
    <row r="896" spans="14:14">
      <c r="N896" s="129"/>
    </row>
    <row r="897" spans="14:14">
      <c r="N897" s="129"/>
    </row>
    <row r="898" spans="14:14">
      <c r="N898" s="129"/>
    </row>
    <row r="899" spans="14:14">
      <c r="N899" s="129"/>
    </row>
    <row r="900" spans="14:14">
      <c r="N900" s="129"/>
    </row>
    <row r="901" spans="14:14">
      <c r="N901" s="129"/>
    </row>
    <row r="902" spans="14:14">
      <c r="N902" s="129"/>
    </row>
    <row r="903" spans="14:14">
      <c r="N903" s="129"/>
    </row>
    <row r="904" spans="14:14">
      <c r="N904" s="129"/>
    </row>
    <row r="905" spans="14:14">
      <c r="N905" s="129"/>
    </row>
    <row r="906" spans="14:14">
      <c r="N906" s="129"/>
    </row>
    <row r="907" spans="14:14">
      <c r="N907" s="129"/>
    </row>
    <row r="908" spans="14:14">
      <c r="N908" s="129"/>
    </row>
    <row r="909" spans="14:14">
      <c r="N909" s="129"/>
    </row>
    <row r="910" spans="14:14">
      <c r="N910" s="129"/>
    </row>
    <row r="911" spans="14:14">
      <c r="N911" s="129"/>
    </row>
    <row r="912" spans="14:14">
      <c r="N912" s="129"/>
    </row>
    <row r="913" spans="14:14">
      <c r="N913" s="129"/>
    </row>
    <row r="914" spans="14:14">
      <c r="N914" s="129"/>
    </row>
    <row r="915" spans="14:14">
      <c r="N915" s="129"/>
    </row>
    <row r="916" spans="14:14">
      <c r="N916" s="129"/>
    </row>
    <row r="917" spans="14:14">
      <c r="N917" s="129"/>
    </row>
    <row r="918" spans="14:14">
      <c r="N918" s="129"/>
    </row>
    <row r="919" spans="14:14">
      <c r="N919" s="129"/>
    </row>
    <row r="920" spans="14:14">
      <c r="N920" s="129"/>
    </row>
    <row r="921" spans="14:14">
      <c r="N921" s="129"/>
    </row>
    <row r="922" spans="14:14">
      <c r="N922" s="129"/>
    </row>
    <row r="923" spans="14:14">
      <c r="N923" s="129"/>
    </row>
    <row r="924" spans="14:14">
      <c r="N924" s="129"/>
    </row>
    <row r="925" spans="14:14">
      <c r="N925" s="129"/>
    </row>
    <row r="926" spans="14:14">
      <c r="N926" s="129"/>
    </row>
    <row r="927" spans="14:14">
      <c r="N927" s="129"/>
    </row>
    <row r="928" spans="14:14">
      <c r="N928" s="129"/>
    </row>
    <row r="929" spans="14:14">
      <c r="N929" s="129"/>
    </row>
    <row r="930" spans="14:14">
      <c r="N930" s="129"/>
    </row>
    <row r="931" spans="14:14">
      <c r="N931" s="129"/>
    </row>
    <row r="932" spans="14:14">
      <c r="N932" s="129"/>
    </row>
    <row r="933" spans="14:14">
      <c r="N933" s="129"/>
    </row>
    <row r="934" spans="14:14">
      <c r="N934" s="129"/>
    </row>
    <row r="935" spans="14:14">
      <c r="N935" s="129"/>
    </row>
    <row r="936" spans="14:14">
      <c r="N936" s="129"/>
    </row>
    <row r="937" spans="14:14">
      <c r="N937" s="129"/>
    </row>
    <row r="938" spans="14:14">
      <c r="N938" s="129"/>
    </row>
    <row r="939" spans="14:14">
      <c r="N939" s="129"/>
    </row>
    <row r="940" spans="14:14">
      <c r="N940" s="129"/>
    </row>
    <row r="941" spans="14:14">
      <c r="N941" s="129"/>
    </row>
    <row r="942" spans="14:14">
      <c r="N942" s="129"/>
    </row>
    <row r="943" spans="14:14">
      <c r="N943" s="129"/>
    </row>
    <row r="944" spans="14:14">
      <c r="N944" s="129"/>
    </row>
    <row r="945" spans="14:14">
      <c r="N945" s="129"/>
    </row>
    <row r="946" spans="14:14">
      <c r="N946" s="129"/>
    </row>
    <row r="947" spans="14:14">
      <c r="N947" s="129"/>
    </row>
    <row r="948" spans="14:14">
      <c r="N948" s="129"/>
    </row>
    <row r="949" spans="14:14">
      <c r="N949" s="129"/>
    </row>
    <row r="950" spans="14:14">
      <c r="N950" s="129"/>
    </row>
    <row r="951" spans="14:14">
      <c r="N951" s="129"/>
    </row>
    <row r="952" spans="14:14">
      <c r="N952" s="129"/>
    </row>
    <row r="953" spans="14:14">
      <c r="N953" s="129"/>
    </row>
    <row r="954" spans="14:14">
      <c r="N954" s="129"/>
    </row>
    <row r="955" spans="14:14">
      <c r="N955" s="129"/>
    </row>
    <row r="956" spans="14:14">
      <c r="N956" s="129"/>
    </row>
    <row r="957" spans="14:14">
      <c r="N957" s="129"/>
    </row>
    <row r="958" spans="14:14">
      <c r="N958" s="129"/>
    </row>
    <row r="959" spans="14:14">
      <c r="N959" s="129"/>
    </row>
    <row r="960" spans="14:14">
      <c r="N960" s="129"/>
    </row>
    <row r="961" spans="14:14">
      <c r="N961" s="129"/>
    </row>
    <row r="962" spans="14:14">
      <c r="N962" s="129"/>
    </row>
    <row r="963" spans="14:14">
      <c r="N963" s="129"/>
    </row>
    <row r="964" spans="14:14">
      <c r="N964" s="129"/>
    </row>
    <row r="965" spans="14:14">
      <c r="N965" s="129"/>
    </row>
    <row r="966" spans="14:14">
      <c r="N966" s="129"/>
    </row>
    <row r="967" spans="14:14">
      <c r="N967" s="129"/>
    </row>
    <row r="968" spans="14:14">
      <c r="N968" s="129"/>
    </row>
    <row r="969" spans="14:14">
      <c r="N969" s="129"/>
    </row>
    <row r="970" spans="14:14">
      <c r="N970" s="129"/>
    </row>
    <row r="971" spans="14:14">
      <c r="N971" s="129"/>
    </row>
    <row r="972" spans="14:14">
      <c r="N972" s="129"/>
    </row>
    <row r="973" spans="14:14">
      <c r="N973" s="129"/>
    </row>
    <row r="974" spans="14:14">
      <c r="N974" s="129"/>
    </row>
    <row r="975" spans="14:14">
      <c r="N975" s="129"/>
    </row>
    <row r="976" spans="14:14">
      <c r="N976" s="129"/>
    </row>
    <row r="977" spans="14:14">
      <c r="N977" s="129"/>
    </row>
    <row r="978" spans="14:14">
      <c r="N978" s="129"/>
    </row>
    <row r="979" spans="14:14">
      <c r="N979" s="129"/>
    </row>
    <row r="980" spans="14:14">
      <c r="N980" s="129"/>
    </row>
    <row r="981" spans="14:14">
      <c r="N981" s="129"/>
    </row>
    <row r="982" spans="14:14">
      <c r="N982" s="129"/>
    </row>
    <row r="983" spans="14:14">
      <c r="N983" s="129"/>
    </row>
    <row r="984" spans="14:14">
      <c r="N984" s="129"/>
    </row>
    <row r="985" spans="14:14">
      <c r="N985" s="129"/>
    </row>
    <row r="986" spans="14:14">
      <c r="N986" s="129"/>
    </row>
    <row r="987" spans="14:14">
      <c r="N987" s="129"/>
    </row>
    <row r="988" spans="14:14">
      <c r="N988" s="129"/>
    </row>
    <row r="989" spans="14:14">
      <c r="N989" s="129"/>
    </row>
    <row r="990" spans="14:14">
      <c r="N990" s="129"/>
    </row>
    <row r="991" spans="14:14">
      <c r="N991" s="129"/>
    </row>
    <row r="992" spans="14:14">
      <c r="N992" s="129"/>
    </row>
    <row r="993" spans="14:14">
      <c r="N993" s="129"/>
    </row>
    <row r="994" spans="14:14">
      <c r="N994" s="129"/>
    </row>
    <row r="995" spans="14:14">
      <c r="N995" s="129"/>
    </row>
    <row r="996" spans="14:14">
      <c r="N996" s="129"/>
    </row>
    <row r="997" spans="14:14">
      <c r="N997" s="129"/>
    </row>
    <row r="998" spans="14:14">
      <c r="N998" s="129"/>
    </row>
    <row r="999" spans="14:14">
      <c r="N999" s="129"/>
    </row>
    <row r="1000" spans="14:14">
      <c r="N1000" s="129"/>
    </row>
  </sheetData>
  <autoFilter ref="A2:AH319" xr:uid="{00000000-0009-0000-0000-000000000000}"/>
  <mergeCells count="4">
    <mergeCell ref="D1:H1"/>
    <mergeCell ref="J1:M1"/>
    <mergeCell ref="O1:P1"/>
    <mergeCell ref="U1:Y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86136-ECE9-4681-9D50-C9442891D714}">
  <sheetPr codeName="Лист5"/>
  <dimension ref="A2:S304"/>
  <sheetViews>
    <sheetView zoomScale="145" zoomScaleNormal="145" workbookViewId="0">
      <selection activeCell="E7" sqref="E7"/>
    </sheetView>
  </sheetViews>
  <sheetFormatPr baseColWidth="10" defaultColWidth="8.83203125" defaultRowHeight="13"/>
  <cols>
    <col min="1" max="1" width="8.83203125" style="132"/>
    <col min="2" max="2" width="12.5" style="132" customWidth="1"/>
    <col min="3" max="3" width="27.5" style="132" customWidth="1"/>
    <col min="4" max="16384" width="8.83203125" style="132"/>
  </cols>
  <sheetData>
    <row r="2" spans="1:19">
      <c r="H2" s="132">
        <v>1</v>
      </c>
      <c r="I2" s="132">
        <v>2</v>
      </c>
      <c r="J2" s="132">
        <v>3</v>
      </c>
      <c r="K2" s="132">
        <v>4</v>
      </c>
      <c r="L2" s="132">
        <v>5</v>
      </c>
      <c r="M2" s="132">
        <v>6</v>
      </c>
      <c r="N2" s="132">
        <v>7</v>
      </c>
      <c r="O2" s="132">
        <v>8</v>
      </c>
      <c r="P2" s="132">
        <v>9</v>
      </c>
      <c r="Q2" s="132">
        <v>10</v>
      </c>
      <c r="R2" s="132">
        <v>11</v>
      </c>
      <c r="S2" s="132">
        <v>12</v>
      </c>
    </row>
    <row r="3" spans="1:19">
      <c r="A3" s="133" t="s">
        <v>975</v>
      </c>
      <c r="B3" s="133" t="s">
        <v>976</v>
      </c>
      <c r="C3" s="134" t="s">
        <v>977</v>
      </c>
      <c r="D3" s="133" t="s">
        <v>978</v>
      </c>
      <c r="E3" s="133" t="s">
        <v>979</v>
      </c>
      <c r="H3" s="132" t="s">
        <v>980</v>
      </c>
      <c r="I3" s="132" t="s">
        <v>980</v>
      </c>
      <c r="J3" s="132" t="s">
        <v>980</v>
      </c>
      <c r="K3" s="132" t="s">
        <v>980</v>
      </c>
      <c r="L3" s="132" t="s">
        <v>980</v>
      </c>
      <c r="M3" s="132" t="s">
        <v>980</v>
      </c>
      <c r="N3" s="132" t="s">
        <v>980</v>
      </c>
      <c r="O3" s="132" t="s">
        <v>980</v>
      </c>
      <c r="P3" s="132" t="s">
        <v>980</v>
      </c>
      <c r="Q3" s="132" t="s">
        <v>980</v>
      </c>
      <c r="R3" s="132" t="s">
        <v>980</v>
      </c>
      <c r="S3" s="132" t="s">
        <v>980</v>
      </c>
    </row>
    <row r="4" spans="1:19">
      <c r="A4" s="135">
        <v>1</v>
      </c>
      <c r="B4" s="136" t="s">
        <v>981</v>
      </c>
      <c r="C4" s="136" t="s">
        <v>982</v>
      </c>
      <c r="D4" s="135">
        <v>3</v>
      </c>
      <c r="E4" s="136">
        <v>100</v>
      </c>
      <c r="H4" s="132" t="b" cm="1">
        <f t="array" ref="H4">AND(group = 1)</f>
        <v>0</v>
      </c>
      <c r="I4" s="132" t="b" cm="1">
        <f t="array" ref="I4">AND(group = 2)</f>
        <v>0</v>
      </c>
      <c r="J4" s="132" t="b" cm="1">
        <f t="array" ref="J4">AND(group = 3)</f>
        <v>0</v>
      </c>
      <c r="K4" s="132" t="b" cm="1">
        <f t="array" ref="K4">AND(group = 4)</f>
        <v>0</v>
      </c>
      <c r="L4" s="132" t="b" cm="1">
        <f t="array" ref="L4">AND(group = 5)</f>
        <v>0</v>
      </c>
      <c r="M4" s="132" t="b" cm="1">
        <f t="array" ref="M4">AND(group = 6)</f>
        <v>0</v>
      </c>
      <c r="N4" s="132" t="b" cm="1">
        <f t="array" ref="N4">AND(group = 7)</f>
        <v>0</v>
      </c>
      <c r="O4" s="132" t="b" cm="1">
        <f t="array" ref="O4">AND(group = 8)</f>
        <v>0</v>
      </c>
      <c r="P4" s="132" t="b" cm="1">
        <f t="array" ref="P4">AND(group = 9)</f>
        <v>0</v>
      </c>
      <c r="Q4" s="132" t="b" cm="1">
        <f t="array" ref="Q4">AND(group = 10)</f>
        <v>0</v>
      </c>
      <c r="R4" s="132" t="b" cm="1">
        <f t="array" ref="R4">AND(group = 11)</f>
        <v>0</v>
      </c>
      <c r="S4" s="132" t="b" cm="1">
        <f t="array" ref="S4">AND(group = "12 online")</f>
        <v>0</v>
      </c>
    </row>
    <row r="5" spans="1:19">
      <c r="A5" s="135">
        <v>2</v>
      </c>
      <c r="B5" s="136" t="s">
        <v>983</v>
      </c>
      <c r="C5" s="136" t="s">
        <v>984</v>
      </c>
      <c r="D5" s="135">
        <v>1</v>
      </c>
      <c r="E5" s="136">
        <v>89.62</v>
      </c>
    </row>
    <row r="6" spans="1:19">
      <c r="A6" s="135">
        <v>3</v>
      </c>
      <c r="B6" s="136" t="s">
        <v>985</v>
      </c>
      <c r="C6" s="136" t="s">
        <v>986</v>
      </c>
      <c r="D6" s="135">
        <v>3</v>
      </c>
      <c r="E6" s="136">
        <v>88.49</v>
      </c>
      <c r="H6" s="137" t="s">
        <v>987</v>
      </c>
      <c r="I6" s="138" t="s">
        <v>979</v>
      </c>
    </row>
    <row r="7" spans="1:19">
      <c r="A7" s="135">
        <v>4</v>
      </c>
      <c r="B7" s="136" t="s">
        <v>988</v>
      </c>
      <c r="C7" s="136" t="s">
        <v>989</v>
      </c>
      <c r="D7" s="135">
        <v>1</v>
      </c>
      <c r="E7" s="136">
        <v>86.65</v>
      </c>
      <c r="H7" s="139">
        <v>1</v>
      </c>
      <c r="I7" s="140">
        <f>DAVERAGE(матанВесна,4,H3:H4)</f>
        <v>56.041538461538451</v>
      </c>
    </row>
    <row r="8" spans="1:19">
      <c r="A8" s="135">
        <v>5</v>
      </c>
      <c r="B8" s="136" t="s">
        <v>990</v>
      </c>
      <c r="C8" s="136" t="s">
        <v>991</v>
      </c>
      <c r="D8" s="135">
        <v>1</v>
      </c>
      <c r="E8" s="136">
        <v>86.13</v>
      </c>
      <c r="H8" s="139">
        <v>2</v>
      </c>
      <c r="I8" s="140">
        <f>DAVERAGE(матанВесна,4,I3:I4)</f>
        <v>46.832692307692312</v>
      </c>
    </row>
    <row r="9" spans="1:19">
      <c r="A9" s="135">
        <v>6</v>
      </c>
      <c r="B9" s="136" t="s">
        <v>992</v>
      </c>
      <c r="C9" s="136" t="s">
        <v>993</v>
      </c>
      <c r="D9" s="135">
        <v>1</v>
      </c>
      <c r="E9" s="136">
        <v>85</v>
      </c>
      <c r="H9" s="139">
        <v>3</v>
      </c>
      <c r="I9" s="140">
        <f>DAVERAGE(матанВесна,4,J3:J4)</f>
        <v>58.898846153846179</v>
      </c>
    </row>
    <row r="10" spans="1:19">
      <c r="A10" s="135">
        <v>7</v>
      </c>
      <c r="B10" s="136" t="s">
        <v>994</v>
      </c>
      <c r="C10" s="136" t="s">
        <v>995</v>
      </c>
      <c r="D10" s="135">
        <v>3</v>
      </c>
      <c r="E10" s="136">
        <v>84.96</v>
      </c>
      <c r="H10" s="139">
        <v>4</v>
      </c>
      <c r="I10" s="140">
        <f>DAVERAGE(матанВесна,4,K3:K4)</f>
        <v>29.363333333333326</v>
      </c>
    </row>
    <row r="11" spans="1:19">
      <c r="A11" s="135">
        <v>8</v>
      </c>
      <c r="B11" s="136" t="s">
        <v>996</v>
      </c>
      <c r="C11" s="136" t="s">
        <v>997</v>
      </c>
      <c r="D11" s="135">
        <v>2</v>
      </c>
      <c r="E11" s="136">
        <v>83.84</v>
      </c>
      <c r="H11" s="139">
        <v>5</v>
      </c>
      <c r="I11" s="140">
        <f>DAVERAGE(матанВесна,4,L3:L4)</f>
        <v>32.253846153846148</v>
      </c>
    </row>
    <row r="12" spans="1:19">
      <c r="A12" s="135">
        <v>9</v>
      </c>
      <c r="B12" s="136" t="s">
        <v>998</v>
      </c>
      <c r="C12" s="136" t="s">
        <v>999</v>
      </c>
      <c r="D12" s="135">
        <v>3</v>
      </c>
      <c r="E12" s="136">
        <v>82.64</v>
      </c>
      <c r="H12" s="139">
        <v>6</v>
      </c>
      <c r="I12" s="140">
        <f>DAVERAGE(матанВесна,4,M3:M4)</f>
        <v>25.947272727272722</v>
      </c>
    </row>
    <row r="13" spans="1:19">
      <c r="A13" s="135">
        <v>10</v>
      </c>
      <c r="B13" s="136" t="s">
        <v>1000</v>
      </c>
      <c r="C13" s="136" t="s">
        <v>1001</v>
      </c>
      <c r="D13" s="135" t="s">
        <v>1002</v>
      </c>
      <c r="E13" s="136">
        <v>82.64</v>
      </c>
      <c r="H13" s="139">
        <v>7</v>
      </c>
      <c r="I13" s="140">
        <f>DAVERAGE(матанВесна,4,N3:N4)</f>
        <v>36.092307692307699</v>
      </c>
    </row>
    <row r="14" spans="1:19">
      <c r="A14" s="135">
        <v>11</v>
      </c>
      <c r="B14" s="136" t="s">
        <v>1003</v>
      </c>
      <c r="C14" s="136" t="s">
        <v>1004</v>
      </c>
      <c r="D14" s="135">
        <v>2</v>
      </c>
      <c r="E14" s="136">
        <v>81.48</v>
      </c>
      <c r="H14" s="139">
        <v>8</v>
      </c>
      <c r="I14" s="140">
        <f>DAVERAGE(матанВесна,4,O3:O4)</f>
        <v>26.98086956521739</v>
      </c>
    </row>
    <row r="15" spans="1:19">
      <c r="A15" s="135">
        <v>12</v>
      </c>
      <c r="B15" s="136" t="s">
        <v>1005</v>
      </c>
      <c r="C15" s="136" t="s">
        <v>1006</v>
      </c>
      <c r="D15" s="135">
        <v>3</v>
      </c>
      <c r="E15" s="136">
        <v>80.95</v>
      </c>
      <c r="H15" s="139">
        <v>9</v>
      </c>
      <c r="I15" s="140">
        <f>DAVERAGE(матанВесна,4,P3:P4)</f>
        <v>29.470769230769232</v>
      </c>
    </row>
    <row r="16" spans="1:19">
      <c r="A16" s="135">
        <v>13</v>
      </c>
      <c r="B16" s="136" t="s">
        <v>1007</v>
      </c>
      <c r="C16" s="136" t="s">
        <v>1008</v>
      </c>
      <c r="D16" s="135">
        <v>3</v>
      </c>
      <c r="E16" s="136">
        <v>80.91</v>
      </c>
      <c r="H16" s="139">
        <v>10</v>
      </c>
      <c r="I16" s="140">
        <f>DAVERAGE(матанВесна,4,Q3:Q4)</f>
        <v>31.81461538461539</v>
      </c>
    </row>
    <row r="17" spans="1:9">
      <c r="A17" s="135">
        <v>14</v>
      </c>
      <c r="B17" s="136" t="s">
        <v>1009</v>
      </c>
      <c r="C17" s="136" t="s">
        <v>1010</v>
      </c>
      <c r="D17" s="135">
        <v>1</v>
      </c>
      <c r="E17" s="136">
        <v>77.39</v>
      </c>
      <c r="H17" s="139">
        <v>11</v>
      </c>
      <c r="I17" s="140">
        <f>DAVERAGE(матанВесна,4,R3:R4)</f>
        <v>26.956000000000003</v>
      </c>
    </row>
    <row r="18" spans="1:9">
      <c r="A18" s="135">
        <v>15</v>
      </c>
      <c r="B18" s="136" t="s">
        <v>1011</v>
      </c>
      <c r="C18" s="136" t="s">
        <v>1012</v>
      </c>
      <c r="D18" s="135">
        <v>1</v>
      </c>
      <c r="E18" s="136">
        <v>76.86</v>
      </c>
      <c r="H18" s="139">
        <v>12</v>
      </c>
      <c r="I18" s="140">
        <f>DAVERAGE(матанВесна,4,S3:S4)</f>
        <v>48.425333333333334</v>
      </c>
    </row>
    <row r="19" spans="1:9">
      <c r="A19" s="135">
        <v>16</v>
      </c>
      <c r="B19" s="136" t="s">
        <v>1013</v>
      </c>
      <c r="C19" s="136" t="s">
        <v>1014</v>
      </c>
      <c r="D19" s="135" t="s">
        <v>1002</v>
      </c>
      <c r="E19" s="136">
        <v>76.22</v>
      </c>
      <c r="H19" s="141" t="s">
        <v>1015</v>
      </c>
      <c r="I19" s="142">
        <f>DAVERAGE(матанВесна,4,T3:T4)</f>
        <v>37.363986254295561</v>
      </c>
    </row>
    <row r="20" spans="1:9">
      <c r="A20" s="135">
        <v>17</v>
      </c>
      <c r="B20" s="136" t="s">
        <v>1016</v>
      </c>
      <c r="C20" s="136" t="s">
        <v>1017</v>
      </c>
      <c r="D20" s="135">
        <v>2</v>
      </c>
      <c r="E20" s="136">
        <v>75.06</v>
      </c>
    </row>
    <row r="21" spans="1:9">
      <c r="A21" s="135">
        <v>18</v>
      </c>
      <c r="B21" s="136" t="s">
        <v>1018</v>
      </c>
      <c r="C21" s="136" t="s">
        <v>1019</v>
      </c>
      <c r="D21" s="135">
        <v>3</v>
      </c>
      <c r="E21" s="136">
        <v>74.56</v>
      </c>
    </row>
    <row r="22" spans="1:9">
      <c r="A22" s="135">
        <v>19</v>
      </c>
      <c r="B22" s="136" t="s">
        <v>1020</v>
      </c>
      <c r="C22" s="136" t="s">
        <v>1021</v>
      </c>
      <c r="D22" s="135">
        <v>1</v>
      </c>
      <c r="E22" s="136">
        <v>73.42</v>
      </c>
    </row>
    <row r="23" spans="1:9">
      <c r="A23" s="135">
        <v>20</v>
      </c>
      <c r="B23" s="136" t="s">
        <v>1022</v>
      </c>
      <c r="C23" s="136" t="s">
        <v>1023</v>
      </c>
      <c r="D23" s="135">
        <v>2</v>
      </c>
      <c r="E23" s="136">
        <v>72.81</v>
      </c>
    </row>
    <row r="24" spans="1:9">
      <c r="A24" s="135">
        <v>21</v>
      </c>
      <c r="B24" s="136" t="s">
        <v>1024</v>
      </c>
      <c r="C24" s="136" t="s">
        <v>1025</v>
      </c>
      <c r="D24" s="135" t="s">
        <v>1002</v>
      </c>
      <c r="E24" s="136">
        <v>72.81</v>
      </c>
    </row>
    <row r="25" spans="1:9">
      <c r="A25" s="135">
        <v>22</v>
      </c>
      <c r="B25" s="136" t="s">
        <v>1026</v>
      </c>
      <c r="C25" s="136" t="s">
        <v>1027</v>
      </c>
      <c r="D25" s="135">
        <v>1</v>
      </c>
      <c r="E25" s="136">
        <v>72.790000000000006</v>
      </c>
    </row>
    <row r="26" spans="1:9">
      <c r="A26" s="135">
        <v>23</v>
      </c>
      <c r="B26" s="136" t="s">
        <v>1028</v>
      </c>
      <c r="C26" s="136" t="s">
        <v>1029</v>
      </c>
      <c r="D26" s="135">
        <v>3</v>
      </c>
      <c r="E26" s="136">
        <v>72.209999999999994</v>
      </c>
    </row>
    <row r="27" spans="1:9">
      <c r="A27" s="135">
        <v>24</v>
      </c>
      <c r="B27" s="136" t="s">
        <v>1030</v>
      </c>
      <c r="C27" s="136" t="s">
        <v>1031</v>
      </c>
      <c r="D27" s="135">
        <v>5</v>
      </c>
      <c r="E27" s="136">
        <v>71.69</v>
      </c>
    </row>
    <row r="28" spans="1:9">
      <c r="A28" s="135">
        <v>25</v>
      </c>
      <c r="B28" s="136" t="s">
        <v>1032</v>
      </c>
      <c r="C28" s="136" t="s">
        <v>1033</v>
      </c>
      <c r="D28" s="135" t="s">
        <v>1002</v>
      </c>
      <c r="E28" s="136">
        <v>71.05</v>
      </c>
    </row>
    <row r="29" spans="1:9">
      <c r="A29" s="135">
        <v>26</v>
      </c>
      <c r="B29" s="136" t="s">
        <v>1034</v>
      </c>
      <c r="C29" s="136" t="s">
        <v>1035</v>
      </c>
      <c r="D29" s="135" t="s">
        <v>1002</v>
      </c>
      <c r="E29" s="136">
        <v>70.53</v>
      </c>
    </row>
    <row r="30" spans="1:9">
      <c r="A30" s="135">
        <v>27</v>
      </c>
      <c r="B30" s="136" t="s">
        <v>1036</v>
      </c>
      <c r="C30" s="136" t="s">
        <v>1037</v>
      </c>
      <c r="D30" s="135">
        <v>3</v>
      </c>
      <c r="E30" s="136">
        <v>69.290000000000006</v>
      </c>
    </row>
    <row r="31" spans="1:9">
      <c r="A31" s="135">
        <v>28</v>
      </c>
      <c r="B31" s="136" t="s">
        <v>1038</v>
      </c>
      <c r="C31" s="136" t="s">
        <v>1039</v>
      </c>
      <c r="D31" s="135" t="s">
        <v>1002</v>
      </c>
      <c r="E31" s="136">
        <v>68.72</v>
      </c>
    </row>
    <row r="32" spans="1:9">
      <c r="A32" s="135">
        <v>29</v>
      </c>
      <c r="B32" s="136" t="s">
        <v>1040</v>
      </c>
      <c r="C32" s="136" t="s">
        <v>1041</v>
      </c>
      <c r="D32" s="135">
        <v>3</v>
      </c>
      <c r="E32" s="136">
        <v>68.28</v>
      </c>
    </row>
    <row r="33" spans="1:5">
      <c r="A33" s="135">
        <v>30</v>
      </c>
      <c r="B33" s="136" t="s">
        <v>1042</v>
      </c>
      <c r="C33" s="136" t="s">
        <v>1043</v>
      </c>
      <c r="D33" s="135">
        <v>1</v>
      </c>
      <c r="E33" s="136">
        <v>67.56</v>
      </c>
    </row>
    <row r="34" spans="1:5">
      <c r="A34" s="135">
        <v>31</v>
      </c>
      <c r="B34" s="136" t="s">
        <v>1044</v>
      </c>
      <c r="C34" s="136" t="s">
        <v>1045</v>
      </c>
      <c r="D34" s="135">
        <v>2</v>
      </c>
      <c r="E34" s="136">
        <v>67.040000000000006</v>
      </c>
    </row>
    <row r="35" spans="1:5">
      <c r="A35" s="135">
        <v>32</v>
      </c>
      <c r="B35" s="136" t="s">
        <v>1046</v>
      </c>
      <c r="C35" s="136" t="s">
        <v>1047</v>
      </c>
      <c r="D35" s="135">
        <v>1</v>
      </c>
      <c r="E35" s="136">
        <v>64.72</v>
      </c>
    </row>
    <row r="36" spans="1:5">
      <c r="A36" s="135">
        <v>33</v>
      </c>
      <c r="B36" s="136" t="s">
        <v>1048</v>
      </c>
      <c r="C36" s="136" t="s">
        <v>1049</v>
      </c>
      <c r="D36" s="135">
        <v>1</v>
      </c>
      <c r="E36" s="136">
        <v>64.66</v>
      </c>
    </row>
    <row r="37" spans="1:5">
      <c r="A37" s="135">
        <v>34</v>
      </c>
      <c r="B37" s="136" t="s">
        <v>1050</v>
      </c>
      <c r="C37" s="136" t="s">
        <v>1051</v>
      </c>
      <c r="D37" s="135">
        <v>7</v>
      </c>
      <c r="E37" s="136">
        <v>64.150000000000006</v>
      </c>
    </row>
    <row r="38" spans="1:5">
      <c r="A38" s="135">
        <v>35</v>
      </c>
      <c r="B38" s="136" t="s">
        <v>1052</v>
      </c>
      <c r="C38" s="136" t="s">
        <v>1053</v>
      </c>
      <c r="D38" s="135">
        <v>2</v>
      </c>
      <c r="E38" s="136">
        <v>64.11</v>
      </c>
    </row>
    <row r="39" spans="1:5">
      <c r="A39" s="135">
        <v>36</v>
      </c>
      <c r="B39" s="136" t="s">
        <v>1054</v>
      </c>
      <c r="C39" s="136" t="s">
        <v>1055</v>
      </c>
      <c r="D39" s="135">
        <v>5</v>
      </c>
      <c r="E39" s="136">
        <v>64.069999999999993</v>
      </c>
    </row>
    <row r="40" spans="1:5">
      <c r="A40" s="135">
        <v>37</v>
      </c>
      <c r="B40" s="136" t="s">
        <v>1056</v>
      </c>
      <c r="C40" s="136" t="s">
        <v>1057</v>
      </c>
      <c r="D40" s="135">
        <v>10</v>
      </c>
      <c r="E40" s="136">
        <v>63.59</v>
      </c>
    </row>
    <row r="41" spans="1:5">
      <c r="A41" s="135">
        <v>38</v>
      </c>
      <c r="B41" s="136" t="s">
        <v>1058</v>
      </c>
      <c r="C41" s="136" t="s">
        <v>1059</v>
      </c>
      <c r="D41" s="135">
        <v>7</v>
      </c>
      <c r="E41" s="136">
        <v>62.39</v>
      </c>
    </row>
    <row r="42" spans="1:5">
      <c r="A42" s="135">
        <v>39</v>
      </c>
      <c r="B42" s="136" t="s">
        <v>1060</v>
      </c>
      <c r="C42" s="136" t="s">
        <v>1061</v>
      </c>
      <c r="D42" s="135">
        <v>2</v>
      </c>
      <c r="E42" s="136">
        <v>61.87</v>
      </c>
    </row>
    <row r="43" spans="1:5">
      <c r="A43" s="135">
        <v>40</v>
      </c>
      <c r="B43" s="136" t="s">
        <v>1062</v>
      </c>
      <c r="C43" s="136" t="s">
        <v>1063</v>
      </c>
      <c r="D43" s="135">
        <v>3</v>
      </c>
      <c r="E43" s="136">
        <v>61.87</v>
      </c>
    </row>
    <row r="44" spans="1:5">
      <c r="A44" s="135">
        <v>41</v>
      </c>
      <c r="B44" s="136" t="s">
        <v>1064</v>
      </c>
      <c r="C44" s="136" t="s">
        <v>1065</v>
      </c>
      <c r="D44" s="135">
        <v>2</v>
      </c>
      <c r="E44" s="136">
        <v>61.83</v>
      </c>
    </row>
    <row r="45" spans="1:5">
      <c r="A45" s="135">
        <v>42</v>
      </c>
      <c r="B45" s="136" t="s">
        <v>1066</v>
      </c>
      <c r="C45" s="136" t="s">
        <v>1067</v>
      </c>
      <c r="D45" s="135">
        <v>3</v>
      </c>
      <c r="E45" s="136">
        <v>61.81</v>
      </c>
    </row>
    <row r="46" spans="1:5">
      <c r="A46" s="135">
        <v>43</v>
      </c>
      <c r="B46" s="136" t="s">
        <v>1068</v>
      </c>
      <c r="C46" s="136" t="s">
        <v>1069</v>
      </c>
      <c r="D46" s="135">
        <v>5</v>
      </c>
      <c r="E46" s="136">
        <v>61.75</v>
      </c>
    </row>
    <row r="47" spans="1:5">
      <c r="A47" s="135">
        <v>44</v>
      </c>
      <c r="B47" s="136" t="s">
        <v>1070</v>
      </c>
      <c r="C47" s="136" t="s">
        <v>1071</v>
      </c>
      <c r="D47" s="135">
        <v>5</v>
      </c>
      <c r="E47" s="136">
        <v>61.21</v>
      </c>
    </row>
    <row r="48" spans="1:5">
      <c r="A48" s="135">
        <v>45</v>
      </c>
      <c r="B48" s="136" t="s">
        <v>1072</v>
      </c>
      <c r="C48" s="136" t="s">
        <v>1073</v>
      </c>
      <c r="D48" s="135">
        <v>9</v>
      </c>
      <c r="E48" s="136">
        <v>60.16</v>
      </c>
    </row>
    <row r="49" spans="1:5">
      <c r="A49" s="135">
        <v>46</v>
      </c>
      <c r="B49" s="136" t="s">
        <v>1074</v>
      </c>
      <c r="C49" s="136" t="s">
        <v>1075</v>
      </c>
      <c r="D49" s="135">
        <v>1</v>
      </c>
      <c r="E49" s="136">
        <v>60.14</v>
      </c>
    </row>
    <row r="50" spans="1:5" ht="13.25" customHeight="1">
      <c r="A50" s="135">
        <v>47</v>
      </c>
      <c r="B50" s="136" t="s">
        <v>1076</v>
      </c>
      <c r="C50" s="136" t="s">
        <v>1077</v>
      </c>
      <c r="D50" s="135">
        <v>1</v>
      </c>
      <c r="E50" s="136">
        <v>60.06</v>
      </c>
    </row>
    <row r="51" spans="1:5">
      <c r="A51" s="135">
        <v>48</v>
      </c>
      <c r="B51" s="136" t="s">
        <v>1078</v>
      </c>
      <c r="C51" s="136" t="s">
        <v>1079</v>
      </c>
      <c r="D51" s="135">
        <v>7</v>
      </c>
      <c r="E51" s="136">
        <v>59.58</v>
      </c>
    </row>
    <row r="52" spans="1:5">
      <c r="A52" s="135">
        <v>49</v>
      </c>
      <c r="B52" s="136" t="s">
        <v>1080</v>
      </c>
      <c r="C52" s="136" t="s">
        <v>1081</v>
      </c>
      <c r="D52" s="135">
        <v>2</v>
      </c>
      <c r="E52" s="136">
        <v>58.98</v>
      </c>
    </row>
    <row r="53" spans="1:5">
      <c r="A53" s="135">
        <v>50</v>
      </c>
      <c r="B53" s="136" t="s">
        <v>1082</v>
      </c>
      <c r="C53" s="136" t="s">
        <v>1083</v>
      </c>
      <c r="D53" s="135">
        <v>2</v>
      </c>
      <c r="E53" s="136">
        <v>58.94</v>
      </c>
    </row>
    <row r="54" spans="1:5">
      <c r="A54" s="135">
        <v>51</v>
      </c>
      <c r="B54" s="136" t="s">
        <v>1084</v>
      </c>
      <c r="C54" s="136" t="s">
        <v>1085</v>
      </c>
      <c r="D54" s="135" t="s">
        <v>1002</v>
      </c>
      <c r="E54" s="136">
        <v>58.94</v>
      </c>
    </row>
    <row r="55" spans="1:5">
      <c r="A55" s="135">
        <v>52</v>
      </c>
      <c r="B55" s="136" t="s">
        <v>1086</v>
      </c>
      <c r="C55" s="136" t="s">
        <v>1087</v>
      </c>
      <c r="D55" s="135">
        <v>9</v>
      </c>
      <c r="E55" s="136">
        <v>58.38</v>
      </c>
    </row>
    <row r="56" spans="1:5">
      <c r="A56" s="135">
        <v>53</v>
      </c>
      <c r="B56" s="136" t="s">
        <v>1088</v>
      </c>
      <c r="C56" s="136" t="s">
        <v>1089</v>
      </c>
      <c r="D56" s="135">
        <v>5</v>
      </c>
      <c r="E56" s="136">
        <v>58.3</v>
      </c>
    </row>
    <row r="57" spans="1:5">
      <c r="A57" s="135">
        <v>54</v>
      </c>
      <c r="B57" s="136" t="s">
        <v>1090</v>
      </c>
      <c r="C57" s="136" t="s">
        <v>1091</v>
      </c>
      <c r="D57" s="135">
        <v>11</v>
      </c>
      <c r="E57" s="136">
        <v>57.82</v>
      </c>
    </row>
    <row r="58" spans="1:5">
      <c r="A58" s="135">
        <v>55</v>
      </c>
      <c r="B58" s="136" t="s">
        <v>1092</v>
      </c>
      <c r="C58" s="136" t="s">
        <v>1093</v>
      </c>
      <c r="D58" s="135">
        <v>1</v>
      </c>
      <c r="E58" s="136">
        <v>57.78</v>
      </c>
    </row>
    <row r="59" spans="1:5">
      <c r="A59" s="135">
        <v>56</v>
      </c>
      <c r="B59" s="136" t="s">
        <v>1094</v>
      </c>
      <c r="C59" s="136" t="s">
        <v>1095</v>
      </c>
      <c r="D59" s="135">
        <v>1</v>
      </c>
      <c r="E59" s="136">
        <v>57.78</v>
      </c>
    </row>
    <row r="60" spans="1:5">
      <c r="A60" s="135">
        <v>57</v>
      </c>
      <c r="B60" s="136" t="s">
        <v>1096</v>
      </c>
      <c r="C60" s="136" t="s">
        <v>1097</v>
      </c>
      <c r="D60" s="135">
        <v>3</v>
      </c>
      <c r="E60" s="136">
        <v>57.34</v>
      </c>
    </row>
    <row r="61" spans="1:5">
      <c r="A61" s="135">
        <v>58</v>
      </c>
      <c r="B61" s="136" t="s">
        <v>1098</v>
      </c>
      <c r="C61" s="136" t="s">
        <v>1099</v>
      </c>
      <c r="D61" s="135">
        <v>3</v>
      </c>
      <c r="E61" s="136">
        <v>57.26</v>
      </c>
    </row>
    <row r="62" spans="1:5">
      <c r="A62" s="135">
        <v>59</v>
      </c>
      <c r="B62" s="136" t="s">
        <v>1100</v>
      </c>
      <c r="C62" s="136" t="s">
        <v>1101</v>
      </c>
      <c r="D62" s="135">
        <v>11</v>
      </c>
      <c r="E62" s="136">
        <v>57.22</v>
      </c>
    </row>
    <row r="63" spans="1:5">
      <c r="A63" s="135">
        <v>60</v>
      </c>
      <c r="B63" s="136" t="s">
        <v>1102</v>
      </c>
      <c r="C63" s="136" t="s">
        <v>1103</v>
      </c>
      <c r="D63" s="135">
        <v>7</v>
      </c>
      <c r="E63" s="136">
        <v>56.62</v>
      </c>
    </row>
    <row r="64" spans="1:5">
      <c r="A64" s="135">
        <v>61</v>
      </c>
      <c r="B64" s="136" t="s">
        <v>1104</v>
      </c>
      <c r="C64" s="136" t="s">
        <v>1105</v>
      </c>
      <c r="D64" s="135">
        <v>1</v>
      </c>
      <c r="E64" s="136">
        <v>56.58</v>
      </c>
    </row>
    <row r="65" spans="1:5">
      <c r="A65" s="135">
        <v>62</v>
      </c>
      <c r="B65" s="136" t="s">
        <v>1106</v>
      </c>
      <c r="C65" s="136" t="s">
        <v>1107</v>
      </c>
      <c r="D65" s="135">
        <v>10</v>
      </c>
      <c r="E65" s="136">
        <v>56.13</v>
      </c>
    </row>
    <row r="66" spans="1:5" ht="19.25" customHeight="1">
      <c r="A66" s="135">
        <v>63</v>
      </c>
      <c r="B66" s="136" t="s">
        <v>1108</v>
      </c>
      <c r="C66" s="136" t="s">
        <v>1109</v>
      </c>
      <c r="D66" s="135">
        <v>4</v>
      </c>
      <c r="E66" s="136">
        <v>55.49</v>
      </c>
    </row>
    <row r="67" spans="1:5">
      <c r="A67" s="135">
        <v>64</v>
      </c>
      <c r="B67" s="136" t="s">
        <v>1110</v>
      </c>
      <c r="C67" s="136" t="s">
        <v>1111</v>
      </c>
      <c r="D67" s="135">
        <v>2</v>
      </c>
      <c r="E67" s="136">
        <v>55.45</v>
      </c>
    </row>
    <row r="68" spans="1:5">
      <c r="A68" s="135">
        <v>65</v>
      </c>
      <c r="B68" s="136" t="s">
        <v>1112</v>
      </c>
      <c r="C68" s="136" t="s">
        <v>1113</v>
      </c>
      <c r="D68" s="135">
        <v>3</v>
      </c>
      <c r="E68" s="136">
        <v>55.45</v>
      </c>
    </row>
    <row r="69" spans="1:5">
      <c r="A69" s="135">
        <v>66</v>
      </c>
      <c r="B69" s="136" t="s">
        <v>1114</v>
      </c>
      <c r="C69" s="136" t="s">
        <v>1115</v>
      </c>
      <c r="D69" s="135">
        <v>2</v>
      </c>
      <c r="E69" s="136">
        <v>54.91</v>
      </c>
    </row>
    <row r="70" spans="1:5">
      <c r="A70" s="135">
        <v>67</v>
      </c>
      <c r="B70" s="136" t="s">
        <v>1116</v>
      </c>
      <c r="C70" s="136" t="s">
        <v>1117</v>
      </c>
      <c r="D70" s="135">
        <v>7</v>
      </c>
      <c r="E70" s="136">
        <v>54.87</v>
      </c>
    </row>
    <row r="71" spans="1:5">
      <c r="A71" s="135">
        <v>68</v>
      </c>
      <c r="B71" s="136" t="s">
        <v>1118</v>
      </c>
      <c r="C71" s="136" t="s">
        <v>1119</v>
      </c>
      <c r="D71" s="135">
        <v>8</v>
      </c>
      <c r="E71" s="136">
        <v>54.25</v>
      </c>
    </row>
    <row r="72" spans="1:5">
      <c r="A72" s="135">
        <v>69</v>
      </c>
      <c r="B72" s="136" t="s">
        <v>1120</v>
      </c>
      <c r="C72" s="136" t="s">
        <v>1121</v>
      </c>
      <c r="D72" s="135">
        <v>10</v>
      </c>
      <c r="E72" s="136">
        <v>53.73</v>
      </c>
    </row>
    <row r="73" spans="1:5">
      <c r="A73" s="135">
        <v>70</v>
      </c>
      <c r="B73" s="136" t="s">
        <v>1122</v>
      </c>
      <c r="C73" s="136" t="s">
        <v>1123</v>
      </c>
      <c r="D73" s="135">
        <v>4</v>
      </c>
      <c r="E73" s="136">
        <v>53.21</v>
      </c>
    </row>
    <row r="74" spans="1:5">
      <c r="A74" s="135">
        <v>71</v>
      </c>
      <c r="B74" s="136" t="s">
        <v>1124</v>
      </c>
      <c r="C74" s="136" t="s">
        <v>1125</v>
      </c>
      <c r="D74" s="135">
        <v>7</v>
      </c>
      <c r="E74" s="136">
        <v>53.13</v>
      </c>
    </row>
    <row r="75" spans="1:5">
      <c r="A75" s="135">
        <v>72</v>
      </c>
      <c r="B75" s="136" t="s">
        <v>1126</v>
      </c>
      <c r="C75" s="136" t="s">
        <v>1127</v>
      </c>
      <c r="D75" s="135">
        <v>7</v>
      </c>
      <c r="E75" s="136">
        <v>52.49</v>
      </c>
    </row>
    <row r="76" spans="1:5">
      <c r="A76" s="135">
        <v>73</v>
      </c>
      <c r="B76" s="136" t="s">
        <v>1128</v>
      </c>
      <c r="C76" s="136" t="s">
        <v>1129</v>
      </c>
      <c r="D76" s="135">
        <v>6</v>
      </c>
      <c r="E76" s="136">
        <v>52.06</v>
      </c>
    </row>
    <row r="77" spans="1:5">
      <c r="A77" s="135">
        <v>74</v>
      </c>
      <c r="B77" s="136" t="s">
        <v>1130</v>
      </c>
      <c r="C77" s="136" t="s">
        <v>1131</v>
      </c>
      <c r="D77" s="135">
        <v>3</v>
      </c>
      <c r="E77" s="136">
        <v>51.44</v>
      </c>
    </row>
    <row r="78" spans="1:5">
      <c r="A78" s="135">
        <v>75</v>
      </c>
      <c r="B78" s="136" t="s">
        <v>1132</v>
      </c>
      <c r="C78" s="136" t="s">
        <v>1133</v>
      </c>
      <c r="D78" s="135">
        <v>9</v>
      </c>
      <c r="E78" s="136">
        <v>51.4</v>
      </c>
    </row>
    <row r="79" spans="1:5">
      <c r="A79" s="135">
        <v>76</v>
      </c>
      <c r="B79" s="136" t="s">
        <v>1134</v>
      </c>
      <c r="C79" s="136" t="s">
        <v>1135</v>
      </c>
      <c r="D79" s="135">
        <v>9</v>
      </c>
      <c r="E79" s="136">
        <v>50.8</v>
      </c>
    </row>
    <row r="80" spans="1:5">
      <c r="A80" s="135">
        <v>77</v>
      </c>
      <c r="B80" s="136" t="s">
        <v>1136</v>
      </c>
      <c r="C80" s="136" t="s">
        <v>1137</v>
      </c>
      <c r="D80" s="135">
        <v>3</v>
      </c>
      <c r="E80" s="136">
        <v>50.26</v>
      </c>
    </row>
    <row r="81" spans="1:5">
      <c r="A81" s="135">
        <v>78</v>
      </c>
      <c r="B81" s="136" t="s">
        <v>1138</v>
      </c>
      <c r="C81" s="136" t="s">
        <v>1139</v>
      </c>
      <c r="D81" s="135" t="s">
        <v>1002</v>
      </c>
      <c r="E81" s="136">
        <v>49.68</v>
      </c>
    </row>
    <row r="82" spans="1:5">
      <c r="A82" s="135">
        <v>79</v>
      </c>
      <c r="B82" s="136" t="s">
        <v>1140</v>
      </c>
      <c r="C82" s="136" t="s">
        <v>1141</v>
      </c>
      <c r="D82" s="135">
        <v>1</v>
      </c>
      <c r="E82" s="136">
        <v>48.56</v>
      </c>
    </row>
    <row r="83" spans="1:5">
      <c r="A83" s="135">
        <v>80</v>
      </c>
      <c r="B83" s="136" t="s">
        <v>1142</v>
      </c>
      <c r="C83" s="136" t="s">
        <v>1143</v>
      </c>
      <c r="D83" s="135">
        <v>8</v>
      </c>
      <c r="E83" s="136">
        <v>48.56</v>
      </c>
    </row>
    <row r="84" spans="1:5">
      <c r="A84" s="135">
        <v>81</v>
      </c>
      <c r="B84" s="136" t="s">
        <v>1144</v>
      </c>
      <c r="C84" s="136" t="s">
        <v>1145</v>
      </c>
      <c r="D84" s="135">
        <v>2</v>
      </c>
      <c r="E84" s="136">
        <v>48.52</v>
      </c>
    </row>
    <row r="85" spans="1:5">
      <c r="A85" s="135">
        <v>82</v>
      </c>
      <c r="B85" s="136" t="s">
        <v>1146</v>
      </c>
      <c r="C85" s="136" t="s">
        <v>1147</v>
      </c>
      <c r="D85" s="135">
        <v>3</v>
      </c>
      <c r="E85" s="136">
        <v>48.52</v>
      </c>
    </row>
    <row r="86" spans="1:5">
      <c r="A86" s="135">
        <v>83</v>
      </c>
      <c r="B86" s="136" t="s">
        <v>1148</v>
      </c>
      <c r="C86" s="136" t="s">
        <v>1149</v>
      </c>
      <c r="D86" s="135">
        <v>10</v>
      </c>
      <c r="E86" s="136">
        <v>48.52</v>
      </c>
    </row>
    <row r="87" spans="1:5">
      <c r="A87" s="135">
        <v>84</v>
      </c>
      <c r="B87" s="136" t="s">
        <v>1150</v>
      </c>
      <c r="C87" s="136" t="s">
        <v>1151</v>
      </c>
      <c r="D87" s="135">
        <v>10</v>
      </c>
      <c r="E87" s="136">
        <v>48</v>
      </c>
    </row>
    <row r="88" spans="1:5">
      <c r="A88" s="135">
        <v>85</v>
      </c>
      <c r="B88" s="136" t="s">
        <v>1152</v>
      </c>
      <c r="C88" s="136" t="s">
        <v>1153</v>
      </c>
      <c r="D88" s="135">
        <v>1</v>
      </c>
      <c r="E88" s="136">
        <v>47.96</v>
      </c>
    </row>
    <row r="89" spans="1:5">
      <c r="A89" s="135">
        <v>86</v>
      </c>
      <c r="B89" s="136" t="s">
        <v>1154</v>
      </c>
      <c r="C89" s="136" t="s">
        <v>693</v>
      </c>
      <c r="D89" s="135">
        <v>2</v>
      </c>
      <c r="E89" s="136">
        <v>47.91</v>
      </c>
    </row>
    <row r="90" spans="1:5">
      <c r="A90" s="135">
        <v>87</v>
      </c>
      <c r="B90" s="136" t="s">
        <v>1155</v>
      </c>
      <c r="C90" s="136" t="s">
        <v>1156</v>
      </c>
      <c r="D90" s="135">
        <v>3</v>
      </c>
      <c r="E90" s="136">
        <v>47.91</v>
      </c>
    </row>
    <row r="91" spans="1:5">
      <c r="A91" s="135">
        <v>88</v>
      </c>
      <c r="B91" s="136" t="s">
        <v>1157</v>
      </c>
      <c r="C91" s="136" t="s">
        <v>1158</v>
      </c>
      <c r="D91" s="135">
        <v>6</v>
      </c>
      <c r="E91" s="136">
        <v>47.91</v>
      </c>
    </row>
    <row r="92" spans="1:5">
      <c r="A92" s="135">
        <v>89</v>
      </c>
      <c r="B92" s="136" t="s">
        <v>1159</v>
      </c>
      <c r="C92" s="136" t="s">
        <v>1160</v>
      </c>
      <c r="D92" s="135">
        <v>7</v>
      </c>
      <c r="E92" s="136">
        <v>47.01</v>
      </c>
    </row>
    <row r="93" spans="1:5">
      <c r="A93" s="135">
        <v>90</v>
      </c>
      <c r="B93" s="136" t="s">
        <v>1161</v>
      </c>
      <c r="C93" s="136" t="s">
        <v>1162</v>
      </c>
      <c r="D93" s="135">
        <v>11</v>
      </c>
      <c r="E93" s="136">
        <v>46.87</v>
      </c>
    </row>
    <row r="94" spans="1:5">
      <c r="A94" s="135">
        <v>91</v>
      </c>
      <c r="B94" s="136" t="s">
        <v>1163</v>
      </c>
      <c r="C94" s="136" t="s">
        <v>1164</v>
      </c>
      <c r="D94" s="135">
        <v>5</v>
      </c>
      <c r="E94" s="136">
        <v>46.83</v>
      </c>
    </row>
    <row r="95" spans="1:5">
      <c r="A95" s="135">
        <v>92</v>
      </c>
      <c r="B95" s="136" t="s">
        <v>1165</v>
      </c>
      <c r="C95" s="136" t="s">
        <v>1166</v>
      </c>
      <c r="D95" s="135">
        <v>3</v>
      </c>
      <c r="E95" s="136">
        <v>46.15</v>
      </c>
    </row>
    <row r="96" spans="1:5">
      <c r="A96" s="135">
        <v>93</v>
      </c>
      <c r="B96" s="136" t="s">
        <v>1167</v>
      </c>
      <c r="C96" s="136" t="s">
        <v>1168</v>
      </c>
      <c r="D96" s="135">
        <v>8</v>
      </c>
      <c r="E96" s="136">
        <v>45.71</v>
      </c>
    </row>
    <row r="97" spans="1:5">
      <c r="A97" s="135">
        <v>94</v>
      </c>
      <c r="B97" s="136" t="s">
        <v>1169</v>
      </c>
      <c r="C97" s="136" t="s">
        <v>1170</v>
      </c>
      <c r="D97" s="135">
        <v>7</v>
      </c>
      <c r="E97" s="136">
        <v>45.59</v>
      </c>
    </row>
    <row r="98" spans="1:5">
      <c r="A98" s="135">
        <v>95</v>
      </c>
      <c r="B98" s="136" t="s">
        <v>1171</v>
      </c>
      <c r="C98" s="136" t="s">
        <v>1172</v>
      </c>
      <c r="D98" s="135">
        <v>4</v>
      </c>
      <c r="E98" s="136">
        <v>45.09</v>
      </c>
    </row>
    <row r="99" spans="1:5">
      <c r="A99" s="135">
        <v>96</v>
      </c>
      <c r="B99" s="136" t="s">
        <v>1173</v>
      </c>
      <c r="C99" s="136" t="s">
        <v>1174</v>
      </c>
      <c r="D99" s="135">
        <v>9</v>
      </c>
      <c r="E99" s="136">
        <v>44.51</v>
      </c>
    </row>
    <row r="100" spans="1:5">
      <c r="A100" s="135">
        <v>97</v>
      </c>
      <c r="B100" s="136" t="s">
        <v>1175</v>
      </c>
      <c r="C100" s="136" t="s">
        <v>1176</v>
      </c>
      <c r="D100" s="135">
        <v>3</v>
      </c>
      <c r="E100" s="136">
        <v>44.47</v>
      </c>
    </row>
    <row r="101" spans="1:5">
      <c r="A101" s="135">
        <v>98</v>
      </c>
      <c r="B101" s="136" t="s">
        <v>1177</v>
      </c>
      <c r="C101" s="136" t="s">
        <v>1178</v>
      </c>
      <c r="D101" s="135">
        <v>9</v>
      </c>
      <c r="E101" s="136">
        <v>44.43</v>
      </c>
    </row>
    <row r="102" spans="1:5">
      <c r="A102" s="135">
        <v>99</v>
      </c>
      <c r="B102" s="136" t="s">
        <v>1179</v>
      </c>
      <c r="C102" s="136" t="s">
        <v>1180</v>
      </c>
      <c r="D102" s="135">
        <v>9</v>
      </c>
      <c r="E102" s="136">
        <v>43.83</v>
      </c>
    </row>
    <row r="103" spans="1:5">
      <c r="A103" s="135">
        <v>100</v>
      </c>
      <c r="B103" s="136" t="s">
        <v>1181</v>
      </c>
      <c r="C103" s="136" t="s">
        <v>1182</v>
      </c>
      <c r="D103" s="135">
        <v>8</v>
      </c>
      <c r="E103" s="136">
        <v>42.78</v>
      </c>
    </row>
    <row r="104" spans="1:5">
      <c r="A104" s="135">
        <v>101</v>
      </c>
      <c r="B104" s="136" t="s">
        <v>1183</v>
      </c>
      <c r="C104" s="136" t="s">
        <v>1184</v>
      </c>
      <c r="D104" s="135">
        <v>7</v>
      </c>
      <c r="E104" s="136">
        <v>42.76</v>
      </c>
    </row>
    <row r="105" spans="1:5">
      <c r="A105" s="135">
        <v>102</v>
      </c>
      <c r="B105" s="136" t="s">
        <v>1185</v>
      </c>
      <c r="C105" s="136" t="s">
        <v>1186</v>
      </c>
      <c r="D105" s="135">
        <v>2</v>
      </c>
      <c r="E105" s="136">
        <v>42.74</v>
      </c>
    </row>
    <row r="106" spans="1:5">
      <c r="A106" s="135">
        <v>103</v>
      </c>
      <c r="B106" s="136" t="s">
        <v>1187</v>
      </c>
      <c r="C106" s="136" t="s">
        <v>1188</v>
      </c>
      <c r="D106" s="135">
        <v>5</v>
      </c>
      <c r="E106" s="136">
        <v>42.2</v>
      </c>
    </row>
    <row r="107" spans="1:5">
      <c r="A107" s="135">
        <v>104</v>
      </c>
      <c r="B107" s="136" t="s">
        <v>1189</v>
      </c>
      <c r="C107" s="136" t="s">
        <v>1190</v>
      </c>
      <c r="D107" s="135">
        <v>3</v>
      </c>
      <c r="E107" s="136">
        <v>42.18</v>
      </c>
    </row>
    <row r="108" spans="1:5">
      <c r="A108" s="135">
        <v>105</v>
      </c>
      <c r="B108" s="136" t="s">
        <v>1191</v>
      </c>
      <c r="C108" s="136" t="s">
        <v>1192</v>
      </c>
      <c r="D108" s="135">
        <v>5</v>
      </c>
      <c r="E108" s="136">
        <v>41</v>
      </c>
    </row>
    <row r="109" spans="1:5">
      <c r="A109" s="135">
        <v>106</v>
      </c>
      <c r="B109" s="136" t="s">
        <v>1193</v>
      </c>
      <c r="C109" s="136" t="s">
        <v>1194</v>
      </c>
      <c r="D109" s="135">
        <v>3</v>
      </c>
      <c r="E109" s="136">
        <v>40.98</v>
      </c>
    </row>
    <row r="110" spans="1:5">
      <c r="A110" s="135">
        <v>107</v>
      </c>
      <c r="B110" s="136" t="s">
        <v>1195</v>
      </c>
      <c r="C110" s="136" t="s">
        <v>1196</v>
      </c>
      <c r="D110" s="135">
        <v>1</v>
      </c>
      <c r="E110" s="136">
        <v>40.54</v>
      </c>
    </row>
    <row r="111" spans="1:5">
      <c r="A111" s="135">
        <v>108</v>
      </c>
      <c r="B111" s="136" t="s">
        <v>1197</v>
      </c>
      <c r="C111" s="136" t="s">
        <v>1198</v>
      </c>
      <c r="D111" s="135">
        <v>1</v>
      </c>
      <c r="E111" s="136">
        <v>40.380000000000003</v>
      </c>
    </row>
    <row r="112" spans="1:5">
      <c r="A112" s="135">
        <v>109</v>
      </c>
      <c r="B112" s="136" t="s">
        <v>1199</v>
      </c>
      <c r="C112" s="136" t="s">
        <v>1200</v>
      </c>
      <c r="D112" s="135">
        <v>7</v>
      </c>
      <c r="E112" s="136">
        <v>40.380000000000003</v>
      </c>
    </row>
    <row r="113" spans="1:5">
      <c r="A113" s="135">
        <v>110</v>
      </c>
      <c r="B113" s="136" t="s">
        <v>1201</v>
      </c>
      <c r="C113" s="136" t="s">
        <v>1202</v>
      </c>
      <c r="D113" s="135">
        <v>11</v>
      </c>
      <c r="E113" s="136">
        <v>40.36</v>
      </c>
    </row>
    <row r="114" spans="1:5">
      <c r="A114" s="135">
        <v>111</v>
      </c>
      <c r="B114" s="136" t="s">
        <v>1203</v>
      </c>
      <c r="C114" s="136" t="s">
        <v>1204</v>
      </c>
      <c r="D114" s="135">
        <v>4</v>
      </c>
      <c r="E114" s="136">
        <v>39.94</v>
      </c>
    </row>
    <row r="115" spans="1:5">
      <c r="A115" s="135">
        <v>112</v>
      </c>
      <c r="B115" s="136" t="s">
        <v>1205</v>
      </c>
      <c r="C115" s="136" t="s">
        <v>1206</v>
      </c>
      <c r="D115" s="135">
        <v>5</v>
      </c>
      <c r="E115" s="136">
        <v>39.9</v>
      </c>
    </row>
    <row r="116" spans="1:5">
      <c r="A116" s="135">
        <v>113</v>
      </c>
      <c r="B116" s="136" t="s">
        <v>1207</v>
      </c>
      <c r="C116" s="136" t="s">
        <v>1208</v>
      </c>
      <c r="D116" s="135">
        <v>8</v>
      </c>
      <c r="E116" s="136">
        <v>39.9</v>
      </c>
    </row>
    <row r="117" spans="1:5">
      <c r="A117" s="135">
        <v>114</v>
      </c>
      <c r="B117" s="136" t="s">
        <v>1209</v>
      </c>
      <c r="C117" s="136" t="s">
        <v>1210</v>
      </c>
      <c r="D117" s="135">
        <v>10</v>
      </c>
      <c r="E117" s="136">
        <v>39.880000000000003</v>
      </c>
    </row>
    <row r="118" spans="1:5">
      <c r="A118" s="135">
        <v>115</v>
      </c>
      <c r="B118" s="136" t="s">
        <v>1211</v>
      </c>
      <c r="C118" s="136" t="s">
        <v>1212</v>
      </c>
      <c r="D118" s="135">
        <v>11</v>
      </c>
      <c r="E118" s="136">
        <v>39.880000000000003</v>
      </c>
    </row>
    <row r="119" spans="1:5">
      <c r="A119" s="135">
        <v>116</v>
      </c>
      <c r="B119" s="136" t="s">
        <v>1213</v>
      </c>
      <c r="C119" s="136" t="s">
        <v>1214</v>
      </c>
      <c r="D119" s="135">
        <v>4</v>
      </c>
      <c r="E119" s="136">
        <v>39.78</v>
      </c>
    </row>
    <row r="120" spans="1:5">
      <c r="A120" s="135">
        <v>117</v>
      </c>
      <c r="B120" s="136" t="s">
        <v>1215</v>
      </c>
      <c r="C120" s="136" t="s">
        <v>1216</v>
      </c>
      <c r="D120" s="135">
        <v>4</v>
      </c>
      <c r="E120" s="136">
        <v>39.25</v>
      </c>
    </row>
    <row r="121" spans="1:5">
      <c r="A121" s="135">
        <v>118</v>
      </c>
      <c r="B121" s="136" t="s">
        <v>1217</v>
      </c>
      <c r="C121" s="136" t="s">
        <v>1218</v>
      </c>
      <c r="D121" s="135">
        <v>4</v>
      </c>
      <c r="E121" s="136">
        <v>38.19</v>
      </c>
    </row>
    <row r="122" spans="1:5">
      <c r="A122" s="135">
        <v>119</v>
      </c>
      <c r="B122" s="136" t="s">
        <v>1219</v>
      </c>
      <c r="C122" s="136" t="s">
        <v>1220</v>
      </c>
      <c r="D122" s="135">
        <v>1</v>
      </c>
      <c r="E122" s="136">
        <v>38.090000000000003</v>
      </c>
    </row>
    <row r="123" spans="1:5">
      <c r="A123" s="135">
        <v>120</v>
      </c>
      <c r="B123" s="136" t="s">
        <v>1221</v>
      </c>
      <c r="C123" s="136" t="s">
        <v>1222</v>
      </c>
      <c r="D123" s="135">
        <v>5</v>
      </c>
      <c r="E123" s="136">
        <v>38.049999999999997</v>
      </c>
    </row>
    <row r="124" spans="1:5">
      <c r="A124" s="135">
        <v>121</v>
      </c>
      <c r="B124" s="136" t="s">
        <v>1223</v>
      </c>
      <c r="C124" s="136" t="s">
        <v>1224</v>
      </c>
      <c r="D124" s="135">
        <v>3</v>
      </c>
      <c r="E124" s="136">
        <v>36.97</v>
      </c>
    </row>
    <row r="125" spans="1:5">
      <c r="A125" s="135">
        <v>122</v>
      </c>
      <c r="B125" s="136" t="s">
        <v>1225</v>
      </c>
      <c r="C125" s="136" t="s">
        <v>1226</v>
      </c>
      <c r="D125" s="135">
        <v>4</v>
      </c>
      <c r="E125" s="136">
        <v>36.97</v>
      </c>
    </row>
    <row r="126" spans="1:5">
      <c r="A126" s="135">
        <v>123</v>
      </c>
      <c r="B126" s="136" t="s">
        <v>1227</v>
      </c>
      <c r="C126" s="136" t="s">
        <v>1228</v>
      </c>
      <c r="D126" s="135">
        <v>8</v>
      </c>
      <c r="E126" s="136">
        <v>36.97</v>
      </c>
    </row>
    <row r="127" spans="1:5">
      <c r="A127" s="135">
        <v>124</v>
      </c>
      <c r="B127" s="136" t="s">
        <v>1229</v>
      </c>
      <c r="C127" s="136" t="s">
        <v>1230</v>
      </c>
      <c r="D127" s="135">
        <v>4</v>
      </c>
      <c r="E127" s="136">
        <v>36.950000000000003</v>
      </c>
    </row>
    <row r="128" spans="1:5">
      <c r="A128" s="135">
        <v>125</v>
      </c>
      <c r="B128" s="136" t="s">
        <v>1231</v>
      </c>
      <c r="C128" s="136" t="s">
        <v>1232</v>
      </c>
      <c r="D128" s="135">
        <v>10</v>
      </c>
      <c r="E128" s="136">
        <v>36.93</v>
      </c>
    </row>
    <row r="129" spans="1:5">
      <c r="A129" s="135">
        <v>126</v>
      </c>
      <c r="B129" s="136" t="s">
        <v>1233</v>
      </c>
      <c r="C129" s="136" t="s">
        <v>1234</v>
      </c>
      <c r="D129" s="135" t="s">
        <v>1002</v>
      </c>
      <c r="E129" s="136">
        <v>36.29</v>
      </c>
    </row>
    <row r="130" spans="1:5">
      <c r="A130" s="135">
        <v>127</v>
      </c>
      <c r="B130" s="136" t="s">
        <v>1235</v>
      </c>
      <c r="C130" s="136" t="s">
        <v>1236</v>
      </c>
      <c r="D130" s="135">
        <v>9</v>
      </c>
      <c r="E130" s="136">
        <v>35.81</v>
      </c>
    </row>
    <row r="131" spans="1:5">
      <c r="A131" s="135">
        <v>128</v>
      </c>
      <c r="B131" s="136" t="s">
        <v>1237</v>
      </c>
      <c r="C131" s="136" t="s">
        <v>1238</v>
      </c>
      <c r="D131" s="135">
        <v>11</v>
      </c>
      <c r="E131" s="136">
        <v>35.28</v>
      </c>
    </row>
    <row r="132" spans="1:5">
      <c r="A132" s="135">
        <v>129</v>
      </c>
      <c r="B132" s="136" t="s">
        <v>1239</v>
      </c>
      <c r="C132" s="136" t="s">
        <v>1240</v>
      </c>
      <c r="D132" s="135">
        <v>10</v>
      </c>
      <c r="E132" s="136">
        <v>35.24</v>
      </c>
    </row>
    <row r="133" spans="1:5">
      <c r="A133" s="135">
        <v>130</v>
      </c>
      <c r="B133" s="136" t="s">
        <v>1241</v>
      </c>
      <c r="C133" s="136" t="s">
        <v>1242</v>
      </c>
      <c r="D133" s="135">
        <v>6</v>
      </c>
      <c r="E133" s="136">
        <v>34.72</v>
      </c>
    </row>
    <row r="134" spans="1:5">
      <c r="A134" s="135">
        <v>131</v>
      </c>
      <c r="B134" s="136" t="s">
        <v>1243</v>
      </c>
      <c r="C134" s="136" t="s">
        <v>1244</v>
      </c>
      <c r="D134" s="135">
        <v>4</v>
      </c>
      <c r="E134" s="136">
        <v>34.619999999999997</v>
      </c>
    </row>
    <row r="135" spans="1:5">
      <c r="A135" s="135">
        <v>132</v>
      </c>
      <c r="B135" s="136" t="s">
        <v>1245</v>
      </c>
      <c r="C135" s="136" t="s">
        <v>1246</v>
      </c>
      <c r="D135" s="135">
        <v>10</v>
      </c>
      <c r="E135" s="136">
        <v>34.04</v>
      </c>
    </row>
    <row r="136" spans="1:5">
      <c r="A136" s="135">
        <v>133</v>
      </c>
      <c r="B136" s="136" t="s">
        <v>1247</v>
      </c>
      <c r="C136" s="136" t="s">
        <v>1248</v>
      </c>
      <c r="D136" s="135">
        <v>11</v>
      </c>
      <c r="E136" s="136">
        <v>34.020000000000003</v>
      </c>
    </row>
    <row r="137" spans="1:5">
      <c r="A137" s="135">
        <v>134</v>
      </c>
      <c r="B137" s="136" t="s">
        <v>1249</v>
      </c>
      <c r="C137" s="136" t="s">
        <v>1250</v>
      </c>
      <c r="D137" s="135">
        <v>4</v>
      </c>
      <c r="E137" s="136">
        <v>33.96</v>
      </c>
    </row>
    <row r="138" spans="1:5">
      <c r="A138" s="135">
        <v>135</v>
      </c>
      <c r="B138" s="136" t="s">
        <v>1251</v>
      </c>
      <c r="C138" s="136" t="s">
        <v>1252</v>
      </c>
      <c r="D138" s="135">
        <v>6</v>
      </c>
      <c r="E138" s="136">
        <v>33.56</v>
      </c>
    </row>
    <row r="139" spans="1:5">
      <c r="A139" s="135">
        <v>136</v>
      </c>
      <c r="B139" s="136" t="s">
        <v>1253</v>
      </c>
      <c r="C139" s="136" t="s">
        <v>1254</v>
      </c>
      <c r="D139" s="135">
        <v>4</v>
      </c>
      <c r="E139" s="136">
        <v>33.520000000000003</v>
      </c>
    </row>
    <row r="140" spans="1:5">
      <c r="A140" s="135">
        <v>137</v>
      </c>
      <c r="B140" s="136" t="s">
        <v>1255</v>
      </c>
      <c r="C140" s="136" t="s">
        <v>1256</v>
      </c>
      <c r="D140" s="135" t="s">
        <v>1002</v>
      </c>
      <c r="E140" s="136">
        <v>33.4</v>
      </c>
    </row>
    <row r="141" spans="1:5">
      <c r="A141" s="135">
        <v>138</v>
      </c>
      <c r="B141" s="136" t="s">
        <v>1257</v>
      </c>
      <c r="C141" s="136" t="s">
        <v>1258</v>
      </c>
      <c r="D141" s="135" t="s">
        <v>1002</v>
      </c>
      <c r="E141" s="136">
        <v>33</v>
      </c>
    </row>
    <row r="142" spans="1:5">
      <c r="A142" s="135">
        <v>139</v>
      </c>
      <c r="B142" s="136" t="s">
        <v>1259</v>
      </c>
      <c r="C142" s="136" t="s">
        <v>1260</v>
      </c>
      <c r="D142" s="135">
        <v>7</v>
      </c>
      <c r="E142" s="136">
        <v>32.96</v>
      </c>
    </row>
    <row r="143" spans="1:5">
      <c r="A143" s="135">
        <v>140</v>
      </c>
      <c r="B143" s="136" t="s">
        <v>1261</v>
      </c>
      <c r="C143" s="136" t="s">
        <v>1262</v>
      </c>
      <c r="D143" s="135">
        <v>4</v>
      </c>
      <c r="E143" s="136">
        <v>32.880000000000003</v>
      </c>
    </row>
    <row r="144" spans="1:5">
      <c r="A144" s="135">
        <v>141</v>
      </c>
      <c r="B144" s="136" t="s">
        <v>1263</v>
      </c>
      <c r="C144" s="136" t="s">
        <v>1264</v>
      </c>
      <c r="D144" s="135">
        <v>11</v>
      </c>
      <c r="E144" s="136">
        <v>32.840000000000003</v>
      </c>
    </row>
    <row r="145" spans="1:5">
      <c r="A145" s="135">
        <v>142</v>
      </c>
      <c r="B145" s="136" t="s">
        <v>1265</v>
      </c>
      <c r="C145" s="136" t="s">
        <v>1266</v>
      </c>
      <c r="D145" s="135">
        <v>11</v>
      </c>
      <c r="E145" s="136">
        <v>31.78</v>
      </c>
    </row>
    <row r="146" spans="1:5">
      <c r="A146" s="135">
        <v>143</v>
      </c>
      <c r="B146" s="136" t="s">
        <v>1267</v>
      </c>
      <c r="C146" s="136" t="s">
        <v>1268</v>
      </c>
      <c r="D146" s="135">
        <v>6</v>
      </c>
      <c r="E146" s="136">
        <v>31.76</v>
      </c>
    </row>
    <row r="147" spans="1:5">
      <c r="A147" s="135">
        <v>144</v>
      </c>
      <c r="B147" s="136" t="s">
        <v>1269</v>
      </c>
      <c r="C147" s="136" t="s">
        <v>1270</v>
      </c>
      <c r="D147" s="135">
        <v>7</v>
      </c>
      <c r="E147" s="136">
        <v>31.76</v>
      </c>
    </row>
    <row r="148" spans="1:5">
      <c r="A148" s="135">
        <v>145</v>
      </c>
      <c r="B148" s="136" t="s">
        <v>1271</v>
      </c>
      <c r="C148" s="136" t="s">
        <v>1272</v>
      </c>
      <c r="D148" s="135">
        <v>7</v>
      </c>
      <c r="E148" s="136">
        <v>31.76</v>
      </c>
    </row>
    <row r="149" spans="1:5">
      <c r="A149" s="135">
        <v>146</v>
      </c>
      <c r="B149" s="136" t="s">
        <v>1273</v>
      </c>
      <c r="C149" s="136" t="s">
        <v>1274</v>
      </c>
      <c r="D149" s="135">
        <v>7</v>
      </c>
      <c r="E149" s="136">
        <v>31.72</v>
      </c>
    </row>
    <row r="150" spans="1:5">
      <c r="A150" s="135">
        <v>147</v>
      </c>
      <c r="B150" s="136" t="s">
        <v>1275</v>
      </c>
      <c r="C150" s="136" t="s">
        <v>1276</v>
      </c>
      <c r="D150" s="135">
        <v>9</v>
      </c>
      <c r="E150" s="136">
        <v>31.72</v>
      </c>
    </row>
    <row r="151" spans="1:5">
      <c r="A151" s="135">
        <v>148</v>
      </c>
      <c r="B151" s="136" t="s">
        <v>1277</v>
      </c>
      <c r="C151" s="136" t="s">
        <v>1278</v>
      </c>
      <c r="D151" s="135">
        <v>2</v>
      </c>
      <c r="E151" s="136">
        <v>31.23</v>
      </c>
    </row>
    <row r="152" spans="1:5">
      <c r="A152" s="135">
        <v>149</v>
      </c>
      <c r="B152" s="136" t="s">
        <v>1279</v>
      </c>
      <c r="C152" s="136" t="s">
        <v>1280</v>
      </c>
      <c r="D152" s="135">
        <v>2</v>
      </c>
      <c r="E152" s="136">
        <v>31.19</v>
      </c>
    </row>
    <row r="153" spans="1:5">
      <c r="A153" s="135">
        <v>150</v>
      </c>
      <c r="B153" s="136" t="s">
        <v>1281</v>
      </c>
      <c r="C153" s="136" t="s">
        <v>1282</v>
      </c>
      <c r="D153" s="135">
        <v>5</v>
      </c>
      <c r="E153" s="136">
        <v>31.15</v>
      </c>
    </row>
    <row r="154" spans="1:5">
      <c r="A154" s="135">
        <v>151</v>
      </c>
      <c r="B154" s="136" t="s">
        <v>1283</v>
      </c>
      <c r="C154" s="136" t="s">
        <v>1284</v>
      </c>
      <c r="D154" s="135">
        <v>7</v>
      </c>
      <c r="E154" s="136">
        <v>31.15</v>
      </c>
    </row>
    <row r="155" spans="1:5">
      <c r="A155" s="135">
        <v>152</v>
      </c>
      <c r="B155" s="136" t="s">
        <v>1285</v>
      </c>
      <c r="C155" s="136" t="s">
        <v>1286</v>
      </c>
      <c r="D155" s="135">
        <v>7</v>
      </c>
      <c r="E155" s="136">
        <v>30.63</v>
      </c>
    </row>
    <row r="156" spans="1:5">
      <c r="A156" s="135">
        <v>153</v>
      </c>
      <c r="B156" s="136" t="s">
        <v>1287</v>
      </c>
      <c r="C156" s="136" t="s">
        <v>1288</v>
      </c>
      <c r="D156" s="135">
        <v>5</v>
      </c>
      <c r="E156" s="136">
        <v>30.61</v>
      </c>
    </row>
    <row r="157" spans="1:5">
      <c r="A157" s="135">
        <v>154</v>
      </c>
      <c r="B157" s="136" t="s">
        <v>1289</v>
      </c>
      <c r="C157" s="136" t="s">
        <v>1290</v>
      </c>
      <c r="D157" s="135">
        <v>2</v>
      </c>
      <c r="E157" s="136">
        <v>30.59</v>
      </c>
    </row>
    <row r="158" spans="1:5">
      <c r="A158" s="135">
        <v>155</v>
      </c>
      <c r="B158" s="136" t="s">
        <v>1291</v>
      </c>
      <c r="C158" s="136" t="s">
        <v>1292</v>
      </c>
      <c r="D158" s="135">
        <v>2</v>
      </c>
      <c r="E158" s="136">
        <v>30.55</v>
      </c>
    </row>
    <row r="159" spans="1:5">
      <c r="A159" s="135">
        <v>156</v>
      </c>
      <c r="B159" s="136" t="s">
        <v>1293</v>
      </c>
      <c r="C159" s="136" t="s">
        <v>1294</v>
      </c>
      <c r="D159" s="135">
        <v>7</v>
      </c>
      <c r="E159" s="136">
        <v>30.55</v>
      </c>
    </row>
    <row r="160" spans="1:5">
      <c r="A160" s="135">
        <v>157</v>
      </c>
      <c r="B160" s="136" t="s">
        <v>1295</v>
      </c>
      <c r="C160" s="136" t="s">
        <v>1296</v>
      </c>
      <c r="D160" s="135">
        <v>9</v>
      </c>
      <c r="E160" s="136">
        <v>30.51</v>
      </c>
    </row>
    <row r="161" spans="1:5" ht="19.25" customHeight="1">
      <c r="A161" s="135">
        <v>158</v>
      </c>
      <c r="B161" s="136" t="s">
        <v>1297</v>
      </c>
      <c r="C161" s="136" t="s">
        <v>1298</v>
      </c>
      <c r="D161" s="135">
        <v>6</v>
      </c>
      <c r="E161" s="136">
        <v>30.03</v>
      </c>
    </row>
    <row r="162" spans="1:5">
      <c r="A162" s="135">
        <v>159</v>
      </c>
      <c r="B162" s="136" t="s">
        <v>1299</v>
      </c>
      <c r="C162" s="136" t="s">
        <v>1300</v>
      </c>
      <c r="D162" s="135">
        <v>10</v>
      </c>
      <c r="E162" s="136">
        <v>29.99</v>
      </c>
    </row>
    <row r="163" spans="1:5">
      <c r="A163" s="135">
        <v>160</v>
      </c>
      <c r="B163" s="136" t="s">
        <v>1301</v>
      </c>
      <c r="C163" s="136" t="s">
        <v>1302</v>
      </c>
      <c r="D163" s="135">
        <v>2</v>
      </c>
      <c r="E163" s="136">
        <v>29.95</v>
      </c>
    </row>
    <row r="164" spans="1:5">
      <c r="A164" s="135">
        <v>161</v>
      </c>
      <c r="B164" s="136" t="s">
        <v>1303</v>
      </c>
      <c r="C164" s="136" t="s">
        <v>1304</v>
      </c>
      <c r="D164" s="135">
        <v>8</v>
      </c>
      <c r="E164" s="136">
        <v>29.95</v>
      </c>
    </row>
    <row r="165" spans="1:5">
      <c r="A165" s="135">
        <v>162</v>
      </c>
      <c r="B165" s="136" t="s">
        <v>1305</v>
      </c>
      <c r="C165" s="136" t="s">
        <v>1306</v>
      </c>
      <c r="D165" s="135">
        <v>11</v>
      </c>
      <c r="E165" s="136">
        <v>29.91</v>
      </c>
    </row>
    <row r="166" spans="1:5">
      <c r="A166" s="135">
        <v>163</v>
      </c>
      <c r="B166" s="136" t="s">
        <v>1307</v>
      </c>
      <c r="C166" s="136" t="s">
        <v>1308</v>
      </c>
      <c r="D166" s="135">
        <v>6</v>
      </c>
      <c r="E166" s="136">
        <v>29.39</v>
      </c>
    </row>
    <row r="167" spans="1:5">
      <c r="A167" s="135">
        <v>164</v>
      </c>
      <c r="B167" s="136" t="s">
        <v>1309</v>
      </c>
      <c r="C167" s="136" t="s">
        <v>1310</v>
      </c>
      <c r="D167" s="135">
        <v>10</v>
      </c>
      <c r="E167" s="136">
        <v>29.39</v>
      </c>
    </row>
    <row r="168" spans="1:5">
      <c r="A168" s="135">
        <v>165</v>
      </c>
      <c r="B168" s="136" t="s">
        <v>1311</v>
      </c>
      <c r="C168" s="136" t="s">
        <v>1312</v>
      </c>
      <c r="D168" s="135">
        <v>9</v>
      </c>
      <c r="E168" s="136">
        <v>28.87</v>
      </c>
    </row>
    <row r="169" spans="1:5">
      <c r="A169" s="135">
        <v>166</v>
      </c>
      <c r="B169" s="136" t="s">
        <v>1313</v>
      </c>
      <c r="C169" s="136" t="s">
        <v>1314</v>
      </c>
      <c r="D169" s="135">
        <v>2</v>
      </c>
      <c r="E169" s="136">
        <v>28.85</v>
      </c>
    </row>
    <row r="170" spans="1:5">
      <c r="A170" s="135">
        <v>167</v>
      </c>
      <c r="B170" s="136" t="s">
        <v>1315</v>
      </c>
      <c r="C170" s="136" t="s">
        <v>1316</v>
      </c>
      <c r="D170" s="135">
        <v>6</v>
      </c>
      <c r="E170" s="136">
        <v>28.39</v>
      </c>
    </row>
    <row r="171" spans="1:5">
      <c r="A171" s="135">
        <v>168</v>
      </c>
      <c r="B171" s="136" t="s">
        <v>1317</v>
      </c>
      <c r="C171" s="136" t="s">
        <v>1318</v>
      </c>
      <c r="D171" s="135">
        <v>5</v>
      </c>
      <c r="E171" s="136">
        <v>28.27</v>
      </c>
    </row>
    <row r="172" spans="1:5">
      <c r="A172" s="135">
        <v>169</v>
      </c>
      <c r="B172" s="136" t="s">
        <v>1319</v>
      </c>
      <c r="C172" s="136" t="s">
        <v>1320</v>
      </c>
      <c r="D172" s="135">
        <v>11</v>
      </c>
      <c r="E172" s="136">
        <v>28.23</v>
      </c>
    </row>
    <row r="173" spans="1:5">
      <c r="A173" s="135">
        <v>170</v>
      </c>
      <c r="B173" s="136" t="s">
        <v>1321</v>
      </c>
      <c r="C173" s="136" t="s">
        <v>1322</v>
      </c>
      <c r="D173" s="135">
        <v>6</v>
      </c>
      <c r="E173" s="136">
        <v>27.75</v>
      </c>
    </row>
    <row r="174" spans="1:5">
      <c r="A174" s="135">
        <v>171</v>
      </c>
      <c r="B174" s="136" t="s">
        <v>1323</v>
      </c>
      <c r="C174" s="136" t="s">
        <v>1324</v>
      </c>
      <c r="D174" s="135">
        <v>8</v>
      </c>
      <c r="E174" s="136">
        <v>27.75</v>
      </c>
    </row>
    <row r="175" spans="1:5">
      <c r="A175" s="135">
        <v>172</v>
      </c>
      <c r="B175" s="136" t="s">
        <v>1325</v>
      </c>
      <c r="C175" s="136" t="s">
        <v>1326</v>
      </c>
      <c r="D175" s="135">
        <v>6</v>
      </c>
      <c r="E175" s="136">
        <v>27.71</v>
      </c>
    </row>
    <row r="176" spans="1:5">
      <c r="A176" s="135">
        <v>173</v>
      </c>
      <c r="B176" s="136" t="s">
        <v>1327</v>
      </c>
      <c r="C176" s="136" t="s">
        <v>1328</v>
      </c>
      <c r="D176" s="135">
        <v>9</v>
      </c>
      <c r="E176" s="136">
        <v>27.71</v>
      </c>
    </row>
    <row r="177" spans="1:5">
      <c r="A177" s="135">
        <v>174</v>
      </c>
      <c r="B177" s="136" t="s">
        <v>1329</v>
      </c>
      <c r="C177" s="136" t="s">
        <v>1330</v>
      </c>
      <c r="D177" s="135">
        <v>4</v>
      </c>
      <c r="E177" s="136">
        <v>27.67</v>
      </c>
    </row>
    <row r="178" spans="1:5">
      <c r="A178" s="135">
        <v>175</v>
      </c>
      <c r="B178" s="136" t="s">
        <v>1331</v>
      </c>
      <c r="C178" s="136" t="s">
        <v>1332</v>
      </c>
      <c r="D178" s="135">
        <v>10</v>
      </c>
      <c r="E178" s="136">
        <v>27.67</v>
      </c>
    </row>
    <row r="179" spans="1:5">
      <c r="A179" s="135">
        <v>176</v>
      </c>
      <c r="B179" s="136" t="s">
        <v>1333</v>
      </c>
      <c r="C179" s="136" t="s">
        <v>1334</v>
      </c>
      <c r="D179" s="135">
        <v>10</v>
      </c>
      <c r="E179" s="136">
        <v>27.67</v>
      </c>
    </row>
    <row r="180" spans="1:5">
      <c r="A180" s="135">
        <v>177</v>
      </c>
      <c r="B180" s="136" t="s">
        <v>1335</v>
      </c>
      <c r="C180" s="136" t="s">
        <v>1336</v>
      </c>
      <c r="D180" s="135">
        <v>4</v>
      </c>
      <c r="E180" s="136">
        <v>27.65</v>
      </c>
    </row>
    <row r="181" spans="1:5">
      <c r="A181" s="135">
        <v>178</v>
      </c>
      <c r="B181" s="136" t="s">
        <v>1337</v>
      </c>
      <c r="C181" s="136" t="s">
        <v>1338</v>
      </c>
      <c r="D181" s="135" t="s">
        <v>1002</v>
      </c>
      <c r="E181" s="136">
        <v>27.59</v>
      </c>
    </row>
    <row r="182" spans="1:5">
      <c r="A182" s="135">
        <v>179</v>
      </c>
      <c r="B182" s="136" t="s">
        <v>1339</v>
      </c>
      <c r="C182" s="136" t="s">
        <v>1340</v>
      </c>
      <c r="D182" s="135">
        <v>10</v>
      </c>
      <c r="E182" s="136">
        <v>27.15</v>
      </c>
    </row>
    <row r="183" spans="1:5">
      <c r="A183" s="135">
        <v>180</v>
      </c>
      <c r="B183" s="136" t="s">
        <v>1341</v>
      </c>
      <c r="C183" s="136" t="s">
        <v>1342</v>
      </c>
      <c r="D183" s="135">
        <v>6</v>
      </c>
      <c r="E183" s="136">
        <v>27.11</v>
      </c>
    </row>
    <row r="184" spans="1:5">
      <c r="A184" s="135">
        <v>181</v>
      </c>
      <c r="B184" s="136" t="s">
        <v>1343</v>
      </c>
      <c r="C184" s="136" t="s">
        <v>1344</v>
      </c>
      <c r="D184" s="135">
        <v>9</v>
      </c>
      <c r="E184" s="136">
        <v>27.11</v>
      </c>
    </row>
    <row r="185" spans="1:5">
      <c r="A185" s="135">
        <v>182</v>
      </c>
      <c r="B185" s="136" t="s">
        <v>1345</v>
      </c>
      <c r="C185" s="136" t="s">
        <v>1346</v>
      </c>
      <c r="D185" s="135">
        <v>7</v>
      </c>
      <c r="E185" s="136">
        <v>26.62</v>
      </c>
    </row>
    <row r="186" spans="1:5">
      <c r="A186" s="135">
        <v>183</v>
      </c>
      <c r="B186" s="136" t="s">
        <v>1347</v>
      </c>
      <c r="C186" s="136" t="s">
        <v>1348</v>
      </c>
      <c r="D186" s="135">
        <v>10</v>
      </c>
      <c r="E186" s="136">
        <v>26.58</v>
      </c>
    </row>
    <row r="187" spans="1:5">
      <c r="A187" s="135">
        <v>184</v>
      </c>
      <c r="B187" s="136" t="s">
        <v>1349</v>
      </c>
      <c r="C187" s="136" t="s">
        <v>1350</v>
      </c>
      <c r="D187" s="135">
        <v>8</v>
      </c>
      <c r="E187" s="136">
        <v>26.54</v>
      </c>
    </row>
    <row r="188" spans="1:5">
      <c r="A188" s="135">
        <v>185</v>
      </c>
      <c r="B188" s="136" t="s">
        <v>1351</v>
      </c>
      <c r="C188" s="136" t="s">
        <v>1352</v>
      </c>
      <c r="D188" s="135">
        <v>9</v>
      </c>
      <c r="E188" s="136">
        <v>26.5</v>
      </c>
    </row>
    <row r="189" spans="1:5">
      <c r="A189" s="135">
        <v>186</v>
      </c>
      <c r="B189" s="136" t="s">
        <v>1353</v>
      </c>
      <c r="C189" s="136" t="s">
        <v>1354</v>
      </c>
      <c r="D189" s="135">
        <v>10</v>
      </c>
      <c r="E189" s="136">
        <v>25.98</v>
      </c>
    </row>
    <row r="190" spans="1:5">
      <c r="A190" s="135">
        <v>187</v>
      </c>
      <c r="B190" s="136" t="s">
        <v>1355</v>
      </c>
      <c r="C190" s="136" t="s">
        <v>1356</v>
      </c>
      <c r="D190" s="135">
        <v>8</v>
      </c>
      <c r="E190" s="136">
        <v>25.94</v>
      </c>
    </row>
    <row r="191" spans="1:5">
      <c r="A191" s="135">
        <v>188</v>
      </c>
      <c r="B191" s="136" t="s">
        <v>1357</v>
      </c>
      <c r="C191" s="136" t="s">
        <v>1358</v>
      </c>
      <c r="D191" s="135">
        <v>9</v>
      </c>
      <c r="E191" s="136">
        <v>25.94</v>
      </c>
    </row>
    <row r="192" spans="1:5">
      <c r="A192" s="135">
        <v>189</v>
      </c>
      <c r="B192" s="136" t="s">
        <v>1359</v>
      </c>
      <c r="C192" s="136" t="s">
        <v>1360</v>
      </c>
      <c r="D192" s="135">
        <v>10</v>
      </c>
      <c r="E192" s="136">
        <v>25.94</v>
      </c>
    </row>
    <row r="193" spans="1:5">
      <c r="A193" s="135">
        <v>190</v>
      </c>
      <c r="B193" s="136" t="s">
        <v>1361</v>
      </c>
      <c r="C193" s="136" t="s">
        <v>1362</v>
      </c>
      <c r="D193" s="135">
        <v>10</v>
      </c>
      <c r="E193" s="136">
        <v>25.94</v>
      </c>
    </row>
    <row r="194" spans="1:5">
      <c r="A194" s="135">
        <v>191</v>
      </c>
      <c r="B194" s="136" t="s">
        <v>1363</v>
      </c>
      <c r="C194" s="136" t="s">
        <v>1364</v>
      </c>
      <c r="D194" s="135" t="s">
        <v>1002</v>
      </c>
      <c r="E194" s="136">
        <v>25.9</v>
      </c>
    </row>
    <row r="195" spans="1:5">
      <c r="A195" s="135">
        <v>192</v>
      </c>
      <c r="B195" s="136" t="s">
        <v>1365</v>
      </c>
      <c r="C195" s="136" t="s">
        <v>1366</v>
      </c>
      <c r="D195" s="135">
        <v>2</v>
      </c>
      <c r="E195" s="136">
        <v>25.42</v>
      </c>
    </row>
    <row r="196" spans="1:5">
      <c r="A196" s="135">
        <v>193</v>
      </c>
      <c r="B196" s="136" t="s">
        <v>1367</v>
      </c>
      <c r="C196" s="136" t="s">
        <v>1368</v>
      </c>
      <c r="D196" s="135">
        <v>8</v>
      </c>
      <c r="E196" s="136">
        <v>24.82</v>
      </c>
    </row>
    <row r="197" spans="1:5">
      <c r="A197" s="135">
        <v>194</v>
      </c>
      <c r="B197" s="136" t="s">
        <v>1369</v>
      </c>
      <c r="C197" s="136" t="s">
        <v>1370</v>
      </c>
      <c r="D197" s="135">
        <v>9</v>
      </c>
      <c r="E197" s="136">
        <v>24.74</v>
      </c>
    </row>
    <row r="198" spans="1:5" ht="19.25" customHeight="1">
      <c r="A198" s="135">
        <v>195</v>
      </c>
      <c r="B198" s="136" t="s">
        <v>1371</v>
      </c>
      <c r="C198" s="136" t="s">
        <v>1372</v>
      </c>
      <c r="D198" s="135">
        <v>8</v>
      </c>
      <c r="E198" s="136">
        <v>24.26</v>
      </c>
    </row>
    <row r="199" spans="1:5">
      <c r="A199" s="135">
        <v>196</v>
      </c>
      <c r="B199" s="136" t="s">
        <v>1373</v>
      </c>
      <c r="C199" s="136" t="s">
        <v>1374</v>
      </c>
      <c r="D199" s="135">
        <v>10</v>
      </c>
      <c r="E199" s="136">
        <v>24.24</v>
      </c>
    </row>
    <row r="200" spans="1:5">
      <c r="A200" s="135">
        <v>197</v>
      </c>
      <c r="B200" s="136" t="s">
        <v>1375</v>
      </c>
      <c r="C200" s="136" t="s">
        <v>1376</v>
      </c>
      <c r="D200" s="135">
        <v>5</v>
      </c>
      <c r="E200" s="136">
        <v>24.22</v>
      </c>
    </row>
    <row r="201" spans="1:5">
      <c r="A201" s="135">
        <v>198</v>
      </c>
      <c r="B201" s="136" t="s">
        <v>1377</v>
      </c>
      <c r="C201" s="136" t="s">
        <v>1378</v>
      </c>
      <c r="D201" s="135">
        <v>1</v>
      </c>
      <c r="E201" s="136">
        <v>24.18</v>
      </c>
    </row>
    <row r="202" spans="1:5">
      <c r="A202" s="135">
        <v>199</v>
      </c>
      <c r="B202" s="136" t="s">
        <v>1379</v>
      </c>
      <c r="C202" s="136" t="s">
        <v>1380</v>
      </c>
      <c r="D202" s="135">
        <v>10</v>
      </c>
      <c r="E202" s="136">
        <v>24.18</v>
      </c>
    </row>
    <row r="203" spans="1:5">
      <c r="A203" s="135">
        <v>200</v>
      </c>
      <c r="B203" s="136" t="s">
        <v>1381</v>
      </c>
      <c r="C203" s="136" t="s">
        <v>1382</v>
      </c>
      <c r="D203" s="135">
        <v>3</v>
      </c>
      <c r="E203" s="136">
        <v>24.14</v>
      </c>
    </row>
    <row r="204" spans="1:5">
      <c r="A204" s="135">
        <v>201</v>
      </c>
      <c r="B204" s="136" t="s">
        <v>1383</v>
      </c>
      <c r="C204" s="136" t="s">
        <v>1384</v>
      </c>
      <c r="D204" s="135">
        <v>4</v>
      </c>
      <c r="E204" s="136">
        <v>24.14</v>
      </c>
    </row>
    <row r="205" spans="1:5">
      <c r="A205" s="135">
        <v>202</v>
      </c>
      <c r="B205" s="136" t="s">
        <v>1385</v>
      </c>
      <c r="C205" s="136" t="s">
        <v>1386</v>
      </c>
      <c r="D205" s="135">
        <v>5</v>
      </c>
      <c r="E205" s="136">
        <v>23.62</v>
      </c>
    </row>
    <row r="206" spans="1:5">
      <c r="A206" s="135">
        <v>203</v>
      </c>
      <c r="B206" s="136" t="s">
        <v>1387</v>
      </c>
      <c r="C206" s="136" t="s">
        <v>1388</v>
      </c>
      <c r="D206" s="135">
        <v>6</v>
      </c>
      <c r="E206" s="136">
        <v>23.62</v>
      </c>
    </row>
    <row r="207" spans="1:5">
      <c r="A207" s="135">
        <v>204</v>
      </c>
      <c r="B207" s="136" t="s">
        <v>1389</v>
      </c>
      <c r="C207" s="136" t="s">
        <v>1390</v>
      </c>
      <c r="D207" s="135">
        <v>7</v>
      </c>
      <c r="E207" s="136">
        <v>23.14</v>
      </c>
    </row>
    <row r="208" spans="1:5">
      <c r="A208" s="135">
        <v>205</v>
      </c>
      <c r="B208" s="136" t="s">
        <v>1391</v>
      </c>
      <c r="C208" s="136" t="s">
        <v>1392</v>
      </c>
      <c r="D208" s="135">
        <v>5</v>
      </c>
      <c r="E208" s="136">
        <v>23.06</v>
      </c>
    </row>
    <row r="209" spans="1:5">
      <c r="A209" s="135">
        <v>206</v>
      </c>
      <c r="B209" s="136" t="s">
        <v>1393</v>
      </c>
      <c r="C209" s="136" t="s">
        <v>1394</v>
      </c>
      <c r="D209" s="135">
        <v>8</v>
      </c>
      <c r="E209" s="136">
        <v>22.57</v>
      </c>
    </row>
    <row r="210" spans="1:5">
      <c r="A210" s="135">
        <v>207</v>
      </c>
      <c r="B210" s="136" t="s">
        <v>1395</v>
      </c>
      <c r="C210" s="136" t="s">
        <v>1396</v>
      </c>
      <c r="D210" s="135">
        <v>11</v>
      </c>
      <c r="E210" s="136">
        <v>22.53</v>
      </c>
    </row>
    <row r="211" spans="1:5">
      <c r="A211" s="135">
        <v>208</v>
      </c>
      <c r="B211" s="136" t="s">
        <v>1397</v>
      </c>
      <c r="C211" s="136" t="s">
        <v>1398</v>
      </c>
      <c r="D211" s="135">
        <v>10</v>
      </c>
      <c r="E211" s="136">
        <v>22.49</v>
      </c>
    </row>
    <row r="212" spans="1:5">
      <c r="A212" s="135">
        <v>209</v>
      </c>
      <c r="B212" s="136" t="s">
        <v>1399</v>
      </c>
      <c r="C212" s="136" t="s">
        <v>1400</v>
      </c>
      <c r="D212" s="135">
        <v>11</v>
      </c>
      <c r="E212" s="136">
        <v>22.49</v>
      </c>
    </row>
    <row r="213" spans="1:5">
      <c r="A213" s="135">
        <v>210</v>
      </c>
      <c r="B213" s="136" t="s">
        <v>1401</v>
      </c>
      <c r="C213" s="136" t="s">
        <v>1402</v>
      </c>
      <c r="D213" s="135">
        <v>5</v>
      </c>
      <c r="E213" s="136">
        <v>22.45</v>
      </c>
    </row>
    <row r="214" spans="1:5">
      <c r="A214" s="135">
        <v>211</v>
      </c>
      <c r="B214" s="136" t="s">
        <v>1403</v>
      </c>
      <c r="C214" s="136" t="s">
        <v>1404</v>
      </c>
      <c r="D214" s="135">
        <v>9</v>
      </c>
      <c r="E214" s="136">
        <v>21.97</v>
      </c>
    </row>
    <row r="215" spans="1:5">
      <c r="A215" s="135">
        <v>212</v>
      </c>
      <c r="B215" s="136" t="s">
        <v>1405</v>
      </c>
      <c r="C215" s="136" t="s">
        <v>1406</v>
      </c>
      <c r="D215" s="135">
        <v>2</v>
      </c>
      <c r="E215" s="136">
        <v>21.93</v>
      </c>
    </row>
    <row r="216" spans="1:5">
      <c r="A216" s="135">
        <v>213</v>
      </c>
      <c r="B216" s="136" t="s">
        <v>1407</v>
      </c>
      <c r="C216" s="136" t="s">
        <v>1408</v>
      </c>
      <c r="D216" s="135">
        <v>6</v>
      </c>
      <c r="E216" s="136">
        <v>21.93</v>
      </c>
    </row>
    <row r="217" spans="1:5">
      <c r="A217" s="135">
        <v>214</v>
      </c>
      <c r="B217" s="136" t="s">
        <v>1409</v>
      </c>
      <c r="C217" s="136" t="s">
        <v>1410</v>
      </c>
      <c r="D217" s="135">
        <v>6</v>
      </c>
      <c r="E217" s="136">
        <v>21.93</v>
      </c>
    </row>
    <row r="218" spans="1:5">
      <c r="A218" s="135">
        <v>215</v>
      </c>
      <c r="B218" s="136" t="s">
        <v>1411</v>
      </c>
      <c r="C218" s="136" t="s">
        <v>1412</v>
      </c>
      <c r="D218" s="135">
        <v>10</v>
      </c>
      <c r="E218" s="136">
        <v>21.93</v>
      </c>
    </row>
    <row r="219" spans="1:5">
      <c r="A219" s="135">
        <v>216</v>
      </c>
      <c r="B219" s="136" t="s">
        <v>1413</v>
      </c>
      <c r="C219" s="136" t="s">
        <v>1414</v>
      </c>
      <c r="D219" s="135">
        <v>1</v>
      </c>
      <c r="E219" s="136">
        <v>21.89</v>
      </c>
    </row>
    <row r="220" spans="1:5">
      <c r="A220" s="135">
        <v>217</v>
      </c>
      <c r="B220" s="136" t="s">
        <v>1415</v>
      </c>
      <c r="C220" s="136" t="s">
        <v>1416</v>
      </c>
      <c r="D220" s="135">
        <v>5</v>
      </c>
      <c r="E220" s="136">
        <v>21.89</v>
      </c>
    </row>
    <row r="221" spans="1:5">
      <c r="A221" s="135">
        <v>218</v>
      </c>
      <c r="B221" s="136" t="s">
        <v>1417</v>
      </c>
      <c r="C221" s="136" t="s">
        <v>1418</v>
      </c>
      <c r="D221" s="135">
        <v>8</v>
      </c>
      <c r="E221" s="136">
        <v>21.89</v>
      </c>
    </row>
    <row r="222" spans="1:5">
      <c r="A222" s="135">
        <v>219</v>
      </c>
      <c r="B222" s="136" t="s">
        <v>1419</v>
      </c>
      <c r="C222" s="136" t="s">
        <v>1420</v>
      </c>
      <c r="D222" s="135">
        <v>1</v>
      </c>
      <c r="E222" s="136">
        <v>21.45</v>
      </c>
    </row>
    <row r="223" spans="1:5">
      <c r="A223" s="135">
        <v>220</v>
      </c>
      <c r="B223" s="136" t="s">
        <v>1421</v>
      </c>
      <c r="C223" s="136" t="s">
        <v>1422</v>
      </c>
      <c r="D223" s="135">
        <v>6</v>
      </c>
      <c r="E223" s="136">
        <v>21.33</v>
      </c>
    </row>
    <row r="224" spans="1:5">
      <c r="A224" s="135">
        <v>221</v>
      </c>
      <c r="B224" s="136" t="s">
        <v>1423</v>
      </c>
      <c r="C224" s="136" t="s">
        <v>1424</v>
      </c>
      <c r="D224" s="135">
        <v>8</v>
      </c>
      <c r="E224" s="136">
        <v>21.33</v>
      </c>
    </row>
    <row r="225" spans="1:5">
      <c r="A225" s="135">
        <v>222</v>
      </c>
      <c r="B225" s="136" t="s">
        <v>1425</v>
      </c>
      <c r="C225" s="136" t="s">
        <v>1426</v>
      </c>
      <c r="D225" s="135">
        <v>9</v>
      </c>
      <c r="E225" s="136">
        <v>21.33</v>
      </c>
    </row>
    <row r="226" spans="1:5">
      <c r="A226" s="135">
        <v>223</v>
      </c>
      <c r="B226" s="136" t="s">
        <v>1427</v>
      </c>
      <c r="C226" s="136" t="s">
        <v>1428</v>
      </c>
      <c r="D226" s="135">
        <v>11</v>
      </c>
      <c r="E226" s="136">
        <v>21.33</v>
      </c>
    </row>
    <row r="227" spans="1:5">
      <c r="A227" s="135">
        <v>224</v>
      </c>
      <c r="B227" s="136" t="s">
        <v>1429</v>
      </c>
      <c r="C227" s="136" t="s">
        <v>1430</v>
      </c>
      <c r="D227" s="135">
        <v>1</v>
      </c>
      <c r="E227" s="136">
        <v>20.77</v>
      </c>
    </row>
    <row r="228" spans="1:5">
      <c r="A228" s="135">
        <v>225</v>
      </c>
      <c r="B228" s="136" t="s">
        <v>1431</v>
      </c>
      <c r="C228" s="136" t="s">
        <v>1432</v>
      </c>
      <c r="D228" s="135">
        <v>4</v>
      </c>
      <c r="E228" s="136">
        <v>20.77</v>
      </c>
    </row>
    <row r="229" spans="1:5">
      <c r="A229" s="135">
        <v>226</v>
      </c>
      <c r="B229" s="136" t="s">
        <v>1433</v>
      </c>
      <c r="C229" s="136" t="s">
        <v>1434</v>
      </c>
      <c r="D229" s="135">
        <v>5</v>
      </c>
      <c r="E229" s="136">
        <v>20.77</v>
      </c>
    </row>
    <row r="230" spans="1:5">
      <c r="A230" s="135">
        <v>227</v>
      </c>
      <c r="B230" s="136" t="s">
        <v>1435</v>
      </c>
      <c r="C230" s="136" t="s">
        <v>1436</v>
      </c>
      <c r="D230" s="135">
        <v>11</v>
      </c>
      <c r="E230" s="136">
        <v>20.77</v>
      </c>
    </row>
    <row r="231" spans="1:5">
      <c r="A231" s="135">
        <v>228</v>
      </c>
      <c r="B231" s="136" t="s">
        <v>1437</v>
      </c>
      <c r="C231" s="136" t="s">
        <v>1438</v>
      </c>
      <c r="D231" s="135">
        <v>5</v>
      </c>
      <c r="E231" s="136">
        <v>20.190000000000001</v>
      </c>
    </row>
    <row r="232" spans="1:5">
      <c r="A232" s="135">
        <v>229</v>
      </c>
      <c r="B232" s="136" t="s">
        <v>1439</v>
      </c>
      <c r="C232" s="136" t="s">
        <v>1440</v>
      </c>
      <c r="D232" s="135">
        <v>6</v>
      </c>
      <c r="E232" s="136">
        <v>20.170000000000002</v>
      </c>
    </row>
    <row r="233" spans="1:5">
      <c r="A233" s="135">
        <v>230</v>
      </c>
      <c r="B233" s="136" t="s">
        <v>1441</v>
      </c>
      <c r="C233" s="136" t="s">
        <v>1442</v>
      </c>
      <c r="D233" s="135">
        <v>8</v>
      </c>
      <c r="E233" s="136">
        <v>19.61</v>
      </c>
    </row>
    <row r="234" spans="1:5">
      <c r="A234" s="135">
        <v>231</v>
      </c>
      <c r="B234" s="136" t="s">
        <v>1443</v>
      </c>
      <c r="C234" s="136" t="s">
        <v>1444</v>
      </c>
      <c r="D234" s="135">
        <v>10</v>
      </c>
      <c r="E234" s="136">
        <v>19.61</v>
      </c>
    </row>
    <row r="235" spans="1:5">
      <c r="A235" s="135">
        <v>232</v>
      </c>
      <c r="B235" s="136" t="s">
        <v>1445</v>
      </c>
      <c r="C235" s="136" t="s">
        <v>1446</v>
      </c>
      <c r="D235" s="135" t="s">
        <v>1002</v>
      </c>
      <c r="E235" s="136">
        <v>19.61</v>
      </c>
    </row>
    <row r="236" spans="1:5">
      <c r="A236" s="135">
        <v>233</v>
      </c>
      <c r="B236" s="136" t="s">
        <v>1447</v>
      </c>
      <c r="C236" s="136" t="s">
        <v>1448</v>
      </c>
      <c r="D236" s="135">
        <v>6</v>
      </c>
      <c r="E236" s="136">
        <v>19.57</v>
      </c>
    </row>
    <row r="237" spans="1:5">
      <c r="A237" s="135">
        <v>234</v>
      </c>
      <c r="B237" s="136" t="s">
        <v>1449</v>
      </c>
      <c r="C237" s="136" t="s">
        <v>1450</v>
      </c>
      <c r="D237" s="135">
        <v>6</v>
      </c>
      <c r="E237" s="136">
        <v>19.57</v>
      </c>
    </row>
    <row r="238" spans="1:5">
      <c r="A238" s="135">
        <v>235</v>
      </c>
      <c r="B238" s="136" t="s">
        <v>1451</v>
      </c>
      <c r="C238" s="136" t="s">
        <v>1452</v>
      </c>
      <c r="D238" s="135">
        <v>11</v>
      </c>
      <c r="E238" s="136">
        <v>19.57</v>
      </c>
    </row>
    <row r="239" spans="1:5">
      <c r="A239" s="135">
        <v>236</v>
      </c>
      <c r="B239" s="136" t="s">
        <v>1453</v>
      </c>
      <c r="C239" s="136" t="s">
        <v>1454</v>
      </c>
      <c r="D239" s="135">
        <v>8</v>
      </c>
      <c r="E239" s="136">
        <v>19.05</v>
      </c>
    </row>
    <row r="240" spans="1:5">
      <c r="A240" s="135">
        <v>237</v>
      </c>
      <c r="B240" s="136" t="s">
        <v>1455</v>
      </c>
      <c r="C240" s="136" t="s">
        <v>1456</v>
      </c>
      <c r="D240" s="135">
        <v>11</v>
      </c>
      <c r="E240" s="136">
        <v>19.05</v>
      </c>
    </row>
    <row r="241" spans="1:5">
      <c r="A241" s="135">
        <v>238</v>
      </c>
      <c r="B241" s="136" t="s">
        <v>1457</v>
      </c>
      <c r="C241" s="136" t="s">
        <v>1458</v>
      </c>
      <c r="D241" s="135">
        <v>4</v>
      </c>
      <c r="E241" s="136">
        <v>19.010000000000002</v>
      </c>
    </row>
    <row r="242" spans="1:5">
      <c r="A242" s="135">
        <v>239</v>
      </c>
      <c r="B242" s="136" t="s">
        <v>1459</v>
      </c>
      <c r="C242" s="136" t="s">
        <v>1460</v>
      </c>
      <c r="D242" s="135">
        <v>5</v>
      </c>
      <c r="E242" s="136">
        <v>19.010000000000002</v>
      </c>
    </row>
    <row r="243" spans="1:5">
      <c r="A243" s="135">
        <v>240</v>
      </c>
      <c r="B243" s="136" t="s">
        <v>1461</v>
      </c>
      <c r="C243" s="136" t="s">
        <v>1462</v>
      </c>
      <c r="D243" s="135">
        <v>5</v>
      </c>
      <c r="E243" s="136">
        <v>19.010000000000002</v>
      </c>
    </row>
    <row r="244" spans="1:5">
      <c r="A244" s="135">
        <v>241</v>
      </c>
      <c r="B244" s="136" t="s">
        <v>1463</v>
      </c>
      <c r="C244" s="136" t="s">
        <v>1464</v>
      </c>
      <c r="D244" s="135">
        <v>9</v>
      </c>
      <c r="E244" s="136">
        <v>19.010000000000002</v>
      </c>
    </row>
    <row r="245" spans="1:5">
      <c r="A245" s="135">
        <v>242</v>
      </c>
      <c r="B245" s="136" t="s">
        <v>1465</v>
      </c>
      <c r="C245" s="136" t="s">
        <v>1466</v>
      </c>
      <c r="D245" s="135">
        <v>9</v>
      </c>
      <c r="E245" s="136">
        <v>19.010000000000002</v>
      </c>
    </row>
    <row r="246" spans="1:5">
      <c r="A246" s="135">
        <v>243</v>
      </c>
      <c r="B246" s="136" t="s">
        <v>1467</v>
      </c>
      <c r="C246" s="136" t="s">
        <v>1468</v>
      </c>
      <c r="D246" s="135">
        <v>2</v>
      </c>
      <c r="E246" s="136">
        <v>18.97</v>
      </c>
    </row>
    <row r="247" spans="1:5">
      <c r="A247" s="135">
        <v>244</v>
      </c>
      <c r="B247" s="136" t="s">
        <v>1469</v>
      </c>
      <c r="C247" s="136" t="s">
        <v>1470</v>
      </c>
      <c r="D247" s="135">
        <v>7</v>
      </c>
      <c r="E247" s="136">
        <v>18.97</v>
      </c>
    </row>
    <row r="248" spans="1:5">
      <c r="A248" s="135">
        <v>245</v>
      </c>
      <c r="B248" s="136" t="s">
        <v>1471</v>
      </c>
      <c r="C248" s="136" t="s">
        <v>1472</v>
      </c>
      <c r="D248" s="135">
        <v>7</v>
      </c>
      <c r="E248" s="136">
        <v>18.97</v>
      </c>
    </row>
    <row r="249" spans="1:5">
      <c r="A249" s="135">
        <v>246</v>
      </c>
      <c r="B249" s="136" t="s">
        <v>1473</v>
      </c>
      <c r="C249" s="136" t="s">
        <v>1474</v>
      </c>
      <c r="D249" s="135">
        <v>4</v>
      </c>
      <c r="E249" s="136">
        <v>18.440000000000001</v>
      </c>
    </row>
    <row r="250" spans="1:5">
      <c r="A250" s="135">
        <v>247</v>
      </c>
      <c r="B250" s="136" t="s">
        <v>1475</v>
      </c>
      <c r="C250" s="136" t="s">
        <v>1476</v>
      </c>
      <c r="D250" s="135">
        <v>7</v>
      </c>
      <c r="E250" s="136">
        <v>18.440000000000001</v>
      </c>
    </row>
    <row r="251" spans="1:5">
      <c r="A251" s="135">
        <v>248</v>
      </c>
      <c r="B251" s="136" t="s">
        <v>1477</v>
      </c>
      <c r="C251" s="136" t="s">
        <v>1478</v>
      </c>
      <c r="D251" s="135">
        <v>8</v>
      </c>
      <c r="E251" s="136">
        <v>17.84</v>
      </c>
    </row>
    <row r="252" spans="1:5">
      <c r="A252" s="135">
        <v>249</v>
      </c>
      <c r="B252" s="136" t="s">
        <v>1479</v>
      </c>
      <c r="C252" s="136" t="s">
        <v>1480</v>
      </c>
      <c r="D252" s="135">
        <v>10</v>
      </c>
      <c r="E252" s="136">
        <v>17.84</v>
      </c>
    </row>
    <row r="253" spans="1:5">
      <c r="A253" s="135">
        <v>250</v>
      </c>
      <c r="B253" s="136" t="s">
        <v>1481</v>
      </c>
      <c r="C253" s="136" t="s">
        <v>1482</v>
      </c>
      <c r="D253" s="135">
        <v>11</v>
      </c>
      <c r="E253" s="136">
        <v>17.84</v>
      </c>
    </row>
    <row r="254" spans="1:5">
      <c r="A254" s="135">
        <v>251</v>
      </c>
      <c r="B254" s="136" t="s">
        <v>1483</v>
      </c>
      <c r="C254" s="136" t="s">
        <v>1484</v>
      </c>
      <c r="D254" s="135">
        <v>2</v>
      </c>
      <c r="E254" s="136">
        <v>17.32</v>
      </c>
    </row>
    <row r="255" spans="1:5">
      <c r="A255" s="135">
        <v>252</v>
      </c>
      <c r="B255" s="136" t="s">
        <v>1485</v>
      </c>
      <c r="C255" s="136" t="s">
        <v>1486</v>
      </c>
      <c r="D255" s="135">
        <v>8</v>
      </c>
      <c r="E255" s="136">
        <v>17.32</v>
      </c>
    </row>
    <row r="256" spans="1:5">
      <c r="A256" s="135">
        <v>253</v>
      </c>
      <c r="B256" s="136" t="s">
        <v>1487</v>
      </c>
      <c r="C256" s="136" t="s">
        <v>1488</v>
      </c>
      <c r="D256" s="135">
        <v>10</v>
      </c>
      <c r="E256" s="136">
        <v>17.28</v>
      </c>
    </row>
    <row r="257" spans="1:5">
      <c r="A257" s="135">
        <v>254</v>
      </c>
      <c r="B257" s="136" t="s">
        <v>1489</v>
      </c>
      <c r="C257" s="136" t="s">
        <v>1490</v>
      </c>
      <c r="D257" s="135">
        <v>9</v>
      </c>
      <c r="E257" s="136">
        <v>17.239999999999998</v>
      </c>
    </row>
    <row r="258" spans="1:5">
      <c r="A258" s="135">
        <v>255</v>
      </c>
      <c r="B258" s="136" t="s">
        <v>1491</v>
      </c>
      <c r="C258" s="136" t="s">
        <v>1492</v>
      </c>
      <c r="D258" s="135">
        <v>9</v>
      </c>
      <c r="E258" s="136">
        <v>17.239999999999998</v>
      </c>
    </row>
    <row r="259" spans="1:5">
      <c r="A259" s="135">
        <v>256</v>
      </c>
      <c r="B259" s="136" t="s">
        <v>1493</v>
      </c>
      <c r="C259" s="136" t="s">
        <v>1494</v>
      </c>
      <c r="D259" s="135">
        <v>10</v>
      </c>
      <c r="E259" s="136">
        <v>17.239999999999998</v>
      </c>
    </row>
    <row r="260" spans="1:5">
      <c r="A260" s="135">
        <v>257</v>
      </c>
      <c r="B260" s="136" t="s">
        <v>1495</v>
      </c>
      <c r="C260" s="136" t="s">
        <v>1496</v>
      </c>
      <c r="D260" s="135">
        <v>6</v>
      </c>
      <c r="E260" s="136">
        <v>16.68</v>
      </c>
    </row>
    <row r="261" spans="1:5">
      <c r="A261" s="135">
        <v>258</v>
      </c>
      <c r="B261" s="136" t="s">
        <v>1497</v>
      </c>
      <c r="C261" s="136" t="s">
        <v>1498</v>
      </c>
      <c r="D261" s="135">
        <v>8</v>
      </c>
      <c r="E261" s="136">
        <v>16.68</v>
      </c>
    </row>
    <row r="262" spans="1:5">
      <c r="A262" s="135">
        <v>259</v>
      </c>
      <c r="B262" s="136" t="s">
        <v>1499</v>
      </c>
      <c r="C262" s="136" t="s">
        <v>1500</v>
      </c>
      <c r="D262" s="135">
        <v>2</v>
      </c>
      <c r="E262" s="136">
        <v>16.16</v>
      </c>
    </row>
    <row r="263" spans="1:5">
      <c r="A263" s="135">
        <v>260</v>
      </c>
      <c r="B263" s="136" t="s">
        <v>1501</v>
      </c>
      <c r="C263" s="136" t="s">
        <v>1502</v>
      </c>
      <c r="D263" s="135">
        <v>8</v>
      </c>
      <c r="E263" s="136">
        <v>16.16</v>
      </c>
    </row>
    <row r="264" spans="1:5">
      <c r="A264" s="135">
        <v>261</v>
      </c>
      <c r="B264" s="136" t="s">
        <v>1503</v>
      </c>
      <c r="C264" s="136" t="s">
        <v>1504</v>
      </c>
      <c r="D264" s="135">
        <v>1</v>
      </c>
      <c r="E264" s="136">
        <v>16.12</v>
      </c>
    </row>
    <row r="265" spans="1:5">
      <c r="A265" s="135">
        <v>262</v>
      </c>
      <c r="B265" s="136" t="s">
        <v>1505</v>
      </c>
      <c r="C265" s="136" t="s">
        <v>1506</v>
      </c>
      <c r="D265" s="135">
        <v>4</v>
      </c>
      <c r="E265" s="136">
        <v>16.12</v>
      </c>
    </row>
    <row r="266" spans="1:5">
      <c r="A266" s="135">
        <v>263</v>
      </c>
      <c r="B266" s="136" t="s">
        <v>1507</v>
      </c>
      <c r="C266" s="136" t="s">
        <v>1508</v>
      </c>
      <c r="D266" s="135">
        <v>11</v>
      </c>
      <c r="E266" s="136">
        <v>16.12</v>
      </c>
    </row>
    <row r="267" spans="1:5">
      <c r="A267" s="135">
        <v>264</v>
      </c>
      <c r="B267" s="136" t="s">
        <v>1509</v>
      </c>
      <c r="C267" s="136" t="s">
        <v>1510</v>
      </c>
      <c r="D267" s="135">
        <v>11</v>
      </c>
      <c r="E267" s="136">
        <v>16.12</v>
      </c>
    </row>
    <row r="268" spans="1:5">
      <c r="A268" s="135">
        <v>265</v>
      </c>
      <c r="B268" s="136" t="s">
        <v>1511</v>
      </c>
      <c r="C268" s="136" t="s">
        <v>1512</v>
      </c>
      <c r="D268" s="135">
        <v>11</v>
      </c>
      <c r="E268" s="136">
        <v>15.56</v>
      </c>
    </row>
    <row r="269" spans="1:5">
      <c r="A269" s="135">
        <v>266</v>
      </c>
      <c r="B269" s="136" t="s">
        <v>1513</v>
      </c>
      <c r="C269" s="136" t="s">
        <v>1514</v>
      </c>
      <c r="D269" s="135">
        <v>6</v>
      </c>
      <c r="E269" s="136">
        <v>15.52</v>
      </c>
    </row>
    <row r="270" spans="1:5">
      <c r="A270" s="135">
        <v>267</v>
      </c>
      <c r="B270" s="136" t="s">
        <v>1515</v>
      </c>
      <c r="C270" s="136" t="s">
        <v>1516</v>
      </c>
      <c r="D270" s="135">
        <v>11</v>
      </c>
      <c r="E270" s="136">
        <v>15.52</v>
      </c>
    </row>
    <row r="271" spans="1:5">
      <c r="A271" s="135">
        <v>268</v>
      </c>
      <c r="B271" s="136" t="s">
        <v>1517</v>
      </c>
      <c r="C271" s="136" t="s">
        <v>1518</v>
      </c>
      <c r="D271" s="135">
        <v>9</v>
      </c>
      <c r="E271" s="136">
        <v>15</v>
      </c>
    </row>
    <row r="272" spans="1:5">
      <c r="A272" s="135">
        <v>269</v>
      </c>
      <c r="B272" s="136" t="s">
        <v>1519</v>
      </c>
      <c r="C272" s="136" t="s">
        <v>1520</v>
      </c>
      <c r="D272" s="135">
        <v>7</v>
      </c>
      <c r="E272" s="136">
        <v>13.79</v>
      </c>
    </row>
    <row r="273" spans="1:5">
      <c r="A273" s="135">
        <v>270</v>
      </c>
      <c r="B273" s="136" t="s">
        <v>1521</v>
      </c>
      <c r="C273" s="136" t="s">
        <v>1522</v>
      </c>
      <c r="D273" s="135">
        <v>9</v>
      </c>
      <c r="E273" s="136">
        <v>13.79</v>
      </c>
    </row>
    <row r="274" spans="1:5">
      <c r="A274" s="135">
        <v>271</v>
      </c>
      <c r="B274" s="136" t="s">
        <v>1523</v>
      </c>
      <c r="C274" s="136" t="s">
        <v>966</v>
      </c>
      <c r="D274" s="135">
        <v>5</v>
      </c>
      <c r="E274" s="136">
        <v>13.23</v>
      </c>
    </row>
    <row r="275" spans="1:5">
      <c r="A275" s="135">
        <v>272</v>
      </c>
      <c r="B275" s="136" t="s">
        <v>1524</v>
      </c>
      <c r="C275" s="136" t="s">
        <v>1525</v>
      </c>
      <c r="D275" s="135">
        <v>4</v>
      </c>
      <c r="E275" s="136">
        <v>12.67</v>
      </c>
    </row>
    <row r="276" spans="1:5">
      <c r="A276" s="135">
        <v>273</v>
      </c>
      <c r="B276" s="136" t="s">
        <v>1526</v>
      </c>
      <c r="C276" s="136" t="s">
        <v>1527</v>
      </c>
      <c r="D276" s="135">
        <v>6</v>
      </c>
      <c r="E276" s="136">
        <v>12.07</v>
      </c>
    </row>
    <row r="277" spans="1:5">
      <c r="A277" s="135">
        <v>274</v>
      </c>
      <c r="B277" s="136" t="s">
        <v>1528</v>
      </c>
      <c r="C277" s="136" t="s">
        <v>1529</v>
      </c>
      <c r="D277" s="135">
        <v>7</v>
      </c>
      <c r="E277" s="136">
        <v>12.07</v>
      </c>
    </row>
    <row r="278" spans="1:5">
      <c r="A278" s="135">
        <v>275</v>
      </c>
      <c r="B278" s="136" t="s">
        <v>1530</v>
      </c>
      <c r="C278" s="136" t="s">
        <v>1531</v>
      </c>
      <c r="D278" s="135">
        <v>11</v>
      </c>
      <c r="E278" s="136">
        <v>12.07</v>
      </c>
    </row>
    <row r="279" spans="1:5">
      <c r="A279" s="135">
        <v>276</v>
      </c>
      <c r="B279" s="136" t="s">
        <v>1532</v>
      </c>
      <c r="C279" s="136" t="s">
        <v>1533</v>
      </c>
      <c r="D279" s="135">
        <v>11</v>
      </c>
      <c r="E279" s="136">
        <v>10.38</v>
      </c>
    </row>
    <row r="280" spans="1:5">
      <c r="A280" s="135">
        <v>277</v>
      </c>
      <c r="B280" s="136" t="s">
        <v>1534</v>
      </c>
      <c r="C280" s="136" t="s">
        <v>1535</v>
      </c>
      <c r="D280" s="135">
        <v>8</v>
      </c>
      <c r="E280" s="136">
        <v>10.34</v>
      </c>
    </row>
    <row r="281" spans="1:5">
      <c r="A281" s="135">
        <v>278</v>
      </c>
      <c r="B281" s="136" t="s">
        <v>1536</v>
      </c>
      <c r="C281" s="136" t="s">
        <v>1537</v>
      </c>
      <c r="D281" s="135">
        <v>8</v>
      </c>
      <c r="E281" s="136">
        <v>10.34</v>
      </c>
    </row>
    <row r="282" spans="1:5">
      <c r="A282" s="135">
        <v>279</v>
      </c>
      <c r="B282" s="136" t="s">
        <v>1538</v>
      </c>
      <c r="C282" s="136" t="s">
        <v>1539</v>
      </c>
      <c r="D282" s="135">
        <v>11</v>
      </c>
      <c r="E282" s="136">
        <v>10.34</v>
      </c>
    </row>
    <row r="283" spans="1:5">
      <c r="A283" s="135">
        <v>280</v>
      </c>
      <c r="B283" s="136" t="s">
        <v>1540</v>
      </c>
      <c r="C283" s="136" t="s">
        <v>1541</v>
      </c>
      <c r="D283" s="135">
        <v>4</v>
      </c>
      <c r="E283" s="136">
        <v>9.7799999999999994</v>
      </c>
    </row>
    <row r="284" spans="1:5">
      <c r="A284" s="135">
        <v>281</v>
      </c>
      <c r="B284" s="136" t="s">
        <v>1542</v>
      </c>
      <c r="C284" s="136" t="s">
        <v>1543</v>
      </c>
      <c r="D284" s="135">
        <v>4</v>
      </c>
      <c r="E284" s="136">
        <v>8.6199999999999992</v>
      </c>
    </row>
    <row r="285" spans="1:5">
      <c r="A285" s="135">
        <v>282</v>
      </c>
      <c r="B285" s="136" t="s">
        <v>1544</v>
      </c>
      <c r="C285" s="136" t="s">
        <v>1545</v>
      </c>
      <c r="D285" s="135">
        <v>5</v>
      </c>
      <c r="E285" s="136">
        <v>8.6199999999999992</v>
      </c>
    </row>
    <row r="286" spans="1:5">
      <c r="A286" s="135">
        <v>283</v>
      </c>
      <c r="B286" s="136" t="s">
        <v>1546</v>
      </c>
      <c r="C286" s="136" t="s">
        <v>1547</v>
      </c>
      <c r="D286" s="135">
        <v>6</v>
      </c>
      <c r="E286" s="136">
        <v>8.06</v>
      </c>
    </row>
    <row r="287" spans="1:5">
      <c r="A287" s="135">
        <v>284</v>
      </c>
      <c r="B287" s="136" t="s">
        <v>1548</v>
      </c>
      <c r="C287" s="136" t="s">
        <v>1549</v>
      </c>
      <c r="D287" s="135">
        <v>5</v>
      </c>
      <c r="E287" s="136">
        <v>7.5</v>
      </c>
    </row>
    <row r="288" spans="1:5">
      <c r="A288" s="135">
        <v>285</v>
      </c>
      <c r="B288" s="136" t="s">
        <v>1550</v>
      </c>
      <c r="C288" s="136" t="s">
        <v>1551</v>
      </c>
      <c r="D288" s="135">
        <v>7</v>
      </c>
      <c r="E288" s="136">
        <v>6.9</v>
      </c>
    </row>
    <row r="289" spans="1:5">
      <c r="A289" s="135">
        <v>286</v>
      </c>
      <c r="B289" s="136" t="s">
        <v>1552</v>
      </c>
      <c r="C289" s="136" t="s">
        <v>1553</v>
      </c>
      <c r="D289" s="135">
        <v>9</v>
      </c>
      <c r="E289" s="136">
        <v>6.9</v>
      </c>
    </row>
    <row r="290" spans="1:5">
      <c r="A290" s="135">
        <v>287</v>
      </c>
      <c r="B290" s="136" t="s">
        <v>1554</v>
      </c>
      <c r="C290" s="136" t="s">
        <v>1555</v>
      </c>
      <c r="D290" s="135">
        <v>3</v>
      </c>
      <c r="E290" s="136">
        <v>2.33</v>
      </c>
    </row>
    <row r="291" spans="1:5">
      <c r="A291" s="135">
        <v>288</v>
      </c>
      <c r="B291" s="136" t="s">
        <v>1556</v>
      </c>
      <c r="C291" s="136" t="s">
        <v>1557</v>
      </c>
      <c r="D291" s="135">
        <v>9</v>
      </c>
      <c r="E291" s="136">
        <v>2.33</v>
      </c>
    </row>
    <row r="292" spans="1:5">
      <c r="A292" s="135">
        <v>289</v>
      </c>
      <c r="B292" s="136" t="s">
        <v>1558</v>
      </c>
      <c r="C292" s="136" t="s">
        <v>1559</v>
      </c>
      <c r="D292" s="135">
        <v>4</v>
      </c>
      <c r="E292" s="136">
        <v>0</v>
      </c>
    </row>
    <row r="293" spans="1:5">
      <c r="A293" s="135">
        <v>290</v>
      </c>
      <c r="B293" s="136" t="s">
        <v>1560</v>
      </c>
      <c r="C293" s="136" t="s">
        <v>1561</v>
      </c>
      <c r="D293" s="135">
        <v>5</v>
      </c>
      <c r="E293" s="136">
        <v>0</v>
      </c>
    </row>
    <row r="294" spans="1:5">
      <c r="A294" s="135">
        <v>291</v>
      </c>
      <c r="B294" s="136" t="s">
        <v>1562</v>
      </c>
      <c r="C294" s="136" t="s">
        <v>1563</v>
      </c>
      <c r="D294" s="135" t="s">
        <v>1002</v>
      </c>
      <c r="E294" s="136">
        <v>0</v>
      </c>
    </row>
    <row r="295" spans="1:5">
      <c r="A295" s="135">
        <v>292</v>
      </c>
      <c r="B295" s="136" t="s">
        <v>1564</v>
      </c>
      <c r="C295" s="136" t="s">
        <v>1565</v>
      </c>
      <c r="D295" s="135">
        <v>2</v>
      </c>
      <c r="E295" s="136"/>
    </row>
    <row r="296" spans="1:5">
      <c r="A296" s="135">
        <v>293</v>
      </c>
      <c r="B296" s="136" t="s">
        <v>1566</v>
      </c>
      <c r="C296" s="136" t="s">
        <v>1567</v>
      </c>
      <c r="D296" s="135">
        <v>4</v>
      </c>
      <c r="E296" s="136"/>
    </row>
    <row r="297" spans="1:5" ht="13.25" customHeight="1">
      <c r="A297" s="135">
        <v>294</v>
      </c>
      <c r="B297" s="136" t="s">
        <v>1568</v>
      </c>
      <c r="C297" s="136" t="s">
        <v>1569</v>
      </c>
      <c r="D297" s="135">
        <v>4</v>
      </c>
      <c r="E297" s="136"/>
    </row>
    <row r="298" spans="1:5">
      <c r="A298" s="135">
        <v>295</v>
      </c>
      <c r="B298" s="136" t="s">
        <v>1570</v>
      </c>
      <c r="C298" s="136" t="s">
        <v>1571</v>
      </c>
      <c r="D298" s="135">
        <v>5</v>
      </c>
      <c r="E298" s="136"/>
    </row>
    <row r="299" spans="1:5">
      <c r="A299" s="135">
        <v>296</v>
      </c>
      <c r="B299" s="136" t="s">
        <v>1572</v>
      </c>
      <c r="C299" s="136" t="s">
        <v>1573</v>
      </c>
      <c r="D299" s="135">
        <v>5</v>
      </c>
      <c r="E299" s="136"/>
    </row>
    <row r="300" spans="1:5">
      <c r="A300" s="135">
        <v>297</v>
      </c>
      <c r="B300" s="136" t="s">
        <v>1574</v>
      </c>
      <c r="C300" s="136" t="s">
        <v>1575</v>
      </c>
      <c r="D300" s="135">
        <v>6</v>
      </c>
      <c r="E300" s="136"/>
    </row>
    <row r="301" spans="1:5">
      <c r="A301" s="135">
        <v>298</v>
      </c>
      <c r="B301" s="136" t="s">
        <v>1576</v>
      </c>
      <c r="C301" s="136" t="s">
        <v>1577</v>
      </c>
      <c r="D301" s="135">
        <v>6</v>
      </c>
      <c r="E301" s="136"/>
    </row>
    <row r="302" spans="1:5">
      <c r="A302" s="135">
        <v>299</v>
      </c>
      <c r="B302" s="136" t="s">
        <v>1578</v>
      </c>
      <c r="C302" s="136" t="s">
        <v>1579</v>
      </c>
      <c r="D302" s="135">
        <v>6</v>
      </c>
      <c r="E302" s="136"/>
    </row>
    <row r="303" spans="1:5">
      <c r="A303" s="135">
        <v>300</v>
      </c>
      <c r="B303" s="136" t="s">
        <v>1580</v>
      </c>
      <c r="C303" s="136" t="s">
        <v>1581</v>
      </c>
      <c r="D303" s="135">
        <v>8</v>
      </c>
      <c r="E303" s="136"/>
    </row>
    <row r="304" spans="1:5">
      <c r="A304" s="135">
        <v>301</v>
      </c>
      <c r="B304" s="136" t="s">
        <v>1582</v>
      </c>
      <c r="C304" s="136" t="s">
        <v>1583</v>
      </c>
      <c r="D304" s="135">
        <v>11</v>
      </c>
      <c r="E304" s="136"/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43647-1EB2-4D54-AD9C-312A1284162C}">
  <sheetPr codeName="Лист6"/>
  <dimension ref="A1:AMK338"/>
  <sheetViews>
    <sheetView zoomScaleNormal="100" workbookViewId="0">
      <pane xSplit="5" ySplit="2" topLeftCell="R3" activePane="bottomRight" state="frozen"/>
      <selection pane="topRight" activeCell="F1" sqref="F1"/>
      <selection pane="bottomLeft" activeCell="A328" sqref="A328"/>
      <selection pane="bottomRight" activeCell="R34" sqref="R34"/>
    </sheetView>
  </sheetViews>
  <sheetFormatPr baseColWidth="10" defaultColWidth="11.5" defaultRowHeight="14"/>
  <cols>
    <col min="1" max="1" width="4.33203125" style="178" customWidth="1"/>
    <col min="2" max="2" width="17.5" style="178" hidden="1" customWidth="1"/>
    <col min="3" max="3" width="31.5" style="178" customWidth="1"/>
    <col min="4" max="4" width="7.83203125" style="178" customWidth="1"/>
    <col min="5" max="5" width="26.33203125" style="178" bestFit="1" customWidth="1"/>
    <col min="6" max="19" width="5.5" style="178" customWidth="1"/>
    <col min="20" max="20" width="6.83203125" style="178" customWidth="1"/>
    <col min="21" max="1025" width="11.5" style="178"/>
    <col min="1026" max="16384" width="11.5" style="189"/>
  </cols>
  <sheetData>
    <row r="1" spans="1:20">
      <c r="A1" s="178" t="s">
        <v>1978</v>
      </c>
    </row>
    <row r="2" spans="1:20">
      <c r="A2" s="178" t="s">
        <v>1979</v>
      </c>
      <c r="B2" s="178" t="s">
        <v>1980</v>
      </c>
      <c r="C2" s="178" t="s">
        <v>1981</v>
      </c>
      <c r="D2" s="178" t="s">
        <v>1596</v>
      </c>
      <c r="E2" s="178" t="s">
        <v>1982</v>
      </c>
      <c r="F2" s="179">
        <v>1</v>
      </c>
      <c r="G2" s="179">
        <v>2</v>
      </c>
      <c r="H2" s="179">
        <v>3</v>
      </c>
      <c r="I2" s="179">
        <v>4</v>
      </c>
      <c r="J2" s="179">
        <v>5</v>
      </c>
      <c r="K2" s="179" t="s">
        <v>1983</v>
      </c>
      <c r="L2" s="179" t="s">
        <v>1984</v>
      </c>
      <c r="M2" s="179" t="s">
        <v>1985</v>
      </c>
      <c r="N2" s="179" t="s">
        <v>1986</v>
      </c>
      <c r="O2" s="179" t="s">
        <v>1987</v>
      </c>
      <c r="P2" s="179" t="s">
        <v>1988</v>
      </c>
      <c r="Q2" s="179" t="s">
        <v>1989</v>
      </c>
      <c r="R2" s="179" t="s">
        <v>1990</v>
      </c>
      <c r="S2" s="179" t="s">
        <v>1991</v>
      </c>
      <c r="T2" s="179" t="s">
        <v>1992</v>
      </c>
    </row>
    <row r="3" spans="1:20">
      <c r="A3" s="178">
        <v>310</v>
      </c>
      <c r="B3" s="178" t="s">
        <v>1941</v>
      </c>
      <c r="C3" s="178" t="s">
        <v>1942</v>
      </c>
      <c r="D3" s="178" t="s">
        <v>1993</v>
      </c>
      <c r="F3" s="180">
        <v>1</v>
      </c>
      <c r="G3" s="180">
        <v>0</v>
      </c>
      <c r="H3" s="178">
        <v>2</v>
      </c>
      <c r="I3" s="178">
        <v>0</v>
      </c>
      <c r="K3" s="180">
        <v>3</v>
      </c>
      <c r="L3" s="180">
        <v>1</v>
      </c>
      <c r="M3" s="180">
        <v>2</v>
      </c>
      <c r="N3" s="181">
        <v>0</v>
      </c>
      <c r="O3" s="181">
        <v>0</v>
      </c>
      <c r="P3" s="181">
        <v>0</v>
      </c>
      <c r="Q3" s="182"/>
      <c r="R3" s="182"/>
      <c r="S3" s="182"/>
      <c r="T3" s="183">
        <f t="array" ref="T3">IF(AND(ISBLANK(F3:S3)),"", SUM(F3:J3)/15*40 + SUM(K3:S3)/27*60)</f>
        <v>21.333333333333332</v>
      </c>
    </row>
    <row r="4" spans="1:20">
      <c r="A4" s="178">
        <v>1</v>
      </c>
      <c r="B4" s="178" t="s">
        <v>30</v>
      </c>
      <c r="C4" s="178" t="s">
        <v>1793</v>
      </c>
      <c r="D4" s="178">
        <v>7</v>
      </c>
      <c r="E4" s="178" t="s">
        <v>29</v>
      </c>
      <c r="F4" s="180">
        <v>2</v>
      </c>
      <c r="G4" s="180">
        <v>2</v>
      </c>
      <c r="H4" s="178">
        <v>2</v>
      </c>
      <c r="I4" s="178">
        <v>1</v>
      </c>
      <c r="J4" s="178">
        <v>3</v>
      </c>
      <c r="K4" s="180">
        <v>3</v>
      </c>
      <c r="L4" s="180">
        <v>1</v>
      </c>
      <c r="M4" s="180">
        <v>2</v>
      </c>
      <c r="N4" s="181">
        <v>3</v>
      </c>
      <c r="O4" s="181">
        <v>3</v>
      </c>
      <c r="P4" s="181">
        <v>1</v>
      </c>
      <c r="Q4" s="182">
        <v>0</v>
      </c>
      <c r="R4" s="182">
        <v>3</v>
      </c>
      <c r="S4" s="182">
        <v>3</v>
      </c>
      <c r="T4" s="183">
        <f t="array" ref="T4">IF(AND(ISBLANK(F4:S4)),"", SUM(F4:J4)/15*40 + SUM(K4:S4)/27*60)</f>
        <v>68.888888888888886</v>
      </c>
    </row>
    <row r="5" spans="1:20">
      <c r="A5" s="178">
        <v>2</v>
      </c>
      <c r="B5" s="178" t="s">
        <v>33</v>
      </c>
      <c r="C5" s="178" t="s">
        <v>31</v>
      </c>
      <c r="D5" s="178">
        <v>4</v>
      </c>
      <c r="E5" s="178" t="s">
        <v>32</v>
      </c>
      <c r="F5" s="180">
        <v>1</v>
      </c>
      <c r="G5" s="180">
        <v>0</v>
      </c>
      <c r="H5" s="178">
        <v>1</v>
      </c>
      <c r="I5" s="178">
        <v>0</v>
      </c>
      <c r="K5" s="180">
        <v>3</v>
      </c>
      <c r="L5" s="180">
        <v>3</v>
      </c>
      <c r="M5" s="180">
        <v>1</v>
      </c>
      <c r="N5" s="178">
        <v>1</v>
      </c>
      <c r="O5" s="178">
        <v>0</v>
      </c>
      <c r="P5" s="178">
        <v>0</v>
      </c>
      <c r="Q5" s="178">
        <v>0</v>
      </c>
      <c r="R5" s="178">
        <v>0</v>
      </c>
      <c r="T5" s="183">
        <f t="array" ref="T5">IF(AND(ISBLANK(F5:S5)),"", SUM(F5:J5)/15*40 + SUM(K5:S5)/27*60)</f>
        <v>23.111111111111111</v>
      </c>
    </row>
    <row r="6" spans="1:20">
      <c r="A6" s="178">
        <v>3</v>
      </c>
      <c r="B6" s="178" t="s">
        <v>36</v>
      </c>
      <c r="C6" s="178" t="s">
        <v>34</v>
      </c>
      <c r="D6" s="178">
        <v>1</v>
      </c>
      <c r="E6" s="178" t="s">
        <v>35</v>
      </c>
      <c r="F6" s="180">
        <v>3</v>
      </c>
      <c r="G6" s="180">
        <v>3</v>
      </c>
      <c r="H6" s="178">
        <v>3</v>
      </c>
      <c r="I6" s="178">
        <v>2</v>
      </c>
      <c r="J6" s="178">
        <v>3</v>
      </c>
      <c r="K6" s="180">
        <v>3</v>
      </c>
      <c r="L6" s="180">
        <v>3</v>
      </c>
      <c r="M6" s="180">
        <v>2</v>
      </c>
      <c r="N6" s="181">
        <v>1</v>
      </c>
      <c r="O6" s="181">
        <v>1</v>
      </c>
      <c r="P6" s="181">
        <v>2</v>
      </c>
      <c r="Q6" s="182">
        <v>1</v>
      </c>
      <c r="R6" s="182">
        <v>3</v>
      </c>
      <c r="S6" s="182">
        <v>2</v>
      </c>
      <c r="T6" s="183">
        <f t="array" ref="T6">IF(AND(ISBLANK(F6:S6)),"", SUM(F6:J6)/15*40 + SUM(K6:S6)/27*60)</f>
        <v>77.333333333333343</v>
      </c>
    </row>
    <row r="7" spans="1:20">
      <c r="A7" s="178">
        <v>4</v>
      </c>
      <c r="B7" s="178" t="s">
        <v>39</v>
      </c>
      <c r="C7" s="178" t="s">
        <v>1782</v>
      </c>
      <c r="D7" s="178">
        <v>8</v>
      </c>
      <c r="E7" s="178" t="s">
        <v>38</v>
      </c>
      <c r="F7" s="180">
        <v>1</v>
      </c>
      <c r="G7" s="180">
        <v>0</v>
      </c>
      <c r="H7" s="178">
        <v>3</v>
      </c>
      <c r="I7" s="178">
        <v>0</v>
      </c>
      <c r="J7" s="178">
        <v>3</v>
      </c>
      <c r="K7" s="180">
        <v>3</v>
      </c>
      <c r="L7" s="180">
        <v>2</v>
      </c>
      <c r="M7" s="180">
        <v>2</v>
      </c>
      <c r="N7" s="181">
        <v>1</v>
      </c>
      <c r="O7" s="181">
        <v>1</v>
      </c>
      <c r="P7" s="181">
        <v>0</v>
      </c>
      <c r="Q7" s="182">
        <v>2</v>
      </c>
      <c r="R7" s="182">
        <v>0</v>
      </c>
      <c r="S7" s="182">
        <v>2</v>
      </c>
      <c r="T7" s="183">
        <f t="array" ref="T7">IF(AND(ISBLANK(F7:S7)),"", SUM(F7:J7)/15*40 + SUM(K7:S7)/27*60)</f>
        <v>47.555555555555557</v>
      </c>
    </row>
    <row r="8" spans="1:20">
      <c r="A8" s="178">
        <v>5</v>
      </c>
      <c r="B8" s="178" t="s">
        <v>42</v>
      </c>
      <c r="C8" s="178" t="s">
        <v>40</v>
      </c>
      <c r="D8" s="178">
        <v>5</v>
      </c>
      <c r="E8" s="178" t="s">
        <v>41</v>
      </c>
      <c r="T8" s="183">
        <v>0</v>
      </c>
    </row>
    <row r="9" spans="1:20">
      <c r="A9" s="178">
        <v>6</v>
      </c>
      <c r="B9" s="178" t="s">
        <v>45</v>
      </c>
      <c r="C9" s="178" t="s">
        <v>43</v>
      </c>
      <c r="D9" s="178">
        <v>7</v>
      </c>
      <c r="E9" s="178" t="s">
        <v>44</v>
      </c>
      <c r="F9" s="180">
        <v>1</v>
      </c>
      <c r="G9" s="180">
        <v>0</v>
      </c>
      <c r="H9" s="178">
        <v>1</v>
      </c>
      <c r="I9" s="178">
        <v>0</v>
      </c>
      <c r="K9" s="180">
        <v>0</v>
      </c>
      <c r="L9" s="180">
        <v>0</v>
      </c>
      <c r="M9" s="180">
        <v>0</v>
      </c>
      <c r="N9" s="181">
        <v>2</v>
      </c>
      <c r="O9" s="181">
        <v>3</v>
      </c>
      <c r="P9" s="181">
        <v>0</v>
      </c>
      <c r="Q9" s="182"/>
      <c r="R9" s="182"/>
      <c r="S9" s="182"/>
      <c r="T9" s="183">
        <f t="array" ref="T9">IF(AND(ISBLANK(F9:S9)),"", SUM(F9:J9)/15*40 + SUM(K9:S9)/27*60)</f>
        <v>16.444444444444443</v>
      </c>
    </row>
    <row r="10" spans="1:20">
      <c r="A10" s="178">
        <v>7</v>
      </c>
      <c r="B10" s="178" t="s">
        <v>48</v>
      </c>
      <c r="C10" s="178" t="s">
        <v>46</v>
      </c>
      <c r="D10" s="178">
        <v>6</v>
      </c>
      <c r="E10" s="178" t="s">
        <v>47</v>
      </c>
      <c r="F10" s="180">
        <v>3</v>
      </c>
      <c r="G10" s="180">
        <v>3</v>
      </c>
      <c r="H10" s="178">
        <v>3</v>
      </c>
      <c r="I10" s="178">
        <v>3</v>
      </c>
      <c r="J10" s="178">
        <v>3</v>
      </c>
      <c r="K10" s="180">
        <v>3</v>
      </c>
      <c r="L10" s="180">
        <v>3</v>
      </c>
      <c r="M10" s="180">
        <v>3</v>
      </c>
      <c r="N10" s="181">
        <v>1</v>
      </c>
      <c r="O10" s="181">
        <v>1</v>
      </c>
      <c r="P10" s="181">
        <v>2</v>
      </c>
      <c r="Q10" s="182">
        <v>3</v>
      </c>
      <c r="R10" s="182">
        <v>3</v>
      </c>
      <c r="S10" s="182">
        <v>2</v>
      </c>
      <c r="T10" s="183">
        <f t="array" ref="T10">IF(AND(ISBLANK(F10:S10)),"", SUM(F10:J10)/15*40 + SUM(K10:S10)/27*60)</f>
        <v>86.666666666666657</v>
      </c>
    </row>
    <row r="11" spans="1:20">
      <c r="A11" s="178">
        <v>8</v>
      </c>
      <c r="B11" s="178" t="s">
        <v>51</v>
      </c>
      <c r="C11" s="178" t="s">
        <v>1642</v>
      </c>
      <c r="D11" s="178">
        <v>5</v>
      </c>
      <c r="E11" s="178" t="s">
        <v>50</v>
      </c>
      <c r="F11" s="180">
        <v>3</v>
      </c>
      <c r="G11" s="180">
        <v>3</v>
      </c>
      <c r="H11" s="178">
        <v>3</v>
      </c>
      <c r="I11" s="178">
        <v>1</v>
      </c>
      <c r="J11" s="178">
        <v>2</v>
      </c>
      <c r="K11" s="180">
        <v>2.25</v>
      </c>
      <c r="L11" s="180">
        <v>3</v>
      </c>
      <c r="M11" s="180">
        <v>3</v>
      </c>
      <c r="N11" s="181">
        <v>1</v>
      </c>
      <c r="O11" s="181">
        <v>3</v>
      </c>
      <c r="P11" s="181">
        <v>3</v>
      </c>
      <c r="Q11" s="184">
        <v>3</v>
      </c>
      <c r="R11" s="182">
        <v>2</v>
      </c>
      <c r="S11" s="182">
        <v>2</v>
      </c>
      <c r="T11" s="183">
        <f t="array" ref="T11">IF(AND(ISBLANK(F11:S11)),"", SUM(F11:J11)/15*40 + SUM(K11:S11)/27*60)</f>
        <v>81.444444444444443</v>
      </c>
    </row>
    <row r="12" spans="1:20">
      <c r="A12" s="178">
        <v>9</v>
      </c>
      <c r="B12" s="178" t="s">
        <v>54</v>
      </c>
      <c r="C12" s="178" t="s">
        <v>52</v>
      </c>
      <c r="D12" s="178">
        <v>9</v>
      </c>
      <c r="E12" s="178" t="s">
        <v>53</v>
      </c>
      <c r="F12" s="180">
        <v>3</v>
      </c>
      <c r="G12" s="180">
        <v>0</v>
      </c>
      <c r="H12" s="178">
        <v>2</v>
      </c>
      <c r="I12" s="178">
        <v>0</v>
      </c>
      <c r="J12" s="178">
        <v>3</v>
      </c>
      <c r="K12" s="180">
        <v>3</v>
      </c>
      <c r="L12" s="180">
        <v>3</v>
      </c>
      <c r="M12" s="180">
        <v>3</v>
      </c>
      <c r="N12" s="178">
        <v>1</v>
      </c>
      <c r="O12" s="178">
        <v>0</v>
      </c>
      <c r="P12" s="178">
        <v>2</v>
      </c>
      <c r="Q12" s="178">
        <v>1</v>
      </c>
      <c r="R12" s="178">
        <v>1</v>
      </c>
      <c r="S12" s="178">
        <v>0</v>
      </c>
      <c r="T12" s="183">
        <f t="array" ref="T12">IF(AND(ISBLANK(F12:S12)),"", SUM(F12:J12)/15*40 + SUM(K12:S12)/27*60)</f>
        <v>52.444444444444443</v>
      </c>
    </row>
    <row r="13" spans="1:20">
      <c r="A13" s="178">
        <v>10</v>
      </c>
      <c r="B13" s="178" t="s">
        <v>57</v>
      </c>
      <c r="C13" s="178" t="s">
        <v>55</v>
      </c>
      <c r="D13" s="178">
        <v>11</v>
      </c>
      <c r="E13" s="178" t="s">
        <v>56</v>
      </c>
      <c r="F13" s="180">
        <v>3</v>
      </c>
      <c r="G13" s="180">
        <v>1</v>
      </c>
      <c r="H13" s="178">
        <v>3</v>
      </c>
      <c r="I13" s="178">
        <v>2</v>
      </c>
      <c r="J13" s="178">
        <v>3</v>
      </c>
      <c r="K13" s="180">
        <v>2.75</v>
      </c>
      <c r="L13" s="180">
        <v>3</v>
      </c>
      <c r="M13" s="180">
        <v>2</v>
      </c>
      <c r="N13" s="181">
        <v>3</v>
      </c>
      <c r="O13" s="181">
        <v>3</v>
      </c>
      <c r="P13" s="181">
        <v>1</v>
      </c>
      <c r="Q13" s="182">
        <v>3</v>
      </c>
      <c r="R13" s="182">
        <v>3</v>
      </c>
      <c r="S13" s="182">
        <v>2</v>
      </c>
      <c r="T13" s="183">
        <f t="array" ref="T13">IF(AND(ISBLANK(F13:S13)),"", SUM(F13:J13)/15*40 + SUM(K13:S13)/27*60)</f>
        <v>82.555555555555557</v>
      </c>
    </row>
    <row r="14" spans="1:20">
      <c r="A14" s="178">
        <v>328</v>
      </c>
      <c r="C14" s="178" t="s">
        <v>58</v>
      </c>
      <c r="D14" s="178">
        <v>10</v>
      </c>
      <c r="E14" s="178" t="s">
        <v>1994</v>
      </c>
      <c r="F14" s="180">
        <v>1</v>
      </c>
      <c r="G14" s="180">
        <v>0</v>
      </c>
      <c r="H14" s="178">
        <v>0</v>
      </c>
      <c r="I14" s="178">
        <v>0</v>
      </c>
      <c r="K14" s="180">
        <v>0</v>
      </c>
      <c r="L14" s="180">
        <v>3</v>
      </c>
      <c r="M14" s="180">
        <v>1</v>
      </c>
      <c r="N14" s="181">
        <v>2</v>
      </c>
      <c r="O14" s="181">
        <v>0</v>
      </c>
      <c r="P14" s="181">
        <v>0</v>
      </c>
      <c r="T14" s="183">
        <f t="array" ref="T14">IF(AND(ISBLANK(F14:S14)),"", SUM(F14:J14)/15*40 + SUM(K14:S14)/27*60)</f>
        <v>15.999999999999998</v>
      </c>
    </row>
    <row r="15" spans="1:20">
      <c r="A15" s="178">
        <v>11</v>
      </c>
      <c r="B15" s="178" t="s">
        <v>61</v>
      </c>
      <c r="C15" s="178" t="s">
        <v>59</v>
      </c>
      <c r="D15" s="178">
        <v>10</v>
      </c>
      <c r="E15" s="178" t="s">
        <v>60</v>
      </c>
      <c r="F15" s="180">
        <v>1</v>
      </c>
      <c r="G15" s="180">
        <v>0</v>
      </c>
      <c r="H15" s="178">
        <v>1</v>
      </c>
      <c r="I15" s="178">
        <v>0</v>
      </c>
      <c r="J15" s="178">
        <v>3</v>
      </c>
      <c r="K15" s="180">
        <v>3</v>
      </c>
      <c r="L15" s="180">
        <v>0</v>
      </c>
      <c r="M15" s="180">
        <v>1</v>
      </c>
      <c r="N15" s="181">
        <v>0</v>
      </c>
      <c r="O15" s="181">
        <v>0</v>
      </c>
      <c r="P15" s="181">
        <v>0</v>
      </c>
      <c r="Q15" s="182">
        <v>0</v>
      </c>
      <c r="R15" s="182"/>
      <c r="S15" s="182"/>
      <c r="T15" s="183">
        <f t="array" ref="T15">IF(AND(ISBLANK(F15:S15)),"", SUM(F15:J15)/15*40 + SUM(K15:S15)/27*60)</f>
        <v>22.222222222222221</v>
      </c>
    </row>
    <row r="16" spans="1:20">
      <c r="A16" s="178">
        <v>12</v>
      </c>
      <c r="B16" s="178" t="s">
        <v>64</v>
      </c>
      <c r="C16" s="178" t="s">
        <v>62</v>
      </c>
      <c r="D16" s="178">
        <v>5</v>
      </c>
      <c r="E16" s="178" t="s">
        <v>63</v>
      </c>
      <c r="F16" s="180">
        <v>1</v>
      </c>
      <c r="G16" s="180">
        <v>2</v>
      </c>
      <c r="H16" s="178">
        <v>2</v>
      </c>
      <c r="I16" s="178">
        <v>0</v>
      </c>
      <c r="J16" s="178">
        <v>2</v>
      </c>
      <c r="K16" s="180">
        <v>2.25</v>
      </c>
      <c r="L16" s="180">
        <v>3</v>
      </c>
      <c r="M16" s="180">
        <v>2</v>
      </c>
      <c r="N16" s="181">
        <v>2</v>
      </c>
      <c r="O16" s="181">
        <v>0</v>
      </c>
      <c r="P16" s="181">
        <v>1</v>
      </c>
      <c r="Q16" s="182">
        <v>2</v>
      </c>
      <c r="R16" s="182">
        <v>0</v>
      </c>
      <c r="S16" s="182"/>
      <c r="T16" s="183">
        <f t="array" ref="T16">IF(AND(ISBLANK(F16:S16)),"", SUM(F16:J16)/15*40 + SUM(K16:S16)/27*60)</f>
        <v>45.888888888888886</v>
      </c>
    </row>
    <row r="17" spans="1:20">
      <c r="A17" s="178">
        <v>13</v>
      </c>
      <c r="B17" s="178" t="s">
        <v>67</v>
      </c>
      <c r="C17" s="178" t="s">
        <v>65</v>
      </c>
      <c r="D17" s="178">
        <v>1</v>
      </c>
      <c r="E17" s="178" t="s">
        <v>66</v>
      </c>
      <c r="F17" s="180">
        <v>2</v>
      </c>
      <c r="G17" s="180">
        <v>0</v>
      </c>
      <c r="H17" s="178">
        <v>1</v>
      </c>
      <c r="I17" s="178">
        <v>0</v>
      </c>
      <c r="K17" s="180">
        <v>3</v>
      </c>
      <c r="L17" s="180">
        <v>2</v>
      </c>
      <c r="M17" s="180">
        <v>0</v>
      </c>
      <c r="N17" s="181">
        <v>1</v>
      </c>
      <c r="O17" s="181">
        <v>0</v>
      </c>
      <c r="P17" s="181">
        <v>0</v>
      </c>
      <c r="Q17" s="182"/>
      <c r="R17" s="182"/>
      <c r="S17" s="182"/>
      <c r="T17" s="183">
        <f t="array" ref="T17">IF(AND(ISBLANK(F17:S17)),"", SUM(F17:J17)/15*40 + SUM(K17:S17)/27*60)</f>
        <v>21.333333333333332</v>
      </c>
    </row>
    <row r="18" spans="1:20">
      <c r="A18" s="178">
        <v>14</v>
      </c>
      <c r="B18" s="178" t="s">
        <v>70</v>
      </c>
      <c r="C18" s="178" t="s">
        <v>68</v>
      </c>
      <c r="D18" s="178">
        <v>10</v>
      </c>
      <c r="E18" s="178" t="s">
        <v>69</v>
      </c>
      <c r="F18" s="180">
        <v>2</v>
      </c>
      <c r="G18" s="180">
        <v>0</v>
      </c>
      <c r="H18" s="178">
        <v>0</v>
      </c>
      <c r="I18" s="178">
        <v>0</v>
      </c>
      <c r="J18" s="178">
        <v>2</v>
      </c>
      <c r="K18" s="180">
        <v>3</v>
      </c>
      <c r="L18" s="180">
        <v>2</v>
      </c>
      <c r="M18" s="180">
        <v>2</v>
      </c>
      <c r="N18" s="181">
        <v>1</v>
      </c>
      <c r="O18" s="181">
        <v>0</v>
      </c>
      <c r="P18" s="181">
        <v>0</v>
      </c>
      <c r="Q18" s="182">
        <v>0</v>
      </c>
      <c r="R18" s="182"/>
      <c r="S18" s="182"/>
      <c r="T18" s="183">
        <f t="array" ref="T18">IF(AND(ISBLANK(F18:S18)),"", SUM(F18:J18)/15*40 + SUM(K18:S18)/27*60)</f>
        <v>28.444444444444443</v>
      </c>
    </row>
    <row r="19" spans="1:20">
      <c r="A19" s="178">
        <v>311</v>
      </c>
      <c r="B19" s="178" t="s">
        <v>1995</v>
      </c>
      <c r="C19" s="178" t="s">
        <v>1996</v>
      </c>
      <c r="D19" s="178" t="s">
        <v>1993</v>
      </c>
      <c r="F19" s="180">
        <v>3</v>
      </c>
      <c r="G19" s="180">
        <v>2</v>
      </c>
      <c r="H19" s="178">
        <v>3</v>
      </c>
      <c r="I19" s="178">
        <v>2</v>
      </c>
      <c r="J19" s="178">
        <v>3</v>
      </c>
      <c r="K19" s="180">
        <v>0</v>
      </c>
      <c r="L19" s="180">
        <v>0</v>
      </c>
      <c r="M19" s="180">
        <v>0</v>
      </c>
      <c r="N19" s="181">
        <v>1</v>
      </c>
      <c r="O19" s="181">
        <v>3</v>
      </c>
      <c r="P19" s="181">
        <v>0</v>
      </c>
      <c r="Q19" s="182">
        <v>3</v>
      </c>
      <c r="R19" s="182">
        <v>2</v>
      </c>
      <c r="S19" s="182">
        <v>3</v>
      </c>
      <c r="T19" s="183">
        <f t="array" ref="T19">IF(AND(ISBLANK(F19:S19)),"", SUM(F19:J19)/15*40 + SUM(K19:S19)/27*60)</f>
        <v>61.333333333333336</v>
      </c>
    </row>
    <row r="20" spans="1:20">
      <c r="A20" s="178">
        <v>15</v>
      </c>
      <c r="B20" s="178" t="s">
        <v>73</v>
      </c>
      <c r="C20" s="178" t="s">
        <v>71</v>
      </c>
      <c r="D20" s="178">
        <v>7</v>
      </c>
      <c r="E20" s="178" t="s">
        <v>72</v>
      </c>
      <c r="F20" s="180">
        <v>3</v>
      </c>
      <c r="G20" s="180">
        <v>3</v>
      </c>
      <c r="H20" s="178">
        <v>3</v>
      </c>
      <c r="I20" s="178">
        <v>0</v>
      </c>
      <c r="J20" s="178">
        <v>3</v>
      </c>
      <c r="K20" s="180">
        <v>3</v>
      </c>
      <c r="L20" s="180">
        <v>3</v>
      </c>
      <c r="M20" s="180">
        <v>3</v>
      </c>
      <c r="N20" s="178">
        <v>3</v>
      </c>
      <c r="O20" s="178">
        <v>3</v>
      </c>
      <c r="P20" s="178">
        <v>3</v>
      </c>
      <c r="Q20" s="178">
        <v>3</v>
      </c>
      <c r="R20" s="178">
        <v>3</v>
      </c>
      <c r="S20" s="178">
        <v>2</v>
      </c>
      <c r="T20" s="183">
        <f t="array" ref="T20">IF(AND(ISBLANK(F20:S20)),"", SUM(F20:J20)/15*40 + SUM(K20:S20)/27*60)</f>
        <v>89.777777777777771</v>
      </c>
    </row>
    <row r="21" spans="1:20">
      <c r="A21" s="178">
        <v>16</v>
      </c>
      <c r="B21" s="178" t="s">
        <v>76</v>
      </c>
      <c r="C21" s="178" t="s">
        <v>74</v>
      </c>
      <c r="D21" s="178">
        <v>4</v>
      </c>
      <c r="E21" s="178" t="s">
        <v>75</v>
      </c>
      <c r="N21" s="181"/>
      <c r="O21" s="181"/>
      <c r="P21" s="181"/>
      <c r="Q21" s="182"/>
      <c r="R21" s="182"/>
      <c r="S21" s="182"/>
      <c r="T21" s="183">
        <v>0</v>
      </c>
    </row>
    <row r="22" spans="1:20">
      <c r="A22" s="178">
        <v>17</v>
      </c>
      <c r="B22" s="178" t="s">
        <v>79</v>
      </c>
      <c r="C22" s="178" t="s">
        <v>77</v>
      </c>
      <c r="D22" s="178">
        <v>6</v>
      </c>
      <c r="E22" s="178" t="s">
        <v>78</v>
      </c>
      <c r="F22" s="178">
        <v>2</v>
      </c>
      <c r="G22" s="178">
        <v>1</v>
      </c>
      <c r="H22" s="178">
        <v>3</v>
      </c>
      <c r="I22" s="178">
        <v>0</v>
      </c>
      <c r="J22" s="178">
        <v>2</v>
      </c>
      <c r="K22" s="178">
        <v>3</v>
      </c>
      <c r="L22" s="178">
        <v>3</v>
      </c>
      <c r="M22" s="178">
        <v>3</v>
      </c>
      <c r="N22" s="181">
        <v>2</v>
      </c>
      <c r="O22" s="181">
        <v>0</v>
      </c>
      <c r="P22" s="181">
        <v>0</v>
      </c>
      <c r="Q22" s="182">
        <v>0</v>
      </c>
      <c r="R22" s="182">
        <v>0</v>
      </c>
      <c r="S22" s="182">
        <v>0</v>
      </c>
      <c r="T22" s="183">
        <f t="array" ref="T22">IF(AND(ISBLANK(F22:S22)),"", SUM(F22:J22)/15*40 + SUM(K22:S22)/27*60)</f>
        <v>45.777777777777771</v>
      </c>
    </row>
    <row r="23" spans="1:20">
      <c r="A23" s="178">
        <v>312</v>
      </c>
      <c r="B23" s="178" t="s">
        <v>1997</v>
      </c>
      <c r="C23" s="178" t="s">
        <v>1998</v>
      </c>
      <c r="D23" s="178" t="s">
        <v>1993</v>
      </c>
      <c r="F23" s="178">
        <v>3</v>
      </c>
      <c r="G23" s="178">
        <v>0</v>
      </c>
      <c r="H23" s="178">
        <v>2</v>
      </c>
      <c r="I23" s="178">
        <v>1</v>
      </c>
      <c r="J23" s="178">
        <v>0</v>
      </c>
      <c r="K23" s="178">
        <v>3</v>
      </c>
      <c r="L23" s="178">
        <v>1.5</v>
      </c>
      <c r="M23" s="178">
        <v>0.5</v>
      </c>
      <c r="N23" s="181">
        <v>1</v>
      </c>
      <c r="O23" s="181">
        <v>0</v>
      </c>
      <c r="P23" s="181">
        <v>0</v>
      </c>
      <c r="Q23" s="182">
        <v>0</v>
      </c>
      <c r="R23" s="182"/>
      <c r="S23" s="182"/>
      <c r="T23" s="183">
        <f t="array" ref="T23">IF(AND(ISBLANK(F23:S23)),"", SUM(F23:J23)/15*40 + SUM(K23:S23)/27*60)</f>
        <v>29.333333333333332</v>
      </c>
    </row>
    <row r="24" spans="1:20">
      <c r="A24" s="178">
        <v>18</v>
      </c>
      <c r="B24" s="178" t="s">
        <v>82</v>
      </c>
      <c r="C24" s="178" t="s">
        <v>80</v>
      </c>
      <c r="D24" s="178">
        <v>6</v>
      </c>
      <c r="E24" s="178" t="s">
        <v>81</v>
      </c>
      <c r="F24" s="180">
        <v>2</v>
      </c>
      <c r="G24" s="180">
        <v>1</v>
      </c>
      <c r="H24" s="178">
        <v>3</v>
      </c>
      <c r="I24" s="178">
        <v>1</v>
      </c>
      <c r="J24" s="178">
        <v>3</v>
      </c>
      <c r="K24" s="180">
        <v>3</v>
      </c>
      <c r="L24" s="180">
        <v>3</v>
      </c>
      <c r="M24" s="180">
        <v>2</v>
      </c>
      <c r="N24" s="181">
        <v>3</v>
      </c>
      <c r="O24" s="181">
        <v>3</v>
      </c>
      <c r="P24" s="181">
        <v>0</v>
      </c>
      <c r="Q24" s="182">
        <v>2.5</v>
      </c>
      <c r="R24" s="182">
        <v>2</v>
      </c>
      <c r="S24" s="182">
        <v>2</v>
      </c>
      <c r="T24" s="183">
        <f t="array" ref="T24">IF(AND(ISBLANK(F24:S24)),"", SUM(F24:J24)/15*40 + SUM(K24:S24)/27*60)</f>
        <v>72.222222222222229</v>
      </c>
    </row>
    <row r="25" spans="1:20">
      <c r="A25" s="178">
        <v>313</v>
      </c>
      <c r="B25" s="178" t="s">
        <v>1999</v>
      </c>
      <c r="C25" s="178" t="s">
        <v>2000</v>
      </c>
      <c r="D25" s="178" t="s">
        <v>1993</v>
      </c>
      <c r="N25" s="181"/>
      <c r="O25" s="181"/>
      <c r="P25" s="181"/>
      <c r="T25" s="183">
        <v>0</v>
      </c>
    </row>
    <row r="26" spans="1:20">
      <c r="A26" s="178">
        <v>19</v>
      </c>
      <c r="B26" s="178" t="s">
        <v>85</v>
      </c>
      <c r="C26" s="178" t="s">
        <v>83</v>
      </c>
      <c r="D26" s="178">
        <v>3</v>
      </c>
      <c r="E26" s="178" t="s">
        <v>84</v>
      </c>
      <c r="F26" s="180">
        <v>3</v>
      </c>
      <c r="G26" s="180">
        <v>3</v>
      </c>
      <c r="H26" s="178">
        <v>3</v>
      </c>
      <c r="I26" s="178">
        <v>3</v>
      </c>
      <c r="J26" s="178">
        <v>3</v>
      </c>
      <c r="K26" s="180">
        <v>3</v>
      </c>
      <c r="L26" s="180">
        <v>3</v>
      </c>
      <c r="M26" s="180">
        <v>3</v>
      </c>
      <c r="N26" s="181">
        <v>3</v>
      </c>
      <c r="O26" s="181">
        <v>3</v>
      </c>
      <c r="P26" s="181">
        <v>3</v>
      </c>
      <c r="Q26" s="182">
        <v>2.5</v>
      </c>
      <c r="R26" s="182">
        <v>3</v>
      </c>
      <c r="S26" s="182">
        <v>2</v>
      </c>
      <c r="T26" s="183">
        <f t="array" ref="T26">IF(AND(ISBLANK(F26:S26)),"", SUM(F26:J26)/15*40 + SUM(K26:S26)/27*60)</f>
        <v>96.666666666666657</v>
      </c>
    </row>
    <row r="27" spans="1:20">
      <c r="A27" s="178">
        <v>20</v>
      </c>
      <c r="B27" s="178" t="s">
        <v>88</v>
      </c>
      <c r="C27" s="178" t="s">
        <v>86</v>
      </c>
      <c r="D27" s="178">
        <v>5</v>
      </c>
      <c r="E27" s="178" t="s">
        <v>87</v>
      </c>
      <c r="N27" s="181"/>
      <c r="O27" s="181"/>
      <c r="P27" s="181"/>
      <c r="Q27" s="182"/>
      <c r="R27" s="182"/>
      <c r="S27" s="182"/>
      <c r="T27" s="183">
        <v>0</v>
      </c>
    </row>
    <row r="28" spans="1:20">
      <c r="A28" s="178">
        <v>21</v>
      </c>
      <c r="B28" s="178" t="s">
        <v>91</v>
      </c>
      <c r="C28" s="178" t="s">
        <v>1925</v>
      </c>
      <c r="D28" s="178">
        <v>3</v>
      </c>
      <c r="E28" s="178" t="s">
        <v>90</v>
      </c>
      <c r="F28" s="180">
        <v>1</v>
      </c>
      <c r="G28" s="180">
        <v>0</v>
      </c>
      <c r="H28" s="178">
        <v>0</v>
      </c>
      <c r="I28" s="178">
        <v>0</v>
      </c>
      <c r="J28" s="178">
        <v>1</v>
      </c>
      <c r="K28" s="180">
        <v>0</v>
      </c>
      <c r="L28" s="180">
        <v>2</v>
      </c>
      <c r="M28" s="180">
        <v>0</v>
      </c>
      <c r="N28" s="178">
        <v>0</v>
      </c>
      <c r="O28" s="178">
        <v>0</v>
      </c>
      <c r="P28" s="178">
        <v>0</v>
      </c>
      <c r="T28" s="183">
        <f t="array" ref="T28">IF(AND(ISBLANK(F28:S28)),"", SUM(F28:J28)/15*40 + SUM(K28:S28)/27*60)</f>
        <v>9.7777777777777786</v>
      </c>
    </row>
    <row r="29" spans="1:20">
      <c r="A29" s="178">
        <v>22</v>
      </c>
      <c r="B29" s="178" t="s">
        <v>94</v>
      </c>
      <c r="C29" s="178" t="s">
        <v>92</v>
      </c>
      <c r="D29" s="178">
        <v>11</v>
      </c>
      <c r="E29" s="178" t="s">
        <v>93</v>
      </c>
      <c r="F29" s="180">
        <v>2</v>
      </c>
      <c r="G29" s="180">
        <v>3</v>
      </c>
      <c r="H29" s="178">
        <v>3</v>
      </c>
      <c r="I29" s="178">
        <v>2</v>
      </c>
      <c r="J29" s="178">
        <v>3</v>
      </c>
      <c r="K29" s="180">
        <v>3</v>
      </c>
      <c r="L29" s="180">
        <v>3</v>
      </c>
      <c r="M29" s="180">
        <v>3</v>
      </c>
      <c r="N29" s="181">
        <v>3</v>
      </c>
      <c r="O29" s="181">
        <v>3</v>
      </c>
      <c r="P29" s="181">
        <v>0</v>
      </c>
      <c r="Q29" s="182">
        <v>0.5</v>
      </c>
      <c r="R29" s="182">
        <v>1</v>
      </c>
      <c r="S29" s="182">
        <v>0</v>
      </c>
      <c r="T29" s="183">
        <f t="array" ref="T29">IF(AND(ISBLANK(F29:S29)),"", SUM(F29:J29)/15*40 + SUM(K29:S29)/27*60)</f>
        <v>71.333333333333343</v>
      </c>
    </row>
    <row r="30" spans="1:20">
      <c r="A30" s="178">
        <v>23</v>
      </c>
      <c r="B30" s="178" t="s">
        <v>97</v>
      </c>
      <c r="C30" s="178" t="s">
        <v>95</v>
      </c>
      <c r="D30" s="178">
        <v>7</v>
      </c>
      <c r="E30" s="178" t="s">
        <v>96</v>
      </c>
      <c r="F30" s="180">
        <v>2</v>
      </c>
      <c r="G30" s="180">
        <v>3</v>
      </c>
      <c r="H30" s="178">
        <v>3</v>
      </c>
      <c r="I30" s="178">
        <v>1</v>
      </c>
      <c r="J30" s="178">
        <v>3</v>
      </c>
      <c r="K30" s="180">
        <v>3</v>
      </c>
      <c r="L30" s="180">
        <v>2</v>
      </c>
      <c r="M30" s="180">
        <v>2</v>
      </c>
      <c r="N30" s="181">
        <v>3</v>
      </c>
      <c r="O30" s="181">
        <v>3</v>
      </c>
      <c r="P30" s="181">
        <v>3</v>
      </c>
      <c r="Q30" s="182">
        <v>2</v>
      </c>
      <c r="R30" s="182">
        <v>2</v>
      </c>
      <c r="S30" s="182">
        <v>2</v>
      </c>
      <c r="T30" s="183">
        <f t="array" ref="T30">IF(AND(ISBLANK(F30:S30)),"", SUM(F30:J30)/15*40 + SUM(K30:S30)/27*60)</f>
        <v>80.888888888888886</v>
      </c>
    </row>
    <row r="31" spans="1:20">
      <c r="A31" s="178">
        <v>24</v>
      </c>
      <c r="B31" s="178" t="s">
        <v>100</v>
      </c>
      <c r="C31" s="178" t="s">
        <v>98</v>
      </c>
      <c r="D31" s="178">
        <v>7</v>
      </c>
      <c r="E31" s="178" t="s">
        <v>99</v>
      </c>
      <c r="F31" s="180">
        <v>3</v>
      </c>
      <c r="G31" s="180">
        <v>1</v>
      </c>
      <c r="H31" s="178">
        <v>3</v>
      </c>
      <c r="I31" s="178">
        <v>2</v>
      </c>
      <c r="J31" s="178">
        <v>3</v>
      </c>
      <c r="K31" s="180">
        <v>3</v>
      </c>
      <c r="L31" s="180">
        <v>3</v>
      </c>
      <c r="M31" s="180">
        <v>3</v>
      </c>
      <c r="N31" s="181">
        <v>3</v>
      </c>
      <c r="O31" s="181">
        <v>2</v>
      </c>
      <c r="P31" s="181">
        <v>1</v>
      </c>
      <c r="Q31" s="182">
        <v>1</v>
      </c>
      <c r="R31" s="182">
        <v>1</v>
      </c>
      <c r="S31" s="182">
        <v>3</v>
      </c>
      <c r="T31" s="183">
        <f t="array" ref="T31">IF(AND(ISBLANK(F31:S31)),"", SUM(F31:J31)/15*40 + SUM(K31:S31)/27*60)</f>
        <v>76.444444444444443</v>
      </c>
    </row>
    <row r="32" spans="1:20">
      <c r="A32" s="178">
        <v>25</v>
      </c>
      <c r="B32" s="178" t="s">
        <v>103</v>
      </c>
      <c r="C32" s="178" t="s">
        <v>1638</v>
      </c>
      <c r="D32" s="178">
        <v>3</v>
      </c>
      <c r="E32" s="178" t="s">
        <v>102</v>
      </c>
      <c r="F32" s="180">
        <v>3</v>
      </c>
      <c r="G32" s="180">
        <v>2</v>
      </c>
      <c r="H32" s="178">
        <v>2</v>
      </c>
      <c r="I32" s="178">
        <v>2</v>
      </c>
      <c r="J32" s="178">
        <v>3</v>
      </c>
      <c r="K32" s="180">
        <v>3</v>
      </c>
      <c r="L32" s="180">
        <v>3</v>
      </c>
      <c r="M32" s="180">
        <v>3</v>
      </c>
      <c r="N32" s="181">
        <v>3</v>
      </c>
      <c r="O32" s="181">
        <v>1</v>
      </c>
      <c r="P32" s="181">
        <v>2</v>
      </c>
      <c r="Q32" s="182">
        <v>0</v>
      </c>
      <c r="R32" s="182">
        <v>3</v>
      </c>
      <c r="S32" s="182">
        <v>1</v>
      </c>
      <c r="T32" s="183">
        <f t="array" ref="T32">IF(AND(ISBLANK(F32:S32)),"", SUM(F32:J32)/15*40 + SUM(K32:S32)/27*60)</f>
        <v>74.222222222222229</v>
      </c>
    </row>
    <row r="33" spans="1:20">
      <c r="A33" s="178">
        <v>26</v>
      </c>
      <c r="B33" s="178" t="s">
        <v>106</v>
      </c>
      <c r="C33" s="178" t="s">
        <v>104</v>
      </c>
      <c r="D33" s="178">
        <v>7</v>
      </c>
      <c r="E33" s="178" t="s">
        <v>105</v>
      </c>
      <c r="F33" s="180">
        <v>1</v>
      </c>
      <c r="G33" s="180">
        <v>2</v>
      </c>
      <c r="H33" s="178">
        <v>1</v>
      </c>
      <c r="I33" s="178">
        <v>0</v>
      </c>
      <c r="J33" s="178">
        <v>2</v>
      </c>
      <c r="K33" s="180">
        <v>3</v>
      </c>
      <c r="L33" s="180">
        <v>2</v>
      </c>
      <c r="M33" s="180">
        <v>2</v>
      </c>
      <c r="N33" s="181">
        <v>1</v>
      </c>
      <c r="O33" s="181">
        <v>1</v>
      </c>
      <c r="P33" s="181">
        <v>2</v>
      </c>
      <c r="Q33" s="182">
        <v>0.5</v>
      </c>
      <c r="R33" s="182">
        <v>0</v>
      </c>
      <c r="S33" s="182">
        <v>0</v>
      </c>
      <c r="T33" s="183">
        <f t="array" ref="T33">IF(AND(ISBLANK(F33:S33)),"", SUM(F33:J33)/15*40 + SUM(K33:S33)/27*60)</f>
        <v>41.555555555555557</v>
      </c>
    </row>
    <row r="34" spans="1:20">
      <c r="A34" s="178">
        <v>27</v>
      </c>
      <c r="B34" s="178" t="s">
        <v>109</v>
      </c>
      <c r="C34" s="178" t="s">
        <v>107</v>
      </c>
      <c r="D34" s="178">
        <v>1</v>
      </c>
      <c r="E34" s="178" t="s">
        <v>108</v>
      </c>
      <c r="F34" s="180">
        <v>3</v>
      </c>
      <c r="G34" s="180">
        <v>3</v>
      </c>
      <c r="H34" s="178">
        <v>3</v>
      </c>
      <c r="I34" s="178">
        <v>3</v>
      </c>
      <c r="J34" s="178">
        <v>3</v>
      </c>
      <c r="K34" s="180">
        <v>3</v>
      </c>
      <c r="L34" s="180">
        <v>3</v>
      </c>
      <c r="M34" s="180">
        <v>3</v>
      </c>
      <c r="N34" s="181">
        <v>3</v>
      </c>
      <c r="O34" s="181">
        <v>3</v>
      </c>
      <c r="P34" s="181">
        <v>3</v>
      </c>
      <c r="Q34" s="182">
        <v>3</v>
      </c>
      <c r="R34" s="182">
        <v>3</v>
      </c>
      <c r="S34" s="182">
        <v>3</v>
      </c>
      <c r="T34" s="183">
        <f t="array" ref="T34">IF(AND(ISBLANK(F34:S34)),"", SUM(F34:J34)/15*40 + SUM(K34:S34)/27*60)</f>
        <v>100</v>
      </c>
    </row>
    <row r="35" spans="1:20">
      <c r="A35" s="178">
        <v>28</v>
      </c>
      <c r="B35" s="178" t="s">
        <v>112</v>
      </c>
      <c r="C35" s="178" t="s">
        <v>2080</v>
      </c>
      <c r="D35" s="178">
        <v>12</v>
      </c>
      <c r="E35" s="178" t="s">
        <v>111</v>
      </c>
      <c r="F35" s="178">
        <v>2</v>
      </c>
      <c r="G35" s="178">
        <v>1</v>
      </c>
      <c r="H35" s="178">
        <v>2</v>
      </c>
      <c r="I35" s="178">
        <v>1</v>
      </c>
      <c r="J35" s="178">
        <v>3</v>
      </c>
      <c r="K35" s="178">
        <v>2.75</v>
      </c>
      <c r="L35" s="178">
        <v>3</v>
      </c>
      <c r="M35" s="178">
        <v>1</v>
      </c>
      <c r="N35" s="178">
        <v>3</v>
      </c>
      <c r="O35" s="178">
        <v>3</v>
      </c>
      <c r="P35" s="178">
        <v>0</v>
      </c>
      <c r="Q35" s="178">
        <v>0</v>
      </c>
      <c r="T35" s="183">
        <f t="array" ref="T35">IF(AND(ISBLANK(F35:S35)),"", SUM(F35:J35)/15*40 + SUM(K35:S35)/27*60)</f>
        <v>52.333333333333329</v>
      </c>
    </row>
    <row r="36" spans="1:20">
      <c r="A36" s="178">
        <v>29</v>
      </c>
      <c r="B36" s="178" t="s">
        <v>116</v>
      </c>
      <c r="C36" s="178" t="s">
        <v>114</v>
      </c>
      <c r="D36" s="178">
        <v>5</v>
      </c>
      <c r="E36" s="178" t="s">
        <v>115</v>
      </c>
      <c r="F36" s="180">
        <v>1</v>
      </c>
      <c r="G36" s="180">
        <v>0</v>
      </c>
      <c r="H36" s="178">
        <v>1</v>
      </c>
      <c r="I36" s="178">
        <v>0</v>
      </c>
      <c r="J36" s="178">
        <v>2</v>
      </c>
      <c r="K36" s="180">
        <v>0</v>
      </c>
      <c r="L36" s="180">
        <v>0</v>
      </c>
      <c r="M36" s="180">
        <v>0</v>
      </c>
      <c r="N36" s="181">
        <v>1</v>
      </c>
      <c r="O36" s="181">
        <v>0</v>
      </c>
      <c r="P36" s="181">
        <v>0</v>
      </c>
      <c r="Q36" s="182">
        <v>0</v>
      </c>
      <c r="R36" s="182"/>
      <c r="S36" s="182"/>
      <c r="T36" s="183">
        <f t="array" ref="T36">IF(AND(ISBLANK(F36:S36)),"", SUM(F36:J36)/15*40 + SUM(K36:S36)/27*60)</f>
        <v>12.888888888888889</v>
      </c>
    </row>
    <row r="37" spans="1:20">
      <c r="A37" s="178">
        <v>30</v>
      </c>
      <c r="B37" s="178" t="s">
        <v>119</v>
      </c>
      <c r="C37" s="178" t="s">
        <v>117</v>
      </c>
      <c r="D37" s="178">
        <v>6</v>
      </c>
      <c r="E37" s="178" t="s">
        <v>118</v>
      </c>
      <c r="F37" s="180">
        <v>3</v>
      </c>
      <c r="G37" s="180">
        <v>2</v>
      </c>
      <c r="H37" s="178">
        <v>3</v>
      </c>
      <c r="I37" s="178">
        <v>2</v>
      </c>
      <c r="J37" s="178">
        <v>3</v>
      </c>
      <c r="K37" s="180">
        <v>3</v>
      </c>
      <c r="L37" s="180">
        <v>2</v>
      </c>
      <c r="M37" s="180">
        <v>3</v>
      </c>
      <c r="N37" s="181">
        <v>1</v>
      </c>
      <c r="O37" s="181">
        <v>3</v>
      </c>
      <c r="P37" s="181">
        <v>2</v>
      </c>
      <c r="Q37" s="182">
        <v>2.5</v>
      </c>
      <c r="R37" s="182">
        <v>1</v>
      </c>
      <c r="S37" s="182">
        <v>2</v>
      </c>
      <c r="T37" s="183">
        <f t="array" ref="T37">IF(AND(ISBLANK(F37:S37)),"", SUM(F37:J37)/15*40 + SUM(K37:S37)/27*60)</f>
        <v>78</v>
      </c>
    </row>
    <row r="38" spans="1:20">
      <c r="A38" s="178">
        <v>31</v>
      </c>
      <c r="B38" s="178" t="s">
        <v>124</v>
      </c>
      <c r="C38" s="178" t="s">
        <v>122</v>
      </c>
      <c r="D38" s="178">
        <v>11</v>
      </c>
      <c r="E38" s="178" t="s">
        <v>123</v>
      </c>
      <c r="F38" s="178">
        <v>2</v>
      </c>
      <c r="G38" s="178">
        <v>1</v>
      </c>
      <c r="H38" s="178">
        <v>2</v>
      </c>
      <c r="I38" s="178">
        <v>1</v>
      </c>
      <c r="J38" s="178">
        <v>0</v>
      </c>
      <c r="K38" s="178">
        <v>2.25</v>
      </c>
      <c r="L38" s="178">
        <v>0</v>
      </c>
      <c r="M38" s="178">
        <v>0</v>
      </c>
      <c r="N38" s="181">
        <v>1</v>
      </c>
      <c r="O38" s="181"/>
      <c r="P38" s="181"/>
      <c r="Q38" s="182"/>
      <c r="R38" s="182"/>
      <c r="S38" s="182"/>
      <c r="T38" s="183">
        <f t="array" ref="T38">IF(AND(ISBLANK(F38:S38)),"", SUM(F38:J38)/15*40 + SUM(K38:S38)/27*60)</f>
        <v>23.222222222222221</v>
      </c>
    </row>
    <row r="39" spans="1:20">
      <c r="A39" s="178">
        <v>32</v>
      </c>
      <c r="B39" s="178" t="s">
        <v>127</v>
      </c>
      <c r="C39" s="178" t="s">
        <v>125</v>
      </c>
      <c r="D39" s="178">
        <v>5</v>
      </c>
      <c r="E39" s="178" t="s">
        <v>126</v>
      </c>
      <c r="F39" s="180">
        <v>1</v>
      </c>
      <c r="G39" s="180">
        <v>1</v>
      </c>
      <c r="H39" s="178">
        <v>3</v>
      </c>
      <c r="I39" s="178">
        <v>2</v>
      </c>
      <c r="J39" s="178">
        <v>3</v>
      </c>
      <c r="K39" s="180">
        <v>3</v>
      </c>
      <c r="L39" s="180">
        <v>2</v>
      </c>
      <c r="M39" s="180">
        <v>2</v>
      </c>
      <c r="N39" s="181">
        <v>2</v>
      </c>
      <c r="O39" s="181">
        <v>3</v>
      </c>
      <c r="P39" s="181">
        <v>3</v>
      </c>
      <c r="Q39" s="182">
        <v>2</v>
      </c>
      <c r="R39" s="182">
        <v>0</v>
      </c>
      <c r="S39" s="182">
        <v>2</v>
      </c>
      <c r="T39" s="183">
        <f t="array" ref="T39">IF(AND(ISBLANK(F39:S39)),"", SUM(F39:J39)/15*40 + SUM(K39:S39)/27*60)</f>
        <v>68.888888888888886</v>
      </c>
    </row>
    <row r="40" spans="1:20">
      <c r="A40" s="178">
        <v>33</v>
      </c>
      <c r="B40" s="178" t="s">
        <v>130</v>
      </c>
      <c r="C40" s="178" t="s">
        <v>128</v>
      </c>
      <c r="D40" s="178">
        <v>1</v>
      </c>
      <c r="E40" s="178" t="s">
        <v>129</v>
      </c>
      <c r="F40" s="180">
        <v>3</v>
      </c>
      <c r="G40" s="180">
        <v>2</v>
      </c>
      <c r="H40" s="178">
        <v>3</v>
      </c>
      <c r="I40" s="178">
        <v>1</v>
      </c>
      <c r="J40" s="178">
        <v>3</v>
      </c>
      <c r="K40" s="180">
        <v>2.25</v>
      </c>
      <c r="L40" s="180">
        <v>3</v>
      </c>
      <c r="M40" s="180">
        <v>1</v>
      </c>
      <c r="N40" s="181">
        <v>3</v>
      </c>
      <c r="O40" s="181">
        <v>2</v>
      </c>
      <c r="P40" s="181">
        <v>2</v>
      </c>
      <c r="Q40" s="182">
        <v>3</v>
      </c>
      <c r="R40" s="182">
        <v>3</v>
      </c>
      <c r="S40" s="182">
        <v>2</v>
      </c>
      <c r="T40" s="183">
        <f t="array" ref="T40">IF(AND(ISBLANK(F40:S40)),"", SUM(F40:J40)/15*40 + SUM(K40:S40)/27*60)</f>
        <v>79.222222222222229</v>
      </c>
    </row>
    <row r="41" spans="1:20">
      <c r="A41" s="178">
        <v>34</v>
      </c>
      <c r="B41" s="178" t="s">
        <v>133</v>
      </c>
      <c r="C41" s="178" t="s">
        <v>131</v>
      </c>
      <c r="D41" s="178">
        <v>10</v>
      </c>
      <c r="E41" s="178" t="s">
        <v>132</v>
      </c>
      <c r="F41" s="180">
        <v>2</v>
      </c>
      <c r="G41" s="180">
        <v>0</v>
      </c>
      <c r="H41" s="178">
        <v>1</v>
      </c>
      <c r="I41" s="178">
        <v>1</v>
      </c>
      <c r="J41" s="178">
        <v>3</v>
      </c>
      <c r="K41" s="180">
        <v>3</v>
      </c>
      <c r="L41" s="180">
        <v>3</v>
      </c>
      <c r="M41" s="180">
        <v>0</v>
      </c>
      <c r="N41" s="181">
        <v>3</v>
      </c>
      <c r="O41" s="181">
        <v>1</v>
      </c>
      <c r="P41" s="181">
        <v>0</v>
      </c>
      <c r="Q41" s="182">
        <v>1</v>
      </c>
      <c r="R41" s="182">
        <v>0</v>
      </c>
      <c r="S41" s="182">
        <v>0</v>
      </c>
      <c r="T41" s="183">
        <f t="array" ref="T41">IF(AND(ISBLANK(F41:S41)),"", SUM(F41:J41)/15*40 + SUM(K41:S41)/27*60)</f>
        <v>43.111111111111114</v>
      </c>
    </row>
    <row r="42" spans="1:20">
      <c r="A42" s="178">
        <v>329</v>
      </c>
      <c r="C42" s="178" t="s">
        <v>2001</v>
      </c>
      <c r="D42" s="178" t="s">
        <v>1993</v>
      </c>
      <c r="E42" s="178" t="s">
        <v>2002</v>
      </c>
      <c r="K42" s="178">
        <v>2.75</v>
      </c>
      <c r="L42" s="178">
        <v>1</v>
      </c>
      <c r="M42" s="178">
        <v>1</v>
      </c>
      <c r="N42" s="178">
        <v>2</v>
      </c>
      <c r="O42" s="178">
        <v>3</v>
      </c>
      <c r="P42" s="178">
        <v>0</v>
      </c>
      <c r="Q42" s="178">
        <v>2.5</v>
      </c>
      <c r="R42" s="178">
        <v>0</v>
      </c>
      <c r="S42" s="178">
        <v>0</v>
      </c>
      <c r="T42" s="183">
        <f t="array" ref="T42">IF(AND(ISBLANK(F42:S42)),"", SUM(F42:J42)/15*40 + SUM(K42:S42)/27*60)</f>
        <v>27.222222222222221</v>
      </c>
    </row>
    <row r="43" spans="1:20">
      <c r="A43" s="178">
        <v>35</v>
      </c>
      <c r="B43" s="178" t="s">
        <v>136</v>
      </c>
      <c r="C43" s="178" t="s">
        <v>134</v>
      </c>
      <c r="D43" s="178">
        <v>8</v>
      </c>
      <c r="E43" s="178" t="s">
        <v>135</v>
      </c>
      <c r="F43" s="180">
        <v>3</v>
      </c>
      <c r="G43" s="180">
        <v>1</v>
      </c>
      <c r="H43" s="178">
        <v>3</v>
      </c>
      <c r="I43" s="178">
        <v>0</v>
      </c>
      <c r="J43" s="178">
        <v>3</v>
      </c>
      <c r="K43" s="180">
        <v>3</v>
      </c>
      <c r="L43" s="180">
        <v>3</v>
      </c>
      <c r="M43" s="180">
        <v>2</v>
      </c>
      <c r="N43" s="178">
        <v>3</v>
      </c>
      <c r="O43" s="178">
        <v>3</v>
      </c>
      <c r="P43" s="178">
        <v>0</v>
      </c>
      <c r="Q43" s="178">
        <v>2</v>
      </c>
      <c r="S43" s="178">
        <v>2</v>
      </c>
      <c r="T43" s="183">
        <f t="array" ref="T43">IF(AND(ISBLANK(F43:S43)),"", SUM(F43:J43)/15*40 + SUM(K43:S43)/27*60)</f>
        <v>66.666666666666657</v>
      </c>
    </row>
    <row r="44" spans="1:20">
      <c r="A44" s="178">
        <v>36</v>
      </c>
      <c r="B44" s="178" t="s">
        <v>139</v>
      </c>
      <c r="C44" s="178" t="s">
        <v>137</v>
      </c>
      <c r="D44" s="178">
        <v>5</v>
      </c>
      <c r="E44" s="178" t="s">
        <v>138</v>
      </c>
      <c r="F44" s="180">
        <v>2</v>
      </c>
      <c r="G44" s="180">
        <v>2</v>
      </c>
      <c r="H44" s="178">
        <v>3</v>
      </c>
      <c r="I44" s="178">
        <v>2</v>
      </c>
      <c r="J44" s="178">
        <v>3</v>
      </c>
      <c r="K44" s="180">
        <v>2.25</v>
      </c>
      <c r="L44" s="180">
        <v>3</v>
      </c>
      <c r="M44" s="180">
        <v>2</v>
      </c>
      <c r="N44" s="181">
        <v>2</v>
      </c>
      <c r="O44" s="181">
        <v>3</v>
      </c>
      <c r="P44" s="181">
        <v>3</v>
      </c>
      <c r="Q44" s="182">
        <v>2.5</v>
      </c>
      <c r="R44" s="182">
        <v>2</v>
      </c>
      <c r="S44" s="182">
        <v>3</v>
      </c>
      <c r="T44" s="183">
        <f t="array" ref="T44">IF(AND(ISBLANK(F44:S44)),"", SUM(F44:J44)/15*40 + SUM(K44:S44)/27*60)</f>
        <v>82.555555555555557</v>
      </c>
    </row>
    <row r="45" spans="1:20">
      <c r="A45" s="178">
        <v>37</v>
      </c>
      <c r="B45" s="178" t="s">
        <v>142</v>
      </c>
      <c r="C45" s="178" t="s">
        <v>140</v>
      </c>
      <c r="D45" s="178">
        <v>3</v>
      </c>
      <c r="E45" s="178" t="s">
        <v>141</v>
      </c>
      <c r="F45" s="180">
        <v>3</v>
      </c>
      <c r="G45" s="180">
        <v>3</v>
      </c>
      <c r="H45" s="178">
        <v>3</v>
      </c>
      <c r="I45" s="178">
        <v>2</v>
      </c>
      <c r="J45" s="178">
        <v>3</v>
      </c>
      <c r="K45" s="180">
        <v>3</v>
      </c>
      <c r="L45" s="180">
        <v>3</v>
      </c>
      <c r="M45" s="180">
        <v>2</v>
      </c>
      <c r="N45" s="181">
        <v>3</v>
      </c>
      <c r="O45" s="181">
        <v>3</v>
      </c>
      <c r="P45" s="181">
        <v>3</v>
      </c>
      <c r="Q45" s="182">
        <v>2</v>
      </c>
      <c r="R45" s="182">
        <v>3</v>
      </c>
      <c r="S45" s="182">
        <v>2</v>
      </c>
      <c r="T45" s="183">
        <f t="array" ref="T45">IF(AND(ISBLANK(F45:S45)),"", SUM(F45:J45)/15*40 + SUM(K45:S45)/27*60)</f>
        <v>90.666666666666657</v>
      </c>
    </row>
    <row r="46" spans="1:20">
      <c r="A46" s="178">
        <v>38</v>
      </c>
      <c r="B46" s="178" t="s">
        <v>145</v>
      </c>
      <c r="C46" s="178" t="s">
        <v>143</v>
      </c>
      <c r="D46" s="178">
        <v>1</v>
      </c>
      <c r="E46" s="178" t="s">
        <v>144</v>
      </c>
      <c r="F46" s="180">
        <v>3</v>
      </c>
      <c r="G46" s="180">
        <v>2</v>
      </c>
      <c r="H46" s="178">
        <v>3</v>
      </c>
      <c r="I46" s="178">
        <v>1</v>
      </c>
      <c r="J46" s="178">
        <v>3</v>
      </c>
      <c r="K46" s="180">
        <v>3</v>
      </c>
      <c r="L46" s="180">
        <v>2</v>
      </c>
      <c r="M46" s="180">
        <v>2</v>
      </c>
      <c r="N46" s="181">
        <v>3</v>
      </c>
      <c r="O46" s="181">
        <v>3</v>
      </c>
      <c r="P46" s="181">
        <v>3</v>
      </c>
      <c r="Q46" s="182">
        <v>2.5</v>
      </c>
      <c r="R46" s="182">
        <v>1</v>
      </c>
      <c r="S46" s="182">
        <v>2</v>
      </c>
      <c r="T46" s="183">
        <f t="array" ref="T46">IF(AND(ISBLANK(F46:S46)),"", SUM(F46:J46)/15*40 + SUM(K46:S46)/27*60)</f>
        <v>79.777777777777771</v>
      </c>
    </row>
    <row r="47" spans="1:20">
      <c r="A47" s="178">
        <v>39</v>
      </c>
      <c r="B47" s="178" t="s">
        <v>148</v>
      </c>
      <c r="C47" s="178" t="s">
        <v>146</v>
      </c>
      <c r="D47" s="178">
        <v>7</v>
      </c>
      <c r="E47" s="178" t="s">
        <v>147</v>
      </c>
      <c r="F47" s="180">
        <v>3</v>
      </c>
      <c r="G47" s="180">
        <v>1</v>
      </c>
      <c r="H47" s="178">
        <v>3</v>
      </c>
      <c r="I47" s="178">
        <v>1</v>
      </c>
      <c r="J47" s="178">
        <v>3</v>
      </c>
      <c r="K47" s="180">
        <v>2.25</v>
      </c>
      <c r="L47" s="180">
        <v>3</v>
      </c>
      <c r="M47" s="180">
        <v>2</v>
      </c>
      <c r="N47" s="178">
        <v>3</v>
      </c>
      <c r="O47" s="178">
        <v>3</v>
      </c>
      <c r="P47" s="178">
        <v>2</v>
      </c>
      <c r="Q47" s="178">
        <v>0.5</v>
      </c>
      <c r="R47" s="178">
        <v>0</v>
      </c>
      <c r="T47" s="183">
        <f t="array" ref="T47">IF(AND(ISBLANK(F47:S47)),"", SUM(F47:J47)/15*40 + SUM(K47:S47)/27*60)</f>
        <v>64.333333333333329</v>
      </c>
    </row>
    <row r="48" spans="1:20">
      <c r="A48" s="178">
        <v>40</v>
      </c>
      <c r="B48" s="178" t="s">
        <v>151</v>
      </c>
      <c r="C48" s="178" t="s">
        <v>149</v>
      </c>
      <c r="D48" s="178">
        <v>9</v>
      </c>
      <c r="E48" s="178" t="s">
        <v>150</v>
      </c>
      <c r="F48" s="180">
        <v>2</v>
      </c>
      <c r="G48" s="180">
        <v>3</v>
      </c>
      <c r="H48" s="178">
        <v>2</v>
      </c>
      <c r="I48" s="178">
        <v>1</v>
      </c>
      <c r="J48" s="178">
        <v>3</v>
      </c>
      <c r="K48" s="180">
        <v>2.25</v>
      </c>
      <c r="L48" s="180">
        <v>0</v>
      </c>
      <c r="M48" s="180">
        <v>2</v>
      </c>
      <c r="N48" s="181">
        <v>3</v>
      </c>
      <c r="O48" s="181">
        <v>3</v>
      </c>
      <c r="P48" s="181">
        <v>0</v>
      </c>
      <c r="Q48" s="182">
        <v>0</v>
      </c>
      <c r="R48" s="182">
        <v>0</v>
      </c>
      <c r="S48" s="182"/>
      <c r="T48" s="183">
        <f t="array" ref="T48">IF(AND(ISBLANK(F48:S48)),"", SUM(F48:J48)/15*40 + SUM(K48:S48)/27*60)</f>
        <v>52.111111111111114</v>
      </c>
    </row>
    <row r="49" spans="1:20">
      <c r="A49" s="178">
        <v>41</v>
      </c>
      <c r="B49" s="178" t="s">
        <v>154</v>
      </c>
      <c r="C49" s="178" t="s">
        <v>152</v>
      </c>
      <c r="D49" s="178">
        <v>6</v>
      </c>
      <c r="E49" s="178" t="s">
        <v>153</v>
      </c>
      <c r="F49" s="180">
        <v>3</v>
      </c>
      <c r="G49" s="180">
        <v>3</v>
      </c>
      <c r="H49" s="178">
        <v>2</v>
      </c>
      <c r="I49" s="178">
        <v>1</v>
      </c>
      <c r="J49" s="178">
        <v>3</v>
      </c>
      <c r="K49" s="180">
        <v>3</v>
      </c>
      <c r="L49" s="180">
        <v>3</v>
      </c>
      <c r="M49" s="180">
        <v>3</v>
      </c>
      <c r="N49" s="181">
        <v>3</v>
      </c>
      <c r="O49" s="181">
        <v>3</v>
      </c>
      <c r="P49" s="181">
        <v>0</v>
      </c>
      <c r="Q49" s="182">
        <v>2.5</v>
      </c>
      <c r="R49" s="182"/>
      <c r="S49" s="182"/>
      <c r="T49" s="183">
        <f t="array" ref="T49">IF(AND(ISBLANK(F49:S49)),"", SUM(F49:J49)/15*40 + SUM(K49:S49)/27*60)</f>
        <v>70.888888888888886</v>
      </c>
    </row>
    <row r="50" spans="1:20">
      <c r="A50" s="178">
        <v>42</v>
      </c>
      <c r="B50" s="178" t="s">
        <v>157</v>
      </c>
      <c r="C50" s="178" t="s">
        <v>155</v>
      </c>
      <c r="D50" s="178">
        <v>3</v>
      </c>
      <c r="E50" s="178" t="s">
        <v>156</v>
      </c>
      <c r="F50" s="180">
        <v>3</v>
      </c>
      <c r="G50" s="180">
        <v>2</v>
      </c>
      <c r="H50" s="178">
        <v>3</v>
      </c>
      <c r="I50" s="178">
        <v>1</v>
      </c>
      <c r="J50" s="178">
        <v>3</v>
      </c>
      <c r="K50" s="180">
        <v>3</v>
      </c>
      <c r="L50" s="180">
        <v>3</v>
      </c>
      <c r="M50" s="180">
        <v>3</v>
      </c>
      <c r="N50" s="181">
        <v>3</v>
      </c>
      <c r="O50" s="181">
        <v>3</v>
      </c>
      <c r="P50" s="181">
        <v>3</v>
      </c>
      <c r="Q50" s="182">
        <v>2</v>
      </c>
      <c r="R50" s="182">
        <v>1</v>
      </c>
      <c r="S50" s="182">
        <v>3</v>
      </c>
      <c r="T50" s="183">
        <f t="array" ref="T50">IF(AND(ISBLANK(F50:S50)),"", SUM(F50:J50)/15*40 + SUM(K50:S50)/27*60)</f>
        <v>85.333333333333329</v>
      </c>
    </row>
    <row r="51" spans="1:20">
      <c r="A51" s="178">
        <v>43</v>
      </c>
      <c r="B51" s="178" t="s">
        <v>160</v>
      </c>
      <c r="C51" s="178" t="s">
        <v>158</v>
      </c>
      <c r="D51" s="178">
        <v>1</v>
      </c>
      <c r="E51" s="178" t="s">
        <v>159</v>
      </c>
      <c r="F51" s="178">
        <v>3</v>
      </c>
      <c r="G51" s="178">
        <v>3</v>
      </c>
      <c r="H51" s="178">
        <v>3</v>
      </c>
      <c r="I51" s="178">
        <v>2</v>
      </c>
      <c r="J51" s="178">
        <v>3</v>
      </c>
      <c r="K51" s="178">
        <v>3</v>
      </c>
      <c r="L51" s="178">
        <v>3</v>
      </c>
      <c r="M51" s="178">
        <v>3</v>
      </c>
      <c r="N51" s="181">
        <v>3</v>
      </c>
      <c r="O51" s="181">
        <v>3</v>
      </c>
      <c r="P51" s="181">
        <v>3</v>
      </c>
      <c r="Q51" s="182">
        <v>3</v>
      </c>
      <c r="R51" s="182">
        <v>3</v>
      </c>
      <c r="S51" s="182">
        <v>3</v>
      </c>
      <c r="T51" s="183">
        <f t="array" ref="T51">IF(AND(ISBLANK(F51:S51)),"", SUM(F51:J51)/15*40 + SUM(K51:S51)/27*60)</f>
        <v>97.333333333333343</v>
      </c>
    </row>
    <row r="52" spans="1:20">
      <c r="A52" s="178">
        <v>314</v>
      </c>
      <c r="B52" s="178" t="s">
        <v>2003</v>
      </c>
      <c r="C52" s="178" t="s">
        <v>2004</v>
      </c>
      <c r="D52" s="178" t="s">
        <v>1993</v>
      </c>
      <c r="F52" s="180">
        <v>2</v>
      </c>
      <c r="G52" s="180">
        <v>2</v>
      </c>
      <c r="H52" s="178">
        <v>0</v>
      </c>
      <c r="I52" s="178">
        <v>0</v>
      </c>
      <c r="J52" s="178">
        <v>3</v>
      </c>
      <c r="K52" s="180">
        <v>3</v>
      </c>
      <c r="L52" s="180">
        <v>3</v>
      </c>
      <c r="M52" s="180">
        <v>0</v>
      </c>
      <c r="N52" s="181">
        <v>1</v>
      </c>
      <c r="O52" s="181">
        <v>0</v>
      </c>
      <c r="P52" s="181">
        <v>0</v>
      </c>
      <c r="Q52" s="182">
        <v>0</v>
      </c>
      <c r="R52" s="182"/>
      <c r="S52" s="182"/>
      <c r="T52" s="183">
        <f t="array" ref="T52">IF(AND(ISBLANK(F52:S52)),"", SUM(F52:J52)/15*40 + SUM(K52:S52)/27*60)</f>
        <v>34.222222222222221</v>
      </c>
    </row>
    <row r="53" spans="1:20">
      <c r="A53" s="178">
        <v>44</v>
      </c>
      <c r="B53" s="178" t="s">
        <v>163</v>
      </c>
      <c r="C53" s="178" t="s">
        <v>161</v>
      </c>
      <c r="D53" s="178">
        <v>3</v>
      </c>
      <c r="E53" s="178" t="s">
        <v>162</v>
      </c>
      <c r="F53" s="180">
        <v>3</v>
      </c>
      <c r="G53" s="180">
        <v>3</v>
      </c>
      <c r="H53" s="178">
        <v>3</v>
      </c>
      <c r="I53" s="178">
        <v>2</v>
      </c>
      <c r="J53" s="178">
        <v>3</v>
      </c>
      <c r="K53" s="180">
        <v>3</v>
      </c>
      <c r="L53" s="180">
        <v>3</v>
      </c>
      <c r="M53" s="180">
        <v>3</v>
      </c>
      <c r="N53" s="181">
        <v>3</v>
      </c>
      <c r="O53" s="181">
        <v>3</v>
      </c>
      <c r="P53" s="181">
        <v>3</v>
      </c>
      <c r="Q53" s="182">
        <v>3</v>
      </c>
      <c r="R53" s="182">
        <v>3</v>
      </c>
      <c r="S53" s="182">
        <v>2</v>
      </c>
      <c r="T53" s="183">
        <f t="array" ref="T53">IF(AND(ISBLANK(F53:S53)),"", SUM(F53:J53)/15*40 + SUM(K53:S53)/27*60)</f>
        <v>95.111111111111114</v>
      </c>
    </row>
    <row r="54" spans="1:20">
      <c r="A54" s="178">
        <v>45</v>
      </c>
      <c r="B54" s="178" t="s">
        <v>166</v>
      </c>
      <c r="C54" s="178" t="s">
        <v>164</v>
      </c>
      <c r="D54" s="178">
        <v>4</v>
      </c>
      <c r="E54" s="178" t="s">
        <v>165</v>
      </c>
      <c r="N54" s="181"/>
      <c r="O54" s="181"/>
      <c r="P54" s="181"/>
      <c r="T54" s="183">
        <v>0</v>
      </c>
    </row>
    <row r="55" spans="1:20">
      <c r="A55" s="178">
        <v>46</v>
      </c>
      <c r="B55" s="178" t="s">
        <v>169</v>
      </c>
      <c r="C55" s="178" t="s">
        <v>167</v>
      </c>
      <c r="D55" s="178">
        <v>11</v>
      </c>
      <c r="E55" s="178" t="s">
        <v>168</v>
      </c>
      <c r="F55" s="178">
        <v>1</v>
      </c>
      <c r="G55" s="178">
        <v>2</v>
      </c>
      <c r="H55" s="178">
        <v>2</v>
      </c>
      <c r="I55" s="178">
        <v>0</v>
      </c>
      <c r="J55" s="178">
        <v>3</v>
      </c>
      <c r="K55" s="178">
        <v>3</v>
      </c>
      <c r="L55" s="178">
        <v>3</v>
      </c>
      <c r="M55" s="178">
        <v>1.5</v>
      </c>
      <c r="N55" s="178">
        <v>2</v>
      </c>
      <c r="O55" s="178">
        <v>0</v>
      </c>
      <c r="P55" s="178">
        <v>0</v>
      </c>
      <c r="Q55" s="178">
        <v>1.5</v>
      </c>
      <c r="R55" s="178">
        <v>1</v>
      </c>
      <c r="T55" s="183">
        <f t="array" ref="T55">IF(AND(ISBLANK(F55:S55)),"", SUM(F55:J55)/15*40 + SUM(K55:S55)/27*60)</f>
        <v>48</v>
      </c>
    </row>
    <row r="56" spans="1:20">
      <c r="A56" s="178">
        <v>47</v>
      </c>
      <c r="B56" s="178" t="s">
        <v>172</v>
      </c>
      <c r="C56" s="178" t="s">
        <v>170</v>
      </c>
      <c r="D56" s="178">
        <v>11</v>
      </c>
      <c r="E56" s="178" t="s">
        <v>171</v>
      </c>
      <c r="F56" s="178">
        <v>3</v>
      </c>
      <c r="G56" s="178">
        <v>1</v>
      </c>
      <c r="H56" s="178">
        <v>0</v>
      </c>
      <c r="I56" s="178">
        <v>1</v>
      </c>
      <c r="J56" s="178">
        <v>0</v>
      </c>
      <c r="K56" s="178">
        <v>0</v>
      </c>
      <c r="L56" s="178">
        <v>0</v>
      </c>
      <c r="N56" s="181">
        <v>0</v>
      </c>
      <c r="O56" s="181"/>
      <c r="P56" s="181"/>
      <c r="Q56" s="182"/>
      <c r="R56" s="182"/>
      <c r="S56" s="182"/>
      <c r="T56" s="183">
        <f t="array" ref="T56">IF(AND(ISBLANK(F56:S56)),"", SUM(F56:J56)/15*40 + SUM(K56:S56)/27*60)</f>
        <v>13.333333333333332</v>
      </c>
    </row>
    <row r="57" spans="1:20">
      <c r="A57" s="178">
        <v>48</v>
      </c>
      <c r="B57" s="178" t="s">
        <v>175</v>
      </c>
      <c r="C57" s="178" t="s">
        <v>173</v>
      </c>
      <c r="D57" s="178">
        <v>1</v>
      </c>
      <c r="E57" s="178" t="s">
        <v>174</v>
      </c>
      <c r="F57" s="180">
        <v>3</v>
      </c>
      <c r="G57" s="180">
        <v>3</v>
      </c>
      <c r="H57" s="178">
        <v>3</v>
      </c>
      <c r="I57" s="178">
        <v>3</v>
      </c>
      <c r="J57" s="178">
        <v>3</v>
      </c>
      <c r="K57" s="180">
        <v>3</v>
      </c>
      <c r="L57" s="180">
        <v>3</v>
      </c>
      <c r="M57" s="180">
        <v>3</v>
      </c>
      <c r="N57" s="181">
        <v>3</v>
      </c>
      <c r="O57" s="181">
        <v>3</v>
      </c>
      <c r="P57" s="181">
        <v>2</v>
      </c>
      <c r="Q57" s="182">
        <v>3</v>
      </c>
      <c r="R57" s="182">
        <v>3</v>
      </c>
      <c r="S57" s="182">
        <v>2</v>
      </c>
      <c r="T57" s="183">
        <f t="array" ref="T57">IF(AND(ISBLANK(F57:S57)),"", SUM(F57:J57)/15*40 + SUM(K57:S57)/27*60)</f>
        <v>95.555555555555557</v>
      </c>
    </row>
    <row r="58" spans="1:20">
      <c r="A58" s="178">
        <v>49</v>
      </c>
      <c r="B58" s="178" t="s">
        <v>178</v>
      </c>
      <c r="C58" s="178" t="s">
        <v>176</v>
      </c>
      <c r="D58" s="178">
        <v>1</v>
      </c>
      <c r="E58" s="178" t="s">
        <v>177</v>
      </c>
      <c r="F58" s="180">
        <v>3</v>
      </c>
      <c r="G58" s="180">
        <v>3</v>
      </c>
      <c r="H58" s="178">
        <v>3</v>
      </c>
      <c r="I58" s="178">
        <v>3</v>
      </c>
      <c r="J58" s="178">
        <v>3</v>
      </c>
      <c r="K58" s="180">
        <v>3</v>
      </c>
      <c r="L58" s="180">
        <v>3</v>
      </c>
      <c r="M58" s="180">
        <v>3</v>
      </c>
      <c r="N58" s="181">
        <v>3</v>
      </c>
      <c r="O58" s="181">
        <v>3</v>
      </c>
      <c r="P58" s="181">
        <v>3</v>
      </c>
      <c r="Q58" s="182">
        <v>2.5</v>
      </c>
      <c r="R58" s="182">
        <v>3</v>
      </c>
      <c r="S58" s="182">
        <v>2</v>
      </c>
      <c r="T58" s="183">
        <f t="array" ref="T58">IF(AND(ISBLANK(F58:S58)),"", SUM(F58:J58)/15*40 + SUM(K58:S58)/27*60)</f>
        <v>96.666666666666657</v>
      </c>
    </row>
    <row r="59" spans="1:20">
      <c r="A59" s="178">
        <v>50</v>
      </c>
      <c r="B59" s="178" t="s">
        <v>181</v>
      </c>
      <c r="C59" s="178" t="s">
        <v>179</v>
      </c>
      <c r="D59" s="178">
        <v>8</v>
      </c>
      <c r="E59" s="178" t="s">
        <v>180</v>
      </c>
      <c r="F59" s="178">
        <v>1</v>
      </c>
      <c r="G59" s="178">
        <v>1</v>
      </c>
      <c r="H59" s="178">
        <v>0</v>
      </c>
      <c r="I59" s="178">
        <v>1</v>
      </c>
      <c r="J59" s="178">
        <v>0</v>
      </c>
      <c r="K59" s="178">
        <v>1.25</v>
      </c>
      <c r="L59" s="178">
        <v>0</v>
      </c>
      <c r="M59" s="178">
        <v>1</v>
      </c>
      <c r="N59" s="181">
        <v>2</v>
      </c>
      <c r="O59" s="181">
        <v>0</v>
      </c>
      <c r="P59" s="181"/>
      <c r="Q59" s="182"/>
      <c r="R59" s="182"/>
      <c r="S59" s="182"/>
      <c r="T59" s="183">
        <f t="array" ref="T59">IF(AND(ISBLANK(F59:S59)),"", SUM(F59:J59)/15*40 + SUM(K59:S59)/27*60)</f>
        <v>17.444444444444443</v>
      </c>
    </row>
    <row r="60" spans="1:20">
      <c r="A60" s="178">
        <v>51</v>
      </c>
      <c r="B60" s="178" t="s">
        <v>184</v>
      </c>
      <c r="C60" s="178" t="s">
        <v>182</v>
      </c>
      <c r="D60" s="178">
        <v>10</v>
      </c>
      <c r="E60" s="178" t="s">
        <v>183</v>
      </c>
      <c r="F60" s="180">
        <v>2</v>
      </c>
      <c r="G60" s="180">
        <v>1</v>
      </c>
      <c r="H60" s="178">
        <v>3</v>
      </c>
      <c r="I60" s="178">
        <v>1</v>
      </c>
      <c r="J60" s="178">
        <v>3</v>
      </c>
      <c r="K60" s="180">
        <v>3</v>
      </c>
      <c r="L60" s="180">
        <v>3</v>
      </c>
      <c r="M60" s="180">
        <v>3</v>
      </c>
      <c r="N60" s="181">
        <v>3</v>
      </c>
      <c r="O60" s="181">
        <v>2</v>
      </c>
      <c r="P60" s="181">
        <v>2</v>
      </c>
      <c r="Q60" s="182">
        <v>3</v>
      </c>
      <c r="R60" s="182">
        <v>2</v>
      </c>
      <c r="S60" s="182">
        <v>3</v>
      </c>
      <c r="T60" s="183">
        <f t="array" ref="T60">IF(AND(ISBLANK(F60:S60)),"", SUM(F60:J60)/15*40 + SUM(K60:S60)/27*60)</f>
        <v>80</v>
      </c>
    </row>
    <row r="61" spans="1:20">
      <c r="A61" s="178">
        <v>52</v>
      </c>
      <c r="B61" s="178" t="s">
        <v>187</v>
      </c>
      <c r="C61" s="178" t="s">
        <v>185</v>
      </c>
      <c r="D61" s="178">
        <v>6</v>
      </c>
      <c r="E61" s="178" t="s">
        <v>186</v>
      </c>
      <c r="T61" s="183">
        <v>0</v>
      </c>
    </row>
    <row r="62" spans="1:20">
      <c r="A62" s="178">
        <v>53</v>
      </c>
      <c r="B62" s="178" t="s">
        <v>190</v>
      </c>
      <c r="C62" s="178" t="s">
        <v>188</v>
      </c>
      <c r="D62" s="178">
        <v>11</v>
      </c>
      <c r="E62" s="178" t="s">
        <v>189</v>
      </c>
      <c r="F62" s="180">
        <v>2</v>
      </c>
      <c r="G62" s="180">
        <v>2</v>
      </c>
      <c r="H62" s="178">
        <v>3</v>
      </c>
      <c r="I62" s="178">
        <v>1</v>
      </c>
      <c r="J62" s="178">
        <v>3</v>
      </c>
      <c r="K62" s="180">
        <v>3</v>
      </c>
      <c r="L62" s="180">
        <v>3</v>
      </c>
      <c r="M62" s="180">
        <v>1</v>
      </c>
      <c r="N62" s="181">
        <v>1</v>
      </c>
      <c r="O62" s="181">
        <v>1</v>
      </c>
      <c r="P62" s="181">
        <v>0</v>
      </c>
      <c r="Q62" s="182">
        <v>3</v>
      </c>
      <c r="R62" s="182">
        <v>1</v>
      </c>
      <c r="S62" s="182">
        <v>1</v>
      </c>
      <c r="T62" s="183">
        <f t="array" ref="T62">IF(AND(ISBLANK(F62:S62)),"", SUM(F62:J62)/15*40 + SUM(K62:S62)/27*60)</f>
        <v>60.444444444444443</v>
      </c>
    </row>
    <row r="63" spans="1:20">
      <c r="A63" s="178">
        <v>54</v>
      </c>
      <c r="B63" s="178" t="s">
        <v>193</v>
      </c>
      <c r="C63" s="178" t="s">
        <v>191</v>
      </c>
      <c r="D63" s="178">
        <v>1</v>
      </c>
      <c r="E63" s="178" t="s">
        <v>192</v>
      </c>
      <c r="F63" s="180">
        <v>3</v>
      </c>
      <c r="G63" s="180">
        <v>2</v>
      </c>
      <c r="H63" s="178">
        <v>3</v>
      </c>
      <c r="I63" s="178">
        <v>2</v>
      </c>
      <c r="J63" s="178">
        <v>3</v>
      </c>
      <c r="K63" s="180">
        <v>3</v>
      </c>
      <c r="L63" s="180">
        <v>3</v>
      </c>
      <c r="M63" s="180">
        <v>3</v>
      </c>
      <c r="N63" s="181">
        <v>3</v>
      </c>
      <c r="O63" s="181">
        <v>3</v>
      </c>
      <c r="P63" s="181">
        <v>0</v>
      </c>
      <c r="Q63" s="182">
        <v>3</v>
      </c>
      <c r="R63" s="182">
        <v>1</v>
      </c>
      <c r="S63" s="182">
        <v>3</v>
      </c>
      <c r="T63" s="183">
        <f t="array" ref="T63">IF(AND(ISBLANK(F63:S63)),"", SUM(F63:J63)/15*40 + SUM(K63:S63)/27*60)</f>
        <v>83.555555555555557</v>
      </c>
    </row>
    <row r="64" spans="1:20">
      <c r="A64" s="178">
        <v>55</v>
      </c>
      <c r="B64" s="178" t="s">
        <v>196</v>
      </c>
      <c r="C64" s="178" t="s">
        <v>194</v>
      </c>
      <c r="D64" s="178">
        <v>10</v>
      </c>
      <c r="E64" s="178" t="s">
        <v>195</v>
      </c>
      <c r="F64" s="180">
        <v>2</v>
      </c>
      <c r="G64" s="180">
        <v>2</v>
      </c>
      <c r="H64" s="178">
        <v>3</v>
      </c>
      <c r="I64" s="178">
        <v>2</v>
      </c>
      <c r="J64" s="178">
        <v>3</v>
      </c>
      <c r="K64" s="180">
        <v>2.25</v>
      </c>
      <c r="L64" s="180">
        <v>3</v>
      </c>
      <c r="M64" s="180">
        <v>2</v>
      </c>
      <c r="N64" s="181">
        <v>3</v>
      </c>
      <c r="O64" s="181">
        <v>3</v>
      </c>
      <c r="P64" s="181">
        <v>3</v>
      </c>
      <c r="Q64" s="182">
        <v>2</v>
      </c>
      <c r="R64" s="182">
        <v>1</v>
      </c>
      <c r="S64" s="182">
        <v>3</v>
      </c>
      <c r="T64" s="183">
        <f t="array" ref="T64">IF(AND(ISBLANK(F64:S64)),"", SUM(F64:J64)/15*40 + SUM(K64:S64)/27*60)</f>
        <v>81.444444444444443</v>
      </c>
    </row>
    <row r="65" spans="1:20">
      <c r="A65" s="178">
        <v>56</v>
      </c>
      <c r="B65" s="178" t="s">
        <v>199</v>
      </c>
      <c r="C65" s="178" t="s">
        <v>197</v>
      </c>
      <c r="D65" s="178">
        <v>3</v>
      </c>
      <c r="E65" s="178" t="s">
        <v>198</v>
      </c>
      <c r="F65" s="180">
        <v>3</v>
      </c>
      <c r="G65" s="180">
        <v>3</v>
      </c>
      <c r="H65" s="178">
        <v>3</v>
      </c>
      <c r="I65" s="178">
        <v>1</v>
      </c>
      <c r="J65" s="178">
        <v>3</v>
      </c>
      <c r="K65" s="180">
        <v>3</v>
      </c>
      <c r="L65" s="180">
        <v>3</v>
      </c>
      <c r="M65" s="180">
        <v>2</v>
      </c>
      <c r="N65" s="181">
        <v>3</v>
      </c>
      <c r="O65" s="181">
        <v>3</v>
      </c>
      <c r="P65" s="181">
        <v>3</v>
      </c>
      <c r="Q65" s="182">
        <v>2</v>
      </c>
      <c r="R65" s="182">
        <v>3</v>
      </c>
      <c r="S65" s="182">
        <v>3</v>
      </c>
      <c r="T65" s="183">
        <f t="array" ref="T65">IF(AND(ISBLANK(F65:S65)),"", SUM(F65:J65)/15*40 + SUM(K65:S65)/27*60)</f>
        <v>90.222222222222229</v>
      </c>
    </row>
    <row r="66" spans="1:20">
      <c r="A66" s="178">
        <v>57</v>
      </c>
      <c r="B66" s="178" t="s">
        <v>202</v>
      </c>
      <c r="C66" s="178" t="s">
        <v>200</v>
      </c>
      <c r="D66" s="178">
        <v>7</v>
      </c>
      <c r="E66" s="178" t="s">
        <v>201</v>
      </c>
      <c r="F66" s="180">
        <v>3</v>
      </c>
      <c r="G66" s="180">
        <v>3</v>
      </c>
      <c r="H66" s="178">
        <v>3</v>
      </c>
      <c r="I66" s="178">
        <v>1</v>
      </c>
      <c r="J66" s="178">
        <v>1</v>
      </c>
      <c r="K66" s="180">
        <v>3</v>
      </c>
      <c r="L66" s="180">
        <v>3</v>
      </c>
      <c r="M66" s="180">
        <v>3</v>
      </c>
      <c r="N66" s="178">
        <v>3</v>
      </c>
      <c r="O66" s="178">
        <v>3</v>
      </c>
      <c r="P66" s="178">
        <v>3</v>
      </c>
      <c r="Q66" s="178">
        <v>3</v>
      </c>
      <c r="R66" s="178">
        <v>2</v>
      </c>
      <c r="S66" s="178">
        <v>2</v>
      </c>
      <c r="T66" s="183">
        <f t="array" ref="T66">IF(AND(ISBLANK(F66:S66)),"", SUM(F66:J66)/15*40 + SUM(K66:S66)/27*60)</f>
        <v>84.888888888888886</v>
      </c>
    </row>
    <row r="67" spans="1:20">
      <c r="A67" s="178">
        <v>58</v>
      </c>
      <c r="B67" s="178" t="s">
        <v>205</v>
      </c>
      <c r="C67" s="178" t="s">
        <v>203</v>
      </c>
      <c r="D67" s="178">
        <v>11</v>
      </c>
      <c r="E67" s="178" t="s">
        <v>204</v>
      </c>
      <c r="F67" s="180">
        <v>3</v>
      </c>
      <c r="G67" s="180">
        <v>2</v>
      </c>
      <c r="H67" s="178">
        <v>3</v>
      </c>
      <c r="I67" s="178">
        <v>2</v>
      </c>
      <c r="J67" s="178">
        <v>3</v>
      </c>
      <c r="K67" s="180">
        <v>3</v>
      </c>
      <c r="L67" s="180">
        <v>2</v>
      </c>
      <c r="M67" s="180">
        <v>3</v>
      </c>
      <c r="N67" s="181">
        <v>3</v>
      </c>
      <c r="O67" s="181">
        <v>3</v>
      </c>
      <c r="P67" s="181">
        <v>3</v>
      </c>
      <c r="Q67" s="182">
        <v>0.5</v>
      </c>
      <c r="R67" s="182">
        <v>0</v>
      </c>
      <c r="S67" s="182">
        <v>0</v>
      </c>
      <c r="T67" s="183">
        <f t="array" ref="T67">IF(AND(ISBLANK(F67:S67)),"", SUM(F67:J67)/15*40 + SUM(K67:S67)/27*60)</f>
        <v>73.555555555555557</v>
      </c>
    </row>
    <row r="68" spans="1:20">
      <c r="A68" s="178">
        <v>315</v>
      </c>
      <c r="B68" s="178" t="s">
        <v>1777</v>
      </c>
      <c r="C68" s="178" t="s">
        <v>1739</v>
      </c>
      <c r="D68" s="178" t="s">
        <v>1993</v>
      </c>
      <c r="N68" s="181"/>
      <c r="O68" s="181"/>
      <c r="P68" s="181"/>
      <c r="Q68" s="182"/>
      <c r="R68" s="182"/>
      <c r="S68" s="182"/>
      <c r="T68" s="183">
        <v>0</v>
      </c>
    </row>
    <row r="69" spans="1:20">
      <c r="A69" s="178">
        <v>59</v>
      </c>
      <c r="B69" s="178" t="s">
        <v>208</v>
      </c>
      <c r="C69" s="178" t="s">
        <v>206</v>
      </c>
      <c r="D69" s="178">
        <v>2</v>
      </c>
      <c r="E69" s="178" t="s">
        <v>207</v>
      </c>
      <c r="F69" s="180">
        <v>3</v>
      </c>
      <c r="G69" s="180">
        <v>3</v>
      </c>
      <c r="H69" s="178">
        <v>3</v>
      </c>
      <c r="I69" s="178">
        <v>2</v>
      </c>
      <c r="J69" s="178">
        <v>3</v>
      </c>
      <c r="K69" s="180">
        <v>3</v>
      </c>
      <c r="L69" s="180">
        <v>2</v>
      </c>
      <c r="M69" s="180">
        <v>2</v>
      </c>
      <c r="N69" s="181">
        <v>3</v>
      </c>
      <c r="O69" s="181">
        <v>3</v>
      </c>
      <c r="P69" s="181">
        <v>3</v>
      </c>
      <c r="Q69" s="182">
        <v>3</v>
      </c>
      <c r="R69" s="182">
        <v>3</v>
      </c>
      <c r="S69" s="182">
        <v>2</v>
      </c>
      <c r="T69" s="183">
        <f t="array" ref="T69">IF(AND(ISBLANK(F69:S69)),"", SUM(F69:J69)/15*40 + SUM(K69:S69)/27*60)</f>
        <v>90.666666666666657</v>
      </c>
    </row>
    <row r="70" spans="1:20">
      <c r="A70" s="178">
        <v>60</v>
      </c>
      <c r="B70" s="178" t="s">
        <v>211</v>
      </c>
      <c r="C70" s="178" t="s">
        <v>209</v>
      </c>
      <c r="D70" s="178">
        <v>2</v>
      </c>
      <c r="E70" s="178" t="s">
        <v>210</v>
      </c>
      <c r="N70" s="181"/>
      <c r="O70" s="181"/>
      <c r="P70" s="181"/>
      <c r="Q70" s="182"/>
      <c r="R70" s="182"/>
      <c r="S70" s="182"/>
      <c r="T70" s="183">
        <v>0</v>
      </c>
    </row>
    <row r="71" spans="1:20">
      <c r="A71" s="178">
        <v>61</v>
      </c>
      <c r="B71" s="178" t="s">
        <v>214</v>
      </c>
      <c r="C71" s="178" t="s">
        <v>212</v>
      </c>
      <c r="D71" s="178">
        <v>4</v>
      </c>
      <c r="E71" s="178" t="s">
        <v>213</v>
      </c>
      <c r="F71" s="180">
        <v>3</v>
      </c>
      <c r="G71" s="180">
        <v>1</v>
      </c>
      <c r="H71" s="178">
        <v>3</v>
      </c>
      <c r="I71" s="178">
        <v>2</v>
      </c>
      <c r="J71" s="178">
        <v>3</v>
      </c>
      <c r="K71" s="180">
        <v>3</v>
      </c>
      <c r="L71" s="180">
        <v>3</v>
      </c>
      <c r="M71" s="180">
        <v>3</v>
      </c>
      <c r="N71" s="181">
        <v>2</v>
      </c>
      <c r="O71" s="181">
        <v>3</v>
      </c>
      <c r="P71" s="181">
        <v>3</v>
      </c>
      <c r="Q71" s="182">
        <v>1</v>
      </c>
      <c r="R71" s="182">
        <v>2</v>
      </c>
      <c r="S71" s="182">
        <v>3</v>
      </c>
      <c r="T71" s="183">
        <f t="array" ref="T71">IF(AND(ISBLANK(F71:S71)),"", SUM(F71:J71)/15*40 + SUM(K71:S71)/27*60)</f>
        <v>83.111111111111114</v>
      </c>
    </row>
    <row r="72" spans="1:20">
      <c r="A72" s="178">
        <v>62</v>
      </c>
      <c r="B72" s="178" t="s">
        <v>217</v>
      </c>
      <c r="C72" s="178" t="s">
        <v>215</v>
      </c>
      <c r="D72" s="178">
        <v>8</v>
      </c>
      <c r="E72" s="178" t="s">
        <v>216</v>
      </c>
      <c r="N72" s="181"/>
      <c r="O72" s="181"/>
      <c r="P72" s="181"/>
      <c r="Q72" s="182"/>
      <c r="R72" s="182"/>
      <c r="S72" s="182"/>
      <c r="T72" s="183">
        <v>0</v>
      </c>
    </row>
    <row r="73" spans="1:20">
      <c r="A73" s="178">
        <v>63</v>
      </c>
      <c r="B73" s="178" t="s">
        <v>220</v>
      </c>
      <c r="C73" s="178" t="s">
        <v>218</v>
      </c>
      <c r="D73" s="178">
        <v>2</v>
      </c>
      <c r="E73" s="178" t="s">
        <v>219</v>
      </c>
      <c r="F73" s="180">
        <v>2</v>
      </c>
      <c r="G73" s="180">
        <v>1</v>
      </c>
      <c r="H73" s="178">
        <v>1</v>
      </c>
      <c r="I73" s="178">
        <v>1</v>
      </c>
      <c r="J73" s="178">
        <v>2</v>
      </c>
      <c r="K73" s="180">
        <v>3</v>
      </c>
      <c r="L73" s="180">
        <v>1</v>
      </c>
      <c r="M73" s="180">
        <v>2</v>
      </c>
      <c r="N73" s="181">
        <v>3</v>
      </c>
      <c r="O73" s="181">
        <v>3</v>
      </c>
      <c r="P73" s="181">
        <v>3</v>
      </c>
      <c r="Q73" s="182">
        <v>1</v>
      </c>
      <c r="R73" s="182">
        <v>0</v>
      </c>
      <c r="S73" s="182">
        <v>2</v>
      </c>
      <c r="T73" s="183">
        <f t="array" ref="T73">IF(AND(ISBLANK(F73:S73)),"", SUM(F73:J73)/15*40 + SUM(K73:S73)/27*60)</f>
        <v>58.666666666666671</v>
      </c>
    </row>
    <row r="74" spans="1:20">
      <c r="A74" s="178">
        <v>64</v>
      </c>
      <c r="B74" s="178" t="s">
        <v>223</v>
      </c>
      <c r="C74" s="178" t="s">
        <v>221</v>
      </c>
      <c r="D74" s="178">
        <v>5</v>
      </c>
      <c r="E74" s="178" t="s">
        <v>222</v>
      </c>
      <c r="F74" s="180">
        <v>3</v>
      </c>
      <c r="G74" s="180">
        <v>3</v>
      </c>
      <c r="H74" s="178">
        <v>3</v>
      </c>
      <c r="I74" s="178">
        <v>1</v>
      </c>
      <c r="J74" s="178">
        <v>3</v>
      </c>
      <c r="K74" s="180">
        <v>0</v>
      </c>
      <c r="L74" s="180">
        <v>3</v>
      </c>
      <c r="M74" s="180">
        <v>0</v>
      </c>
      <c r="N74" s="181">
        <v>1</v>
      </c>
      <c r="O74" s="181">
        <v>2</v>
      </c>
      <c r="P74" s="181">
        <v>3</v>
      </c>
      <c r="Q74" s="182">
        <v>1.5</v>
      </c>
      <c r="R74" s="182">
        <v>1</v>
      </c>
      <c r="S74" s="182">
        <v>0</v>
      </c>
      <c r="T74" s="183">
        <f t="array" ref="T74">IF(AND(ISBLANK(F74:S74)),"", SUM(F74:J74)/15*40 + SUM(K74:S74)/27*60)</f>
        <v>60.222222222222229</v>
      </c>
    </row>
    <row r="75" spans="1:20">
      <c r="A75" s="178">
        <v>65</v>
      </c>
      <c r="B75" s="178" t="s">
        <v>226</v>
      </c>
      <c r="C75" s="178" t="s">
        <v>224</v>
      </c>
      <c r="D75" s="178">
        <v>6</v>
      </c>
      <c r="E75" s="178" t="s">
        <v>225</v>
      </c>
      <c r="N75" s="181"/>
      <c r="O75" s="181"/>
      <c r="P75" s="181"/>
      <c r="Q75" s="182"/>
      <c r="R75" s="182"/>
      <c r="S75" s="182"/>
      <c r="T75" s="183">
        <v>0</v>
      </c>
    </row>
    <row r="76" spans="1:20">
      <c r="A76" s="178">
        <v>66</v>
      </c>
      <c r="B76" s="178" t="s">
        <v>229</v>
      </c>
      <c r="C76" s="178" t="s">
        <v>1681</v>
      </c>
      <c r="D76" s="178">
        <v>9</v>
      </c>
      <c r="E76" s="178" t="s">
        <v>228</v>
      </c>
      <c r="F76" s="180">
        <v>3</v>
      </c>
      <c r="G76" s="180">
        <v>2</v>
      </c>
      <c r="H76" s="178">
        <v>3</v>
      </c>
      <c r="I76" s="178">
        <v>2</v>
      </c>
      <c r="J76" s="178">
        <v>3</v>
      </c>
      <c r="K76" s="180">
        <v>3</v>
      </c>
      <c r="L76" s="180">
        <v>3</v>
      </c>
      <c r="M76" s="180">
        <v>3</v>
      </c>
      <c r="N76" s="178">
        <v>3</v>
      </c>
      <c r="O76" s="178">
        <v>1</v>
      </c>
      <c r="P76" s="178">
        <v>2</v>
      </c>
      <c r="Q76" s="178">
        <v>1</v>
      </c>
      <c r="R76" s="178">
        <v>3</v>
      </c>
      <c r="S76" s="178">
        <v>2</v>
      </c>
      <c r="T76" s="183">
        <f t="array" ref="T76">IF(AND(ISBLANK(F76:S76)),"", SUM(F76:J76)/15*40 + SUM(K76:S76)/27*60)</f>
        <v>81.333333333333343</v>
      </c>
    </row>
    <row r="77" spans="1:20">
      <c r="A77" s="178">
        <v>67</v>
      </c>
      <c r="B77" s="178" t="s">
        <v>232</v>
      </c>
      <c r="C77" s="178" t="s">
        <v>230</v>
      </c>
      <c r="D77" s="178">
        <v>1</v>
      </c>
      <c r="E77" s="178" t="s">
        <v>231</v>
      </c>
      <c r="F77" s="180">
        <v>2</v>
      </c>
      <c r="G77" s="180">
        <v>1</v>
      </c>
      <c r="H77" s="178">
        <v>3</v>
      </c>
      <c r="I77" s="178">
        <v>2</v>
      </c>
      <c r="J77" s="178">
        <v>2</v>
      </c>
      <c r="K77" s="180">
        <v>3</v>
      </c>
      <c r="L77" s="180">
        <v>3</v>
      </c>
      <c r="M77" s="180">
        <v>2</v>
      </c>
      <c r="N77" s="181">
        <v>3</v>
      </c>
      <c r="O77" s="181">
        <v>3</v>
      </c>
      <c r="P77" s="181">
        <v>0</v>
      </c>
      <c r="Q77" s="182">
        <v>3</v>
      </c>
      <c r="R77" s="182">
        <v>2</v>
      </c>
      <c r="S77" s="182">
        <v>1</v>
      </c>
      <c r="T77" s="183">
        <f t="array" ref="T77">IF(AND(ISBLANK(F77:S77)),"", SUM(F77:J77)/15*40 + SUM(K77:S77)/27*60)</f>
        <v>71.111111111111114</v>
      </c>
    </row>
    <row r="78" spans="1:20">
      <c r="A78" s="178">
        <v>68</v>
      </c>
      <c r="B78" s="178" t="s">
        <v>235</v>
      </c>
      <c r="C78" s="178" t="s">
        <v>233</v>
      </c>
      <c r="D78" s="178">
        <v>11</v>
      </c>
      <c r="E78" s="178" t="s">
        <v>234</v>
      </c>
      <c r="N78" s="181"/>
      <c r="O78" s="181"/>
      <c r="P78" s="181"/>
      <c r="Q78" s="182"/>
      <c r="R78" s="182"/>
      <c r="S78" s="182"/>
      <c r="T78" s="183">
        <v>0</v>
      </c>
    </row>
    <row r="79" spans="1:20">
      <c r="A79" s="178">
        <v>316</v>
      </c>
      <c r="B79" s="178" t="s">
        <v>2005</v>
      </c>
      <c r="C79" s="178" t="s">
        <v>2006</v>
      </c>
      <c r="D79" s="178" t="s">
        <v>1993</v>
      </c>
      <c r="N79" s="181"/>
      <c r="O79" s="181"/>
      <c r="P79" s="181"/>
      <c r="T79" s="183">
        <v>0</v>
      </c>
    </row>
    <row r="80" spans="1:20">
      <c r="A80" s="178">
        <v>69</v>
      </c>
      <c r="B80" s="178" t="s">
        <v>238</v>
      </c>
      <c r="C80" s="178" t="s">
        <v>236</v>
      </c>
      <c r="D80" s="178">
        <v>1</v>
      </c>
      <c r="E80" s="178" t="s">
        <v>237</v>
      </c>
      <c r="F80" s="180">
        <v>2</v>
      </c>
      <c r="G80" s="180">
        <v>2</v>
      </c>
      <c r="H80" s="178">
        <v>3</v>
      </c>
      <c r="I80" s="178">
        <v>1</v>
      </c>
      <c r="J80" s="178">
        <v>3</v>
      </c>
      <c r="K80" s="180">
        <v>3</v>
      </c>
      <c r="L80" s="180">
        <v>3</v>
      </c>
      <c r="M80" s="180">
        <v>3</v>
      </c>
      <c r="N80" s="181">
        <v>3</v>
      </c>
      <c r="O80" s="181">
        <v>3</v>
      </c>
      <c r="P80" s="181">
        <v>3</v>
      </c>
      <c r="Q80" s="182">
        <v>3</v>
      </c>
      <c r="R80" s="182">
        <v>3</v>
      </c>
      <c r="S80" s="182">
        <v>2</v>
      </c>
      <c r="T80" s="183">
        <f t="array" ref="T80">IF(AND(ISBLANK(F80:S80)),"", SUM(F80:J80)/15*40 + SUM(K80:S80)/27*60)</f>
        <v>87.1111111111111</v>
      </c>
    </row>
    <row r="81" spans="1:20">
      <c r="A81" s="178">
        <v>317</v>
      </c>
      <c r="B81" s="178" t="s">
        <v>2007</v>
      </c>
      <c r="C81" s="178" t="s">
        <v>2008</v>
      </c>
      <c r="D81" s="178" t="s">
        <v>1993</v>
      </c>
      <c r="F81" s="180">
        <v>2</v>
      </c>
      <c r="G81" s="180">
        <v>1</v>
      </c>
      <c r="H81" s="178">
        <v>3</v>
      </c>
      <c r="I81" s="178">
        <v>0</v>
      </c>
      <c r="J81" s="178">
        <v>2</v>
      </c>
      <c r="K81" s="180">
        <v>3</v>
      </c>
      <c r="L81" s="180">
        <v>3</v>
      </c>
      <c r="M81" s="180">
        <v>3</v>
      </c>
      <c r="N81" s="181">
        <v>0</v>
      </c>
      <c r="O81" s="181">
        <v>1</v>
      </c>
      <c r="P81" s="181">
        <v>0</v>
      </c>
      <c r="Q81" s="182">
        <v>0</v>
      </c>
      <c r="R81" s="182">
        <v>0</v>
      </c>
      <c r="S81" s="182">
        <v>2</v>
      </c>
      <c r="T81" s="183">
        <f t="array" ref="T81">IF(AND(ISBLANK(F81:S81)),"", SUM(F81:J81)/15*40 + SUM(K81:S81)/27*60)</f>
        <v>48</v>
      </c>
    </row>
    <row r="82" spans="1:20">
      <c r="A82" s="178">
        <v>70</v>
      </c>
      <c r="B82" s="178" t="s">
        <v>241</v>
      </c>
      <c r="C82" s="178" t="s">
        <v>239</v>
      </c>
      <c r="D82" s="178">
        <v>8</v>
      </c>
      <c r="E82" s="178" t="s">
        <v>240</v>
      </c>
      <c r="F82" s="180">
        <v>2</v>
      </c>
      <c r="G82" s="180">
        <v>1</v>
      </c>
      <c r="H82" s="178">
        <v>3</v>
      </c>
      <c r="I82" s="178">
        <v>0</v>
      </c>
      <c r="J82" s="178">
        <v>1</v>
      </c>
      <c r="K82" s="180">
        <v>3</v>
      </c>
      <c r="L82" s="180">
        <v>3</v>
      </c>
      <c r="M82" s="180">
        <v>1</v>
      </c>
      <c r="N82" s="181">
        <v>3</v>
      </c>
      <c r="O82" s="181">
        <v>3</v>
      </c>
      <c r="P82" s="181">
        <v>3</v>
      </c>
      <c r="Q82" s="182">
        <v>3</v>
      </c>
      <c r="R82" s="182">
        <v>2</v>
      </c>
      <c r="S82" s="182">
        <v>2</v>
      </c>
      <c r="T82" s="183">
        <f t="array" ref="T82">IF(AND(ISBLANK(F82:S82)),"", SUM(F82:J82)/15*40 + SUM(K82:S82)/27*60)</f>
        <v>69.777777777777786</v>
      </c>
    </row>
    <row r="83" spans="1:20">
      <c r="A83" s="178">
        <v>71</v>
      </c>
      <c r="B83" s="178" t="s">
        <v>244</v>
      </c>
      <c r="C83" s="178" t="s">
        <v>242</v>
      </c>
      <c r="D83" s="178">
        <v>2</v>
      </c>
      <c r="E83" s="178" t="s">
        <v>243</v>
      </c>
      <c r="F83" s="178">
        <v>1</v>
      </c>
      <c r="G83" s="178">
        <v>2</v>
      </c>
      <c r="H83" s="178">
        <v>0</v>
      </c>
      <c r="I83" s="178">
        <v>1</v>
      </c>
      <c r="J83" s="178">
        <v>3</v>
      </c>
      <c r="K83" s="178">
        <v>1.5</v>
      </c>
      <c r="L83" s="178">
        <v>3</v>
      </c>
      <c r="M83" s="178">
        <v>1.5</v>
      </c>
      <c r="N83" s="181">
        <v>0</v>
      </c>
      <c r="O83" s="181">
        <v>3</v>
      </c>
      <c r="P83" s="181">
        <v>0</v>
      </c>
      <c r="Q83" s="182">
        <v>1</v>
      </c>
      <c r="R83" s="182">
        <v>2</v>
      </c>
      <c r="S83" s="182">
        <v>0</v>
      </c>
      <c r="T83" s="183">
        <f t="array" ref="T83">IF(AND(ISBLANK(F83:S83)),"", SUM(F83:J83)/15*40 + SUM(K83:S83)/27*60)</f>
        <v>45.333333333333329</v>
      </c>
    </row>
    <row r="84" spans="1:20">
      <c r="A84" s="178">
        <v>72</v>
      </c>
      <c r="B84" s="178" t="s">
        <v>247</v>
      </c>
      <c r="C84" s="178" t="s">
        <v>245</v>
      </c>
      <c r="D84" s="178">
        <v>2</v>
      </c>
      <c r="E84" s="178" t="s">
        <v>246</v>
      </c>
      <c r="F84" s="180">
        <v>2</v>
      </c>
      <c r="G84" s="180">
        <v>1</v>
      </c>
      <c r="H84" s="178">
        <v>3</v>
      </c>
      <c r="I84" s="178">
        <v>1</v>
      </c>
      <c r="J84" s="178">
        <v>3</v>
      </c>
      <c r="K84" s="180">
        <v>3</v>
      </c>
      <c r="L84" s="180">
        <v>0</v>
      </c>
      <c r="M84" s="180">
        <v>3</v>
      </c>
      <c r="N84" s="181">
        <v>3</v>
      </c>
      <c r="O84" s="181">
        <v>1</v>
      </c>
      <c r="P84" s="181">
        <v>2</v>
      </c>
      <c r="Q84" s="182">
        <v>2</v>
      </c>
      <c r="R84" s="182">
        <v>0</v>
      </c>
      <c r="S84" s="182">
        <v>3</v>
      </c>
      <c r="T84" s="183">
        <f t="array" ref="T84">IF(AND(ISBLANK(F84:S84)),"", SUM(F84:J84)/15*40 + SUM(K84:S84)/27*60)</f>
        <v>64.444444444444443</v>
      </c>
    </row>
    <row r="85" spans="1:20">
      <c r="A85" s="178">
        <v>73</v>
      </c>
      <c r="B85" s="178" t="s">
        <v>250</v>
      </c>
      <c r="C85" s="178" t="s">
        <v>248</v>
      </c>
      <c r="D85" s="178">
        <v>12</v>
      </c>
      <c r="E85" s="178" t="s">
        <v>249</v>
      </c>
      <c r="F85" s="181">
        <v>1</v>
      </c>
      <c r="G85" s="181">
        <v>2</v>
      </c>
      <c r="H85" s="181">
        <v>3</v>
      </c>
      <c r="I85" s="181">
        <v>0</v>
      </c>
      <c r="J85" s="181">
        <v>3</v>
      </c>
      <c r="K85" s="178">
        <v>3</v>
      </c>
      <c r="L85" s="178">
        <v>3</v>
      </c>
      <c r="M85" s="178">
        <v>1</v>
      </c>
      <c r="N85" s="181">
        <v>3</v>
      </c>
      <c r="O85" s="181">
        <v>3</v>
      </c>
      <c r="P85" s="181">
        <v>0</v>
      </c>
      <c r="Q85" s="182">
        <v>2</v>
      </c>
      <c r="R85" s="182">
        <v>2</v>
      </c>
      <c r="S85" s="182">
        <v>1.5</v>
      </c>
      <c r="T85" s="183">
        <f t="array" ref="T85">IF(AND(ISBLANK(F85:S85)),"", SUM(F85:J85)/15*40 + SUM(K85:S85)/27*60)</f>
        <v>65.111111111111114</v>
      </c>
    </row>
    <row r="86" spans="1:20">
      <c r="A86" s="178">
        <v>74</v>
      </c>
      <c r="B86" s="178" t="s">
        <v>253</v>
      </c>
      <c r="C86" s="178" t="s">
        <v>251</v>
      </c>
      <c r="D86" s="178">
        <v>12</v>
      </c>
      <c r="E86" s="178" t="s">
        <v>252</v>
      </c>
      <c r="N86" s="181"/>
      <c r="O86" s="181"/>
      <c r="P86" s="181"/>
      <c r="Q86" s="182"/>
      <c r="R86" s="182"/>
      <c r="S86" s="182"/>
      <c r="T86" s="183">
        <v>0</v>
      </c>
    </row>
    <row r="87" spans="1:20">
      <c r="A87" s="178">
        <v>75</v>
      </c>
      <c r="B87" s="178" t="s">
        <v>256</v>
      </c>
      <c r="C87" s="178" t="s">
        <v>254</v>
      </c>
      <c r="D87" s="178">
        <v>2</v>
      </c>
      <c r="E87" s="178" t="s">
        <v>255</v>
      </c>
      <c r="F87" s="178">
        <v>2</v>
      </c>
      <c r="G87" s="178">
        <v>1</v>
      </c>
      <c r="H87" s="178">
        <v>2</v>
      </c>
      <c r="I87" s="178">
        <v>1</v>
      </c>
      <c r="J87" s="178">
        <v>0</v>
      </c>
      <c r="K87" s="178">
        <v>3</v>
      </c>
      <c r="L87" s="178">
        <v>3</v>
      </c>
      <c r="M87" s="178">
        <v>2</v>
      </c>
      <c r="N87" s="178">
        <v>1</v>
      </c>
      <c r="O87" s="178">
        <v>0</v>
      </c>
      <c r="P87" s="178">
        <v>0</v>
      </c>
      <c r="Q87" s="178">
        <v>0</v>
      </c>
      <c r="R87" s="178">
        <v>0</v>
      </c>
      <c r="S87" s="178">
        <v>0</v>
      </c>
      <c r="T87" s="183">
        <f t="array" ref="T87">IF(AND(ISBLANK(F87:S87)),"", SUM(F87:J87)/15*40 + SUM(K87:S87)/27*60)</f>
        <v>36</v>
      </c>
    </row>
    <row r="88" spans="1:20">
      <c r="A88" s="178">
        <v>76</v>
      </c>
      <c r="B88" s="178" t="s">
        <v>259</v>
      </c>
      <c r="C88" s="178" t="s">
        <v>257</v>
      </c>
      <c r="D88" s="178">
        <v>5</v>
      </c>
      <c r="E88" s="178" t="s">
        <v>2009</v>
      </c>
      <c r="F88" s="180">
        <v>1</v>
      </c>
      <c r="G88" s="180">
        <v>0</v>
      </c>
      <c r="H88" s="178">
        <v>1</v>
      </c>
      <c r="I88" s="178">
        <v>0</v>
      </c>
      <c r="K88" s="180">
        <v>2.25</v>
      </c>
      <c r="L88" s="180">
        <v>0</v>
      </c>
      <c r="M88" s="180">
        <v>0</v>
      </c>
      <c r="N88" s="181">
        <v>0</v>
      </c>
      <c r="O88" s="181">
        <v>0</v>
      </c>
      <c r="P88" s="181">
        <v>0</v>
      </c>
      <c r="Q88" s="182"/>
      <c r="R88" s="182"/>
      <c r="S88" s="182"/>
      <c r="T88" s="183">
        <f t="array" ref="T88">IF(AND(ISBLANK(F88:S88)),"", SUM(F88:J88)/15*40 + SUM(K88:S88)/27*60)</f>
        <v>10.333333333333332</v>
      </c>
    </row>
    <row r="89" spans="1:20">
      <c r="A89" s="178">
        <v>77</v>
      </c>
      <c r="B89" s="178" t="s">
        <v>262</v>
      </c>
      <c r="C89" s="178" t="s">
        <v>260</v>
      </c>
      <c r="D89" s="178">
        <v>6</v>
      </c>
      <c r="E89" s="178" t="s">
        <v>261</v>
      </c>
      <c r="F89" s="180">
        <v>2</v>
      </c>
      <c r="G89" s="180">
        <v>2</v>
      </c>
      <c r="H89" s="178">
        <v>3</v>
      </c>
      <c r="I89" s="178">
        <v>0</v>
      </c>
      <c r="J89" s="178">
        <v>3</v>
      </c>
      <c r="K89" s="180">
        <v>3</v>
      </c>
      <c r="L89" s="180">
        <v>0</v>
      </c>
      <c r="M89" s="180">
        <v>2</v>
      </c>
      <c r="N89" s="181">
        <v>1</v>
      </c>
      <c r="O89" s="181">
        <v>3</v>
      </c>
      <c r="P89" s="181">
        <v>0</v>
      </c>
      <c r="Q89" s="182">
        <v>0.5</v>
      </c>
      <c r="R89" s="182">
        <v>0</v>
      </c>
      <c r="S89" s="182">
        <v>1</v>
      </c>
      <c r="T89" s="183">
        <f t="array" ref="T89">IF(AND(ISBLANK(F89:S89)),"", SUM(F89:J89)/15*40 + SUM(K89:S89)/27*60)</f>
        <v>50</v>
      </c>
    </row>
    <row r="90" spans="1:20">
      <c r="A90" s="178">
        <v>78</v>
      </c>
      <c r="B90" s="178" t="s">
        <v>265</v>
      </c>
      <c r="C90" s="178" t="s">
        <v>263</v>
      </c>
      <c r="D90" s="178">
        <v>12</v>
      </c>
      <c r="E90" s="178" t="s">
        <v>264</v>
      </c>
      <c r="F90" s="178">
        <v>3</v>
      </c>
      <c r="G90" s="178">
        <v>3</v>
      </c>
      <c r="H90" s="178">
        <v>3</v>
      </c>
      <c r="I90" s="178">
        <v>1</v>
      </c>
      <c r="J90" s="178">
        <v>3</v>
      </c>
      <c r="K90" s="178">
        <v>3</v>
      </c>
      <c r="L90" s="178">
        <v>3</v>
      </c>
      <c r="M90" s="178">
        <v>2</v>
      </c>
      <c r="N90" s="181">
        <v>3</v>
      </c>
      <c r="O90" s="181">
        <v>2.5</v>
      </c>
      <c r="P90" s="181">
        <v>0</v>
      </c>
      <c r="Q90" s="182">
        <v>1.5</v>
      </c>
      <c r="R90" s="182">
        <v>2</v>
      </c>
      <c r="S90" s="182">
        <v>3</v>
      </c>
      <c r="T90" s="183">
        <f t="array" ref="T90">IF(AND(ISBLANK(F90:S90)),"", SUM(F90:J90)/15*40 + SUM(K90:S90)/27*60)</f>
        <v>79.111111111111114</v>
      </c>
    </row>
    <row r="91" spans="1:20">
      <c r="A91" s="178">
        <v>79</v>
      </c>
      <c r="B91" s="178" t="s">
        <v>268</v>
      </c>
      <c r="C91" s="178" t="s">
        <v>266</v>
      </c>
      <c r="D91" s="178">
        <v>11</v>
      </c>
      <c r="E91" s="178" t="s">
        <v>267</v>
      </c>
      <c r="F91" s="180">
        <v>2</v>
      </c>
      <c r="G91" s="180">
        <v>3</v>
      </c>
      <c r="H91" s="178">
        <v>3</v>
      </c>
      <c r="I91" s="178">
        <v>0</v>
      </c>
      <c r="J91" s="178">
        <v>3</v>
      </c>
      <c r="K91" s="180">
        <v>3</v>
      </c>
      <c r="L91" s="180">
        <v>3</v>
      </c>
      <c r="M91" s="180">
        <v>2</v>
      </c>
      <c r="N91" s="178">
        <v>3</v>
      </c>
      <c r="O91" s="178">
        <v>3</v>
      </c>
      <c r="P91" s="178">
        <v>0</v>
      </c>
      <c r="Q91" s="178">
        <v>1</v>
      </c>
      <c r="R91" s="178">
        <v>2</v>
      </c>
      <c r="S91" s="178">
        <v>3</v>
      </c>
      <c r="T91" s="183">
        <f t="array" ref="T91">IF(AND(ISBLANK(F91:S91)),"", SUM(F91:J91)/15*40 + SUM(K91:S91)/27*60)</f>
        <v>73.777777777777771</v>
      </c>
    </row>
    <row r="92" spans="1:20">
      <c r="A92" s="178">
        <v>80</v>
      </c>
      <c r="B92" s="178" t="s">
        <v>271</v>
      </c>
      <c r="C92" s="178" t="s">
        <v>269</v>
      </c>
      <c r="D92" s="178">
        <v>9</v>
      </c>
      <c r="E92" s="178" t="s">
        <v>270</v>
      </c>
      <c r="F92" s="180">
        <v>1</v>
      </c>
      <c r="G92" s="180">
        <v>0</v>
      </c>
      <c r="H92" s="178">
        <v>1</v>
      </c>
      <c r="I92" s="178">
        <v>0</v>
      </c>
      <c r="K92" s="180">
        <v>0</v>
      </c>
      <c r="L92" s="180">
        <v>0</v>
      </c>
      <c r="M92" s="180">
        <v>0</v>
      </c>
      <c r="N92" s="181">
        <v>0</v>
      </c>
      <c r="O92" s="181">
        <v>0</v>
      </c>
      <c r="P92" s="181">
        <v>0</v>
      </c>
      <c r="T92" s="183">
        <f t="array" ref="T92">IF(AND(ISBLANK(F92:S92)),"", SUM(F92:J92)/15*40 + SUM(K92:S92)/27*60)</f>
        <v>5.333333333333333</v>
      </c>
    </row>
    <row r="93" spans="1:20">
      <c r="A93" s="178">
        <v>81</v>
      </c>
      <c r="B93" s="178" t="s">
        <v>274</v>
      </c>
      <c r="C93" s="178" t="s">
        <v>272</v>
      </c>
      <c r="D93" s="178">
        <v>10</v>
      </c>
      <c r="E93" s="178" t="s">
        <v>273</v>
      </c>
      <c r="F93" s="180">
        <v>2</v>
      </c>
      <c r="G93" s="180">
        <v>2</v>
      </c>
      <c r="H93" s="178">
        <v>3</v>
      </c>
      <c r="I93" s="178">
        <v>1</v>
      </c>
      <c r="J93" s="178">
        <v>3</v>
      </c>
      <c r="K93" s="180">
        <v>3</v>
      </c>
      <c r="L93" s="180">
        <v>3</v>
      </c>
      <c r="M93" s="180">
        <v>1</v>
      </c>
      <c r="N93" s="181">
        <v>3</v>
      </c>
      <c r="O93" s="181">
        <v>3</v>
      </c>
      <c r="P93" s="181">
        <v>1</v>
      </c>
      <c r="Q93" s="182">
        <v>0.5</v>
      </c>
      <c r="R93" s="182">
        <v>0</v>
      </c>
      <c r="S93" s="182">
        <v>2</v>
      </c>
      <c r="T93" s="183">
        <f t="array" ref="T93">IF(AND(ISBLANK(F93:S93)),"", SUM(F93:J93)/15*40 + SUM(K93:S93)/27*60)</f>
        <v>66</v>
      </c>
    </row>
    <row r="94" spans="1:20">
      <c r="A94" s="178">
        <v>82</v>
      </c>
      <c r="B94" s="178" t="s">
        <v>277</v>
      </c>
      <c r="C94" s="178" t="s">
        <v>275</v>
      </c>
      <c r="D94" s="178">
        <v>4</v>
      </c>
      <c r="E94" s="178" t="s">
        <v>276</v>
      </c>
      <c r="F94" s="180">
        <v>1</v>
      </c>
      <c r="G94" s="180">
        <v>0</v>
      </c>
      <c r="H94" s="178">
        <v>2</v>
      </c>
      <c r="I94" s="178">
        <v>1</v>
      </c>
      <c r="K94" s="180">
        <v>3</v>
      </c>
      <c r="L94" s="180">
        <v>2</v>
      </c>
      <c r="M94" s="180">
        <v>2</v>
      </c>
      <c r="N94" s="181">
        <v>0</v>
      </c>
      <c r="O94" s="181">
        <v>1</v>
      </c>
      <c r="P94" s="181">
        <v>0</v>
      </c>
      <c r="Q94" s="182">
        <v>0</v>
      </c>
      <c r="R94" s="182"/>
      <c r="S94" s="182"/>
      <c r="T94" s="183">
        <f t="array" ref="T94">IF(AND(ISBLANK(F94:S94)),"", SUM(F94:J94)/15*40 + SUM(K94:S94)/27*60)</f>
        <v>28.444444444444443</v>
      </c>
    </row>
    <row r="95" spans="1:20">
      <c r="A95" s="178">
        <v>83</v>
      </c>
      <c r="B95" s="178" t="s">
        <v>280</v>
      </c>
      <c r="C95" s="178" t="s">
        <v>278</v>
      </c>
      <c r="D95" s="178">
        <v>8</v>
      </c>
      <c r="E95" s="178" t="s">
        <v>279</v>
      </c>
      <c r="F95" s="180">
        <v>1</v>
      </c>
      <c r="G95" s="180">
        <v>1</v>
      </c>
      <c r="H95" s="178">
        <v>2</v>
      </c>
      <c r="I95" s="178">
        <v>1</v>
      </c>
      <c r="J95" s="178">
        <v>3</v>
      </c>
      <c r="K95" s="180">
        <v>3</v>
      </c>
      <c r="L95" s="180">
        <v>3</v>
      </c>
      <c r="M95" s="180">
        <v>1</v>
      </c>
      <c r="N95" s="181">
        <v>3</v>
      </c>
      <c r="O95" s="181">
        <v>0</v>
      </c>
      <c r="P95" s="181">
        <v>2</v>
      </c>
      <c r="Q95" s="182">
        <v>2</v>
      </c>
      <c r="R95" s="182">
        <v>0</v>
      </c>
      <c r="S95" s="182">
        <v>1</v>
      </c>
      <c r="T95" s="183">
        <f t="array" ref="T95">IF(AND(ISBLANK(F95:S95)),"", SUM(F95:J95)/15*40 + SUM(K95:S95)/27*60)</f>
        <v>54.666666666666671</v>
      </c>
    </row>
    <row r="96" spans="1:20">
      <c r="A96" s="178">
        <v>84</v>
      </c>
      <c r="B96" s="178" t="s">
        <v>283</v>
      </c>
      <c r="C96" s="178" t="s">
        <v>281</v>
      </c>
      <c r="D96" s="178">
        <v>6</v>
      </c>
      <c r="E96" s="178" t="s">
        <v>282</v>
      </c>
      <c r="F96" s="180">
        <v>2</v>
      </c>
      <c r="G96" s="180">
        <v>3</v>
      </c>
      <c r="H96" s="178">
        <v>2</v>
      </c>
      <c r="I96" s="178">
        <v>1</v>
      </c>
      <c r="J96" s="178">
        <v>3</v>
      </c>
      <c r="K96" s="180">
        <v>3</v>
      </c>
      <c r="L96" s="180">
        <v>3</v>
      </c>
      <c r="M96" s="180">
        <v>3</v>
      </c>
      <c r="N96" s="181">
        <v>3</v>
      </c>
      <c r="O96" s="181">
        <v>3</v>
      </c>
      <c r="P96" s="181">
        <v>3</v>
      </c>
      <c r="Q96" s="182">
        <v>3</v>
      </c>
      <c r="R96" s="182">
        <v>3</v>
      </c>
      <c r="S96" s="182">
        <v>2</v>
      </c>
      <c r="T96" s="183">
        <f t="array" ref="T96">IF(AND(ISBLANK(F96:S96)),"", SUM(F96:J96)/15*40 + SUM(K96:S96)/27*60)</f>
        <v>87.1111111111111</v>
      </c>
    </row>
    <row r="97" spans="1:20">
      <c r="A97" s="178">
        <v>85</v>
      </c>
      <c r="B97" s="178" t="s">
        <v>286</v>
      </c>
      <c r="C97" s="178" t="s">
        <v>284</v>
      </c>
      <c r="D97" s="178">
        <v>8</v>
      </c>
      <c r="E97" s="178" t="s">
        <v>285</v>
      </c>
      <c r="F97" s="180">
        <v>2</v>
      </c>
      <c r="G97" s="180">
        <v>1</v>
      </c>
      <c r="H97" s="178">
        <v>3</v>
      </c>
      <c r="I97" s="178">
        <v>2</v>
      </c>
      <c r="J97" s="178">
        <v>3</v>
      </c>
      <c r="K97" s="180">
        <v>3</v>
      </c>
      <c r="L97" s="180">
        <v>3</v>
      </c>
      <c r="M97" s="180">
        <v>3</v>
      </c>
      <c r="N97" s="178">
        <v>3</v>
      </c>
      <c r="O97" s="178">
        <v>3</v>
      </c>
      <c r="P97" s="178">
        <v>3</v>
      </c>
      <c r="Q97" s="178">
        <v>2</v>
      </c>
      <c r="R97" s="178">
        <v>1</v>
      </c>
      <c r="S97" s="178">
        <v>2</v>
      </c>
      <c r="T97" s="183">
        <f t="array" ref="T97">IF(AND(ISBLANK(F97:S97)),"", SUM(F97:J97)/15*40 + SUM(K97:S97)/27*60)</f>
        <v>80.444444444444443</v>
      </c>
    </row>
    <row r="98" spans="1:20">
      <c r="A98" s="178">
        <v>86</v>
      </c>
      <c r="B98" s="178" t="s">
        <v>289</v>
      </c>
      <c r="C98" s="178" t="s">
        <v>287</v>
      </c>
      <c r="D98" s="178">
        <v>10</v>
      </c>
      <c r="E98" s="178" t="s">
        <v>288</v>
      </c>
      <c r="F98" s="180">
        <v>2</v>
      </c>
      <c r="G98" s="180">
        <v>2</v>
      </c>
      <c r="H98" s="178">
        <v>2</v>
      </c>
      <c r="I98" s="178">
        <v>1</v>
      </c>
      <c r="J98" s="178">
        <v>3</v>
      </c>
      <c r="K98" s="180">
        <v>3</v>
      </c>
      <c r="L98" s="180">
        <v>3</v>
      </c>
      <c r="M98" s="180">
        <v>3</v>
      </c>
      <c r="N98" s="181">
        <v>1</v>
      </c>
      <c r="O98" s="181">
        <v>3</v>
      </c>
      <c r="P98" s="181">
        <v>2</v>
      </c>
      <c r="Q98" s="182">
        <v>3</v>
      </c>
      <c r="R98" s="182">
        <v>1</v>
      </c>
      <c r="S98" s="182">
        <v>2</v>
      </c>
      <c r="T98" s="183">
        <f t="array" ref="T98">IF(AND(ISBLANK(F98:S98)),"", SUM(F98:J98)/15*40 + SUM(K98:S98)/27*60)</f>
        <v>73.333333333333329</v>
      </c>
    </row>
    <row r="99" spans="1:20">
      <c r="A99" s="178">
        <v>318</v>
      </c>
      <c r="B99" s="178" t="s">
        <v>1815</v>
      </c>
      <c r="C99" s="178" t="s">
        <v>1818</v>
      </c>
      <c r="D99" s="178" t="s">
        <v>1993</v>
      </c>
      <c r="N99" s="181"/>
      <c r="O99" s="181"/>
      <c r="P99" s="181"/>
      <c r="T99" s="183">
        <v>0</v>
      </c>
    </row>
    <row r="100" spans="1:20">
      <c r="A100" s="178">
        <v>87</v>
      </c>
      <c r="B100" s="178" t="s">
        <v>292</v>
      </c>
      <c r="C100" s="178" t="s">
        <v>290</v>
      </c>
      <c r="D100" s="178">
        <v>4</v>
      </c>
      <c r="E100" s="178" t="s">
        <v>291</v>
      </c>
      <c r="F100" s="180">
        <v>1</v>
      </c>
      <c r="G100" s="180">
        <v>2</v>
      </c>
      <c r="H100" s="178">
        <v>2</v>
      </c>
      <c r="I100" s="178">
        <v>0</v>
      </c>
      <c r="J100" s="178">
        <v>2</v>
      </c>
      <c r="K100" s="180">
        <v>3</v>
      </c>
      <c r="L100" s="180">
        <v>3</v>
      </c>
      <c r="M100" s="180">
        <v>1</v>
      </c>
      <c r="N100" s="181">
        <v>3</v>
      </c>
      <c r="O100" s="181">
        <v>1</v>
      </c>
      <c r="P100" s="181">
        <v>0</v>
      </c>
      <c r="Q100" s="182">
        <v>0.5</v>
      </c>
      <c r="R100" s="182"/>
      <c r="S100" s="182"/>
      <c r="T100" s="183">
        <f t="array" ref="T100">IF(AND(ISBLANK(F100:S100)),"", SUM(F100:J100)/15*40 + SUM(K100:S100)/27*60)</f>
        <v>44.222222222222229</v>
      </c>
    </row>
    <row r="101" spans="1:20">
      <c r="A101" s="178">
        <v>88</v>
      </c>
      <c r="B101" s="178" t="s">
        <v>295</v>
      </c>
      <c r="C101" s="178" t="s">
        <v>293</v>
      </c>
      <c r="D101" s="178">
        <v>12</v>
      </c>
      <c r="E101" s="178" t="s">
        <v>294</v>
      </c>
      <c r="F101" s="178">
        <v>2</v>
      </c>
      <c r="G101" s="178">
        <v>1</v>
      </c>
      <c r="H101" s="178">
        <v>1</v>
      </c>
      <c r="I101" s="178">
        <v>2</v>
      </c>
      <c r="J101" s="178">
        <v>0</v>
      </c>
      <c r="K101" s="178">
        <v>3</v>
      </c>
      <c r="L101" s="178">
        <v>3</v>
      </c>
      <c r="M101" s="178">
        <v>0.5</v>
      </c>
      <c r="N101" s="181">
        <v>1</v>
      </c>
      <c r="O101" s="181">
        <v>0</v>
      </c>
      <c r="P101" s="181">
        <v>0</v>
      </c>
      <c r="Q101" s="182">
        <v>2.5</v>
      </c>
      <c r="R101" s="182">
        <v>2</v>
      </c>
      <c r="S101" s="182">
        <v>0</v>
      </c>
      <c r="T101" s="183">
        <f t="array" ref="T101">IF(AND(ISBLANK(F101:S101)),"", SUM(F101:J101)/15*40 + SUM(K101:S101)/27*60)</f>
        <v>42.666666666666664</v>
      </c>
    </row>
    <row r="102" spans="1:20">
      <c r="A102" s="178">
        <v>89</v>
      </c>
      <c r="B102" s="178" t="s">
        <v>298</v>
      </c>
      <c r="C102" s="178" t="s">
        <v>296</v>
      </c>
      <c r="D102" s="178">
        <v>2</v>
      </c>
      <c r="E102" s="178" t="s">
        <v>297</v>
      </c>
      <c r="F102" s="180">
        <v>3</v>
      </c>
      <c r="G102" s="180">
        <v>3</v>
      </c>
      <c r="H102" s="178">
        <v>3</v>
      </c>
      <c r="I102" s="178">
        <v>2</v>
      </c>
      <c r="J102" s="178">
        <v>3</v>
      </c>
      <c r="K102" s="180">
        <v>3</v>
      </c>
      <c r="L102" s="180">
        <v>3</v>
      </c>
      <c r="M102" s="180">
        <v>3</v>
      </c>
      <c r="N102" s="181">
        <v>3</v>
      </c>
      <c r="O102" s="181">
        <v>3</v>
      </c>
      <c r="P102" s="181">
        <v>3</v>
      </c>
      <c r="Q102" s="182">
        <v>3</v>
      </c>
      <c r="R102" s="182">
        <v>3</v>
      </c>
      <c r="S102" s="182">
        <v>3</v>
      </c>
      <c r="T102" s="183">
        <f t="array" ref="T102">IF(AND(ISBLANK(F102:S102)),"", SUM(F102:J102)/15*40 + SUM(K102:S102)/27*60)</f>
        <v>97.333333333333343</v>
      </c>
    </row>
    <row r="103" spans="1:20">
      <c r="A103" s="178">
        <v>90</v>
      </c>
      <c r="B103" s="178" t="s">
        <v>301</v>
      </c>
      <c r="C103" s="178" t="s">
        <v>299</v>
      </c>
      <c r="D103" s="178">
        <v>3</v>
      </c>
      <c r="E103" s="178" t="s">
        <v>300</v>
      </c>
      <c r="F103" s="180">
        <v>2</v>
      </c>
      <c r="G103" s="180">
        <v>1</v>
      </c>
      <c r="H103" s="178">
        <v>2</v>
      </c>
      <c r="I103" s="178">
        <v>2</v>
      </c>
      <c r="J103" s="178">
        <v>3</v>
      </c>
      <c r="K103" s="180">
        <v>3</v>
      </c>
      <c r="L103" s="180">
        <v>0</v>
      </c>
      <c r="M103" s="180">
        <v>1</v>
      </c>
      <c r="N103" s="181">
        <v>2</v>
      </c>
      <c r="O103" s="181">
        <v>3</v>
      </c>
      <c r="P103" s="181">
        <v>0</v>
      </c>
      <c r="Q103" s="182">
        <v>1</v>
      </c>
      <c r="R103" s="182">
        <v>2</v>
      </c>
      <c r="S103" s="182">
        <v>2</v>
      </c>
      <c r="T103" s="183">
        <f t="array" ref="T103">IF(AND(ISBLANK(F103:S103)),"", SUM(F103:J103)/15*40 + SUM(K103:S103)/27*60)</f>
        <v>57.777777777777771</v>
      </c>
    </row>
    <row r="104" spans="1:20">
      <c r="A104" s="178">
        <v>91</v>
      </c>
      <c r="B104" s="178" t="s">
        <v>304</v>
      </c>
      <c r="C104" s="178" t="s">
        <v>302</v>
      </c>
      <c r="D104" s="178">
        <v>12</v>
      </c>
      <c r="E104" s="178" t="s">
        <v>303</v>
      </c>
      <c r="F104" s="178">
        <v>2</v>
      </c>
      <c r="G104" s="178">
        <v>3</v>
      </c>
      <c r="H104" s="178">
        <v>3</v>
      </c>
      <c r="I104" s="178">
        <v>2</v>
      </c>
      <c r="J104" s="178">
        <v>2.5</v>
      </c>
      <c r="K104" s="178">
        <v>3</v>
      </c>
      <c r="L104" s="178">
        <v>3</v>
      </c>
      <c r="M104" s="178">
        <v>1.5</v>
      </c>
      <c r="N104" s="181">
        <v>3</v>
      </c>
      <c r="O104" s="181">
        <v>0</v>
      </c>
      <c r="P104" s="181">
        <v>0</v>
      </c>
      <c r="Q104" s="182">
        <v>1</v>
      </c>
      <c r="R104" s="182">
        <v>2</v>
      </c>
      <c r="S104" s="182">
        <v>0</v>
      </c>
      <c r="T104" s="183">
        <f t="array" ref="T104">IF(AND(ISBLANK(F104:S104)),"", SUM(F104:J104)/15*40 + SUM(K104:S104)/27*60)</f>
        <v>63.333333333333336</v>
      </c>
    </row>
    <row r="105" spans="1:20">
      <c r="A105" s="178">
        <v>327</v>
      </c>
      <c r="B105" s="178" t="s">
        <v>1806</v>
      </c>
      <c r="C105" s="178" t="s">
        <v>1808</v>
      </c>
      <c r="D105" s="178" t="s">
        <v>1993</v>
      </c>
      <c r="N105" s="181"/>
      <c r="O105" s="181"/>
      <c r="P105" s="181"/>
      <c r="T105" s="183">
        <v>0</v>
      </c>
    </row>
    <row r="106" spans="1:20">
      <c r="A106" s="178">
        <v>92</v>
      </c>
      <c r="B106" s="178" t="s">
        <v>307</v>
      </c>
      <c r="C106" s="178" t="s">
        <v>305</v>
      </c>
      <c r="D106" s="178">
        <v>1</v>
      </c>
      <c r="E106" s="178" t="s">
        <v>306</v>
      </c>
      <c r="F106" s="180">
        <v>3</v>
      </c>
      <c r="G106" s="180">
        <v>3</v>
      </c>
      <c r="H106" s="178">
        <v>3</v>
      </c>
      <c r="I106" s="178">
        <v>2</v>
      </c>
      <c r="J106" s="178">
        <v>3</v>
      </c>
      <c r="K106" s="180">
        <v>3</v>
      </c>
      <c r="L106" s="180">
        <v>3</v>
      </c>
      <c r="M106" s="180">
        <v>3</v>
      </c>
      <c r="N106" s="181">
        <v>2</v>
      </c>
      <c r="O106" s="181">
        <v>2</v>
      </c>
      <c r="P106" s="181">
        <v>2</v>
      </c>
      <c r="Q106" s="182">
        <v>3</v>
      </c>
      <c r="R106" s="182">
        <v>3</v>
      </c>
      <c r="S106" s="182">
        <v>3</v>
      </c>
      <c r="T106" s="183">
        <f t="array" ref="T106">IF(AND(ISBLANK(F106:S106)),"", SUM(F106:J106)/15*40 + SUM(K106:S106)/27*60)</f>
        <v>90.666666666666657</v>
      </c>
    </row>
    <row r="107" spans="1:20">
      <c r="A107" s="178">
        <v>93</v>
      </c>
      <c r="B107" s="178" t="s">
        <v>310</v>
      </c>
      <c r="C107" s="178" t="s">
        <v>308</v>
      </c>
      <c r="D107" s="178">
        <v>4</v>
      </c>
      <c r="E107" s="178" t="s">
        <v>309</v>
      </c>
      <c r="F107" s="180">
        <v>3</v>
      </c>
      <c r="G107" s="180">
        <v>3</v>
      </c>
      <c r="H107" s="178">
        <v>1</v>
      </c>
      <c r="I107" s="178">
        <v>0</v>
      </c>
      <c r="J107" s="178">
        <v>3</v>
      </c>
      <c r="K107" s="180">
        <v>3</v>
      </c>
      <c r="L107" s="180">
        <v>3</v>
      </c>
      <c r="M107" s="180">
        <v>2</v>
      </c>
      <c r="N107" s="181">
        <v>3</v>
      </c>
      <c r="O107" s="181">
        <v>1</v>
      </c>
      <c r="P107" s="181">
        <v>0</v>
      </c>
      <c r="Q107" s="182">
        <v>2</v>
      </c>
      <c r="R107" s="182">
        <v>0</v>
      </c>
      <c r="S107" s="182"/>
      <c r="T107" s="183">
        <f t="array" ref="T107">IF(AND(ISBLANK(F107:S107)),"", SUM(F107:J107)/15*40 + SUM(K107:S107)/27*60)</f>
        <v>57.777777777777771</v>
      </c>
    </row>
    <row r="108" spans="1:20">
      <c r="A108" s="178">
        <v>94</v>
      </c>
      <c r="B108" s="178" t="s">
        <v>313</v>
      </c>
      <c r="C108" s="178" t="s">
        <v>311</v>
      </c>
      <c r="D108" s="178">
        <v>3</v>
      </c>
      <c r="E108" s="178" t="s">
        <v>312</v>
      </c>
      <c r="F108" s="180">
        <v>2</v>
      </c>
      <c r="G108" s="180">
        <v>3</v>
      </c>
      <c r="H108" s="178">
        <v>3</v>
      </c>
      <c r="I108" s="178">
        <v>3</v>
      </c>
      <c r="J108" s="178">
        <v>3</v>
      </c>
      <c r="K108" s="180">
        <v>3</v>
      </c>
      <c r="L108" s="180">
        <v>3</v>
      </c>
      <c r="M108" s="180">
        <v>3</v>
      </c>
      <c r="N108" s="181">
        <v>3</v>
      </c>
      <c r="O108" s="181">
        <v>3</v>
      </c>
      <c r="P108" s="181">
        <v>2</v>
      </c>
      <c r="Q108" s="182">
        <v>3</v>
      </c>
      <c r="R108" s="182">
        <v>3</v>
      </c>
      <c r="S108" s="182">
        <v>2</v>
      </c>
      <c r="T108" s="183">
        <f t="array" ref="T108">IF(AND(ISBLANK(F108:S108)),"", SUM(F108:J108)/15*40 + SUM(K108:S108)/27*60)</f>
        <v>92.888888888888886</v>
      </c>
    </row>
    <row r="109" spans="1:20">
      <c r="A109" s="178">
        <v>95</v>
      </c>
      <c r="B109" s="178" t="s">
        <v>316</v>
      </c>
      <c r="C109" s="178" t="s">
        <v>314</v>
      </c>
      <c r="D109" s="178">
        <v>12</v>
      </c>
      <c r="E109" s="178" t="s">
        <v>315</v>
      </c>
      <c r="F109" s="178">
        <v>1</v>
      </c>
      <c r="G109" s="178">
        <v>0</v>
      </c>
      <c r="H109" s="178">
        <v>1</v>
      </c>
      <c r="I109" s="178">
        <v>0</v>
      </c>
      <c r="J109" s="178">
        <v>0</v>
      </c>
      <c r="N109" s="181"/>
      <c r="O109" s="181"/>
      <c r="P109" s="181"/>
      <c r="Q109" s="182"/>
      <c r="R109" s="182"/>
      <c r="S109" s="182"/>
      <c r="T109" s="183">
        <f t="array" ref="T109">IF(AND(ISBLANK(F109:S109)),"", SUM(F109:J109)/15*40 + SUM(K109:S109)/27*60)</f>
        <v>5.333333333333333</v>
      </c>
    </row>
    <row r="110" spans="1:20">
      <c r="A110" s="178">
        <v>96</v>
      </c>
      <c r="B110" s="178" t="s">
        <v>319</v>
      </c>
      <c r="C110" s="178" t="s">
        <v>317</v>
      </c>
      <c r="D110" s="178">
        <v>7</v>
      </c>
      <c r="E110" s="178" t="s">
        <v>318</v>
      </c>
      <c r="F110" s="180">
        <v>3</v>
      </c>
      <c r="G110" s="180">
        <v>2</v>
      </c>
      <c r="H110" s="178">
        <v>3</v>
      </c>
      <c r="I110" s="178">
        <v>1</v>
      </c>
      <c r="J110" s="178">
        <v>3</v>
      </c>
      <c r="K110" s="180">
        <v>3</v>
      </c>
      <c r="L110" s="180">
        <v>3</v>
      </c>
      <c r="M110" s="180">
        <v>3</v>
      </c>
      <c r="N110" s="181">
        <v>3</v>
      </c>
      <c r="O110" s="181">
        <v>3</v>
      </c>
      <c r="P110" s="181">
        <v>1</v>
      </c>
      <c r="Q110" s="182">
        <v>3</v>
      </c>
      <c r="R110" s="182">
        <v>2</v>
      </c>
      <c r="S110" s="182">
        <v>3</v>
      </c>
      <c r="T110" s="183">
        <f t="array" ref="T110">IF(AND(ISBLANK(F110:S110)),"", SUM(F110:J110)/15*40 + SUM(K110:S110)/27*60)</f>
        <v>85.333333333333329</v>
      </c>
    </row>
    <row r="111" spans="1:20">
      <c r="A111" s="178">
        <v>97</v>
      </c>
      <c r="B111" s="178" t="s">
        <v>322</v>
      </c>
      <c r="C111" s="178" t="s">
        <v>1851</v>
      </c>
      <c r="D111" s="178">
        <v>11</v>
      </c>
      <c r="E111" s="178" t="s">
        <v>321</v>
      </c>
      <c r="F111" s="180">
        <v>1</v>
      </c>
      <c r="G111" s="180">
        <v>1</v>
      </c>
      <c r="H111" s="178">
        <v>1</v>
      </c>
      <c r="I111" s="178">
        <v>0</v>
      </c>
      <c r="J111" s="178">
        <v>0</v>
      </c>
      <c r="K111" s="180">
        <v>0</v>
      </c>
      <c r="L111" s="180">
        <v>0</v>
      </c>
      <c r="M111" s="180">
        <v>1</v>
      </c>
      <c r="N111" s="181">
        <v>2</v>
      </c>
      <c r="O111" s="181">
        <v>0</v>
      </c>
      <c r="P111" s="181">
        <v>0</v>
      </c>
      <c r="Q111" s="182">
        <v>0.5</v>
      </c>
      <c r="R111" s="182">
        <v>0</v>
      </c>
      <c r="S111" s="182"/>
      <c r="T111" s="183">
        <f t="array" ref="T111">IF(AND(ISBLANK(F111:S111)),"", SUM(F111:J111)/15*40 + SUM(K111:S111)/27*60)</f>
        <v>15.777777777777779</v>
      </c>
    </row>
    <row r="112" spans="1:20">
      <c r="A112" s="178">
        <v>98</v>
      </c>
      <c r="B112" s="178" t="s">
        <v>325</v>
      </c>
      <c r="C112" s="178" t="s">
        <v>323</v>
      </c>
      <c r="D112" s="178">
        <v>7</v>
      </c>
      <c r="E112" s="178" t="s">
        <v>324</v>
      </c>
      <c r="F112" s="180">
        <v>1</v>
      </c>
      <c r="G112" s="180">
        <v>1</v>
      </c>
      <c r="H112" s="178">
        <v>2</v>
      </c>
      <c r="I112" s="178">
        <v>0</v>
      </c>
      <c r="J112" s="178">
        <v>3</v>
      </c>
      <c r="K112" s="180">
        <v>2.25</v>
      </c>
      <c r="L112" s="180">
        <v>3</v>
      </c>
      <c r="M112" s="180">
        <v>1</v>
      </c>
      <c r="N112" s="181">
        <v>1</v>
      </c>
      <c r="O112" s="181">
        <v>3</v>
      </c>
      <c r="P112" s="181">
        <v>1</v>
      </c>
      <c r="Q112" s="182">
        <v>0.5</v>
      </c>
      <c r="R112" s="182">
        <v>0</v>
      </c>
      <c r="S112" s="182">
        <v>0</v>
      </c>
      <c r="T112" s="183">
        <f t="array" ref="T112">IF(AND(ISBLANK(F112:S112)),"", SUM(F112:J112)/15*40 + SUM(K112:S112)/27*60)</f>
        <v>44.777777777777779</v>
      </c>
    </row>
    <row r="113" spans="1:20">
      <c r="A113" s="178">
        <v>99</v>
      </c>
      <c r="B113" s="178" t="s">
        <v>328</v>
      </c>
      <c r="C113" s="178" t="s">
        <v>326</v>
      </c>
      <c r="D113" s="178">
        <v>11</v>
      </c>
      <c r="E113" s="178" t="s">
        <v>327</v>
      </c>
      <c r="N113" s="181"/>
      <c r="O113" s="181"/>
      <c r="P113" s="181"/>
      <c r="Q113" s="182"/>
      <c r="R113" s="182"/>
      <c r="S113" s="182"/>
      <c r="T113" s="183">
        <v>0</v>
      </c>
    </row>
    <row r="114" spans="1:20">
      <c r="A114" s="178">
        <v>100</v>
      </c>
      <c r="B114" s="178" t="s">
        <v>331</v>
      </c>
      <c r="C114" s="178" t="s">
        <v>329</v>
      </c>
      <c r="D114" s="178">
        <v>4</v>
      </c>
      <c r="E114" s="178" t="s">
        <v>330</v>
      </c>
      <c r="F114" s="180">
        <v>1</v>
      </c>
      <c r="G114" s="180">
        <v>2</v>
      </c>
      <c r="H114" s="178">
        <v>2</v>
      </c>
      <c r="I114" s="178">
        <v>0</v>
      </c>
      <c r="J114" s="178">
        <v>3</v>
      </c>
      <c r="K114" s="180">
        <v>3</v>
      </c>
      <c r="L114" s="180">
        <v>3</v>
      </c>
      <c r="M114" s="180">
        <v>3</v>
      </c>
      <c r="N114" s="181">
        <v>1</v>
      </c>
      <c r="O114" s="181">
        <v>1</v>
      </c>
      <c r="P114" s="181">
        <v>0</v>
      </c>
      <c r="Q114" s="182">
        <v>2.5</v>
      </c>
      <c r="R114" s="182">
        <v>0</v>
      </c>
      <c r="S114" s="182">
        <v>2</v>
      </c>
      <c r="T114" s="183">
        <f t="array" ref="T114">IF(AND(ISBLANK(F114:S114)),"", SUM(F114:J114)/15*40 + SUM(K114:S114)/27*60)</f>
        <v>55.777777777777771</v>
      </c>
    </row>
    <row r="115" spans="1:20">
      <c r="A115" s="178">
        <v>101</v>
      </c>
      <c r="B115" s="178" t="s">
        <v>334</v>
      </c>
      <c r="C115" s="178" t="s">
        <v>1718</v>
      </c>
      <c r="D115" s="178">
        <v>4</v>
      </c>
      <c r="E115" s="178" t="s">
        <v>333</v>
      </c>
      <c r="F115" s="180">
        <v>2</v>
      </c>
      <c r="G115" s="180">
        <v>0</v>
      </c>
      <c r="H115" s="178">
        <v>2</v>
      </c>
      <c r="I115" s="178">
        <v>1</v>
      </c>
      <c r="K115" s="180">
        <v>2.75</v>
      </c>
      <c r="L115" s="180">
        <v>3</v>
      </c>
      <c r="M115" s="180">
        <v>1</v>
      </c>
      <c r="N115" s="178">
        <v>3</v>
      </c>
      <c r="O115" s="178">
        <v>0</v>
      </c>
      <c r="P115" s="178">
        <v>0</v>
      </c>
      <c r="Q115" s="178">
        <v>2.5</v>
      </c>
      <c r="R115" s="178">
        <v>1</v>
      </c>
      <c r="S115" s="178">
        <v>2</v>
      </c>
      <c r="T115" s="183">
        <f t="array" ref="T115">IF(AND(ISBLANK(F115:S115)),"", SUM(F115:J115)/15*40 + SUM(K115:S115)/27*60)</f>
        <v>47.222222222222214</v>
      </c>
    </row>
    <row r="116" spans="1:20">
      <c r="A116" s="178">
        <v>102</v>
      </c>
      <c r="B116" s="178" t="s">
        <v>337</v>
      </c>
      <c r="C116" s="178" t="s">
        <v>335</v>
      </c>
      <c r="D116" s="178">
        <v>11</v>
      </c>
      <c r="E116" s="178" t="s">
        <v>336</v>
      </c>
      <c r="F116" s="180">
        <v>1</v>
      </c>
      <c r="G116" s="180">
        <v>0</v>
      </c>
      <c r="H116" s="178">
        <v>2</v>
      </c>
      <c r="I116" s="178">
        <v>1</v>
      </c>
      <c r="K116" s="180">
        <v>1.5</v>
      </c>
      <c r="L116" s="180">
        <v>1</v>
      </c>
      <c r="M116" s="180">
        <v>2</v>
      </c>
      <c r="N116" s="181">
        <v>0</v>
      </c>
      <c r="O116" s="181">
        <v>0</v>
      </c>
      <c r="P116" s="181">
        <v>0</v>
      </c>
      <c r="Q116" s="182">
        <v>1</v>
      </c>
      <c r="R116" s="182">
        <v>0</v>
      </c>
      <c r="S116" s="182">
        <v>0</v>
      </c>
      <c r="T116" s="183">
        <f t="array" ref="T116">IF(AND(ISBLANK(F116:S116)),"", SUM(F116:J116)/15*40 + SUM(K116:S116)/27*60)</f>
        <v>22.888888888888886</v>
      </c>
    </row>
    <row r="117" spans="1:20">
      <c r="A117" s="178">
        <v>319</v>
      </c>
      <c r="B117" s="178" t="s">
        <v>2010</v>
      </c>
      <c r="C117" s="178" t="s">
        <v>2011</v>
      </c>
      <c r="D117" s="178" t="s">
        <v>1993</v>
      </c>
      <c r="N117" s="181"/>
      <c r="O117" s="181"/>
      <c r="P117" s="181"/>
      <c r="Q117" s="182"/>
      <c r="R117" s="182"/>
      <c r="S117" s="182"/>
      <c r="T117" s="183">
        <v>0</v>
      </c>
    </row>
    <row r="118" spans="1:20">
      <c r="A118" s="178">
        <v>103</v>
      </c>
      <c r="B118" s="178" t="s">
        <v>340</v>
      </c>
      <c r="C118" s="178" t="s">
        <v>338</v>
      </c>
      <c r="D118" s="178">
        <v>8</v>
      </c>
      <c r="E118" s="178" t="s">
        <v>339</v>
      </c>
      <c r="F118" s="180">
        <v>3</v>
      </c>
      <c r="G118" s="180">
        <v>2</v>
      </c>
      <c r="H118" s="178">
        <v>3</v>
      </c>
      <c r="I118" s="178">
        <v>1</v>
      </c>
      <c r="J118" s="178">
        <v>3</v>
      </c>
      <c r="K118" s="180">
        <v>3</v>
      </c>
      <c r="L118" s="180">
        <v>3</v>
      </c>
      <c r="M118" s="180">
        <v>2</v>
      </c>
      <c r="N118" s="181">
        <v>3</v>
      </c>
      <c r="O118" s="181">
        <v>3</v>
      </c>
      <c r="P118" s="181">
        <v>3</v>
      </c>
      <c r="Q118" s="182">
        <v>2</v>
      </c>
      <c r="R118" s="182">
        <v>3</v>
      </c>
      <c r="S118" s="182">
        <v>2</v>
      </c>
      <c r="T118" s="183">
        <f t="array" ref="T118">IF(AND(ISBLANK(F118:S118)),"", SUM(F118:J118)/15*40 + SUM(K118:S118)/27*60)</f>
        <v>85.333333333333329</v>
      </c>
    </row>
    <row r="119" spans="1:20">
      <c r="A119" s="178">
        <v>104</v>
      </c>
      <c r="B119" s="178" t="s">
        <v>343</v>
      </c>
      <c r="C119" s="178" t="s">
        <v>341</v>
      </c>
      <c r="D119" s="178">
        <v>12</v>
      </c>
      <c r="E119" s="178" t="s">
        <v>342</v>
      </c>
      <c r="F119" s="178">
        <v>1</v>
      </c>
      <c r="G119" s="178">
        <v>0</v>
      </c>
      <c r="H119" s="178">
        <v>2</v>
      </c>
      <c r="J119" s="178">
        <v>0</v>
      </c>
      <c r="K119" s="178">
        <v>2.75</v>
      </c>
      <c r="L119" s="178">
        <v>3</v>
      </c>
      <c r="M119" s="178">
        <v>2</v>
      </c>
      <c r="N119" s="181">
        <v>3</v>
      </c>
      <c r="O119" s="181">
        <v>0</v>
      </c>
      <c r="P119" s="181">
        <v>0</v>
      </c>
      <c r="Q119" s="182">
        <v>0</v>
      </c>
      <c r="R119" s="182">
        <v>0</v>
      </c>
      <c r="S119" s="182">
        <v>0</v>
      </c>
      <c r="T119" s="183">
        <f t="array" ref="T119">IF(AND(ISBLANK(F119:S119)),"", SUM(F119:J119)/15*40 + SUM(K119:S119)/27*60)</f>
        <v>31.888888888888889</v>
      </c>
    </row>
    <row r="120" spans="1:20">
      <c r="A120" s="178">
        <v>105</v>
      </c>
      <c r="B120" s="178" t="s">
        <v>346</v>
      </c>
      <c r="C120" s="178" t="s">
        <v>344</v>
      </c>
      <c r="D120" s="178">
        <v>12</v>
      </c>
      <c r="E120" s="178" t="s">
        <v>345</v>
      </c>
      <c r="F120" s="178">
        <v>1</v>
      </c>
      <c r="G120" s="178">
        <v>0</v>
      </c>
      <c r="H120" s="178">
        <v>2</v>
      </c>
      <c r="I120" s="178">
        <v>1</v>
      </c>
      <c r="J120" s="178">
        <v>2</v>
      </c>
      <c r="K120" s="178">
        <v>1.5</v>
      </c>
      <c r="L120" s="178">
        <v>2</v>
      </c>
      <c r="M120" s="178">
        <v>0.5</v>
      </c>
      <c r="N120" s="181">
        <v>0</v>
      </c>
      <c r="O120" s="181"/>
      <c r="P120" s="181"/>
      <c r="Q120" s="182"/>
      <c r="R120" s="182"/>
      <c r="S120" s="182"/>
      <c r="T120" s="183">
        <f t="array" ref="T120">IF(AND(ISBLANK(F120:S120)),"", SUM(F120:J120)/15*40 + SUM(K120:S120)/27*60)</f>
        <v>24.888888888888889</v>
      </c>
    </row>
    <row r="121" spans="1:20">
      <c r="A121" s="178">
        <v>106</v>
      </c>
      <c r="B121" s="178" t="s">
        <v>349</v>
      </c>
      <c r="C121" s="178" t="s">
        <v>347</v>
      </c>
      <c r="D121" s="178">
        <v>12</v>
      </c>
      <c r="E121" s="178" t="s">
        <v>348</v>
      </c>
      <c r="F121" s="181"/>
      <c r="G121" s="181"/>
      <c r="H121" s="181"/>
      <c r="I121" s="181"/>
      <c r="J121" s="181"/>
      <c r="N121" s="181"/>
      <c r="O121" s="181"/>
      <c r="P121" s="181"/>
      <c r="Q121" s="182"/>
      <c r="R121" s="182"/>
      <c r="S121" s="182"/>
      <c r="T121" s="183">
        <v>0</v>
      </c>
    </row>
    <row r="122" spans="1:20">
      <c r="A122" s="178">
        <v>107</v>
      </c>
      <c r="B122" s="178" t="s">
        <v>352</v>
      </c>
      <c r="C122" s="178" t="s">
        <v>350</v>
      </c>
      <c r="D122" s="178">
        <v>7</v>
      </c>
      <c r="E122" s="178" t="s">
        <v>351</v>
      </c>
      <c r="F122" s="185">
        <v>3</v>
      </c>
      <c r="G122" s="185">
        <v>2</v>
      </c>
      <c r="H122" s="181">
        <v>3</v>
      </c>
      <c r="I122" s="181">
        <v>2</v>
      </c>
      <c r="J122" s="181">
        <v>3</v>
      </c>
      <c r="K122" s="180">
        <v>2.25</v>
      </c>
      <c r="L122" s="180">
        <v>3</v>
      </c>
      <c r="M122" s="180">
        <v>2</v>
      </c>
      <c r="N122" s="181">
        <v>3</v>
      </c>
      <c r="O122" s="181">
        <v>3</v>
      </c>
      <c r="P122" s="181">
        <v>3</v>
      </c>
      <c r="Q122" s="182">
        <v>0</v>
      </c>
      <c r="R122" s="182">
        <v>2</v>
      </c>
      <c r="S122" s="182">
        <v>2</v>
      </c>
      <c r="T122" s="183">
        <f t="array" ref="T122">IF(AND(ISBLANK(F122:S122)),"", SUM(F122:J122)/15*40 + SUM(K122:S122)/27*60)</f>
        <v>79.666666666666671</v>
      </c>
    </row>
    <row r="123" spans="1:20">
      <c r="A123" s="178">
        <v>108</v>
      </c>
      <c r="B123" s="178" t="s">
        <v>355</v>
      </c>
      <c r="C123" s="178" t="s">
        <v>353</v>
      </c>
      <c r="D123" s="178">
        <v>3</v>
      </c>
      <c r="E123" s="178" t="s">
        <v>354</v>
      </c>
      <c r="F123" s="181">
        <v>2</v>
      </c>
      <c r="G123" s="181">
        <v>2</v>
      </c>
      <c r="H123" s="181">
        <v>3</v>
      </c>
      <c r="I123" s="181">
        <v>0.5</v>
      </c>
      <c r="J123" s="181">
        <v>3</v>
      </c>
      <c r="K123" s="178">
        <v>2.25</v>
      </c>
      <c r="L123" s="178">
        <v>3</v>
      </c>
      <c r="M123" s="178">
        <v>2</v>
      </c>
      <c r="N123" s="181">
        <v>3</v>
      </c>
      <c r="O123" s="181">
        <v>3</v>
      </c>
      <c r="P123" s="181">
        <v>3</v>
      </c>
      <c r="Q123" s="182">
        <v>3</v>
      </c>
      <c r="R123" s="182">
        <v>2</v>
      </c>
      <c r="S123" s="182">
        <v>3</v>
      </c>
      <c r="T123" s="183">
        <f t="array" ref="T123">IF(AND(ISBLANK(F123:S123)),"", SUM(F123:J123)/15*40 + SUM(K123:S123)/27*60)</f>
        <v>81.888888888888886</v>
      </c>
    </row>
    <row r="124" spans="1:20">
      <c r="A124" s="178">
        <v>109</v>
      </c>
      <c r="B124" s="178" t="s">
        <v>358</v>
      </c>
      <c r="C124" s="178" t="s">
        <v>1778</v>
      </c>
      <c r="D124" s="178">
        <v>2</v>
      </c>
      <c r="E124" s="178" t="s">
        <v>357</v>
      </c>
      <c r="F124" s="180">
        <v>2</v>
      </c>
      <c r="G124" s="180">
        <v>3</v>
      </c>
      <c r="H124" s="178">
        <v>2</v>
      </c>
      <c r="I124" s="178">
        <v>2</v>
      </c>
      <c r="J124" s="178">
        <v>3</v>
      </c>
      <c r="K124" s="180">
        <v>3</v>
      </c>
      <c r="L124" s="180">
        <v>3</v>
      </c>
      <c r="M124" s="180">
        <v>2</v>
      </c>
      <c r="N124" s="178">
        <v>2</v>
      </c>
      <c r="O124" s="178">
        <v>3</v>
      </c>
      <c r="P124" s="178">
        <v>3</v>
      </c>
      <c r="Q124" s="178">
        <v>3</v>
      </c>
      <c r="T124" s="183">
        <f t="array" ref="T124">IF(AND(ISBLANK(F124:S124)),"", SUM(F124:J124)/15*40 + SUM(K124:S124)/27*60)</f>
        <v>74.222222222222229</v>
      </c>
    </row>
    <row r="125" spans="1:20">
      <c r="A125" s="178">
        <v>110</v>
      </c>
      <c r="B125" s="178" t="s">
        <v>361</v>
      </c>
      <c r="C125" s="178" t="s">
        <v>359</v>
      </c>
      <c r="D125" s="178">
        <v>8</v>
      </c>
      <c r="E125" s="178" t="s">
        <v>360</v>
      </c>
      <c r="F125" s="185">
        <v>3</v>
      </c>
      <c r="G125" s="185">
        <v>2</v>
      </c>
      <c r="H125" s="181">
        <v>3</v>
      </c>
      <c r="I125" s="181">
        <v>2</v>
      </c>
      <c r="J125" s="181">
        <v>3</v>
      </c>
      <c r="K125" s="180">
        <v>3</v>
      </c>
      <c r="L125" s="180">
        <v>3</v>
      </c>
      <c r="M125" s="180">
        <v>3</v>
      </c>
      <c r="N125" s="181">
        <v>3</v>
      </c>
      <c r="O125" s="181">
        <v>3</v>
      </c>
      <c r="P125" s="181">
        <v>1</v>
      </c>
      <c r="Q125" s="182">
        <v>3</v>
      </c>
      <c r="R125" s="182">
        <v>2</v>
      </c>
      <c r="S125" s="182">
        <v>3</v>
      </c>
      <c r="T125" s="183">
        <f t="array" ref="T125">IF(AND(ISBLANK(F125:S125)),"", SUM(F125:J125)/15*40 + SUM(K125:S125)/27*60)</f>
        <v>88</v>
      </c>
    </row>
    <row r="126" spans="1:20">
      <c r="A126" s="178">
        <v>111</v>
      </c>
      <c r="B126" s="178" t="s">
        <v>364</v>
      </c>
      <c r="C126" s="178" t="s">
        <v>362</v>
      </c>
      <c r="D126" s="178">
        <v>1</v>
      </c>
      <c r="E126" s="178" t="s">
        <v>363</v>
      </c>
      <c r="F126" s="185">
        <v>3</v>
      </c>
      <c r="G126" s="185">
        <v>3</v>
      </c>
      <c r="H126" s="181">
        <v>3</v>
      </c>
      <c r="I126" s="181">
        <v>2</v>
      </c>
      <c r="J126" s="181">
        <v>3</v>
      </c>
      <c r="K126" s="180">
        <v>3</v>
      </c>
      <c r="L126" s="180">
        <v>3</v>
      </c>
      <c r="M126" s="180">
        <v>3</v>
      </c>
      <c r="N126" s="181">
        <v>3</v>
      </c>
      <c r="O126" s="181">
        <v>2</v>
      </c>
      <c r="P126" s="181">
        <v>1</v>
      </c>
      <c r="Q126" s="182">
        <v>3</v>
      </c>
      <c r="R126" s="182">
        <v>1</v>
      </c>
      <c r="S126" s="182">
        <v>2</v>
      </c>
      <c r="T126" s="183">
        <f t="array" ref="T126">IF(AND(ISBLANK(F126:S126)),"", SUM(F126:J126)/15*40 + SUM(K126:S126)/27*60)</f>
        <v>84</v>
      </c>
    </row>
    <row r="127" spans="1:20">
      <c r="A127" s="178">
        <v>112</v>
      </c>
      <c r="B127" s="178" t="s">
        <v>367</v>
      </c>
      <c r="C127" s="178" t="s">
        <v>365</v>
      </c>
      <c r="D127" s="178">
        <v>4</v>
      </c>
      <c r="E127" s="178" t="s">
        <v>366</v>
      </c>
      <c r="F127" s="181"/>
      <c r="G127" s="181"/>
      <c r="H127" s="181"/>
      <c r="I127" s="181"/>
      <c r="J127" s="181"/>
      <c r="N127" s="181"/>
      <c r="O127" s="181"/>
      <c r="P127" s="181"/>
      <c r="Q127" s="182"/>
      <c r="R127" s="182"/>
      <c r="S127" s="182"/>
      <c r="T127" s="183">
        <v>0</v>
      </c>
    </row>
    <row r="128" spans="1:20">
      <c r="A128" s="178">
        <v>113</v>
      </c>
      <c r="B128" s="178" t="s">
        <v>370</v>
      </c>
      <c r="C128" s="178" t="s">
        <v>368</v>
      </c>
      <c r="D128" s="178">
        <v>8</v>
      </c>
      <c r="E128" s="178" t="s">
        <v>369</v>
      </c>
      <c r="F128" s="185">
        <v>2</v>
      </c>
      <c r="G128" s="185">
        <v>3</v>
      </c>
      <c r="H128" s="181">
        <v>3</v>
      </c>
      <c r="I128" s="181">
        <v>0</v>
      </c>
      <c r="J128" s="181">
        <v>3</v>
      </c>
      <c r="K128" s="180">
        <v>3</v>
      </c>
      <c r="L128" s="180">
        <v>3</v>
      </c>
      <c r="M128" s="180">
        <v>3</v>
      </c>
      <c r="N128" s="181">
        <v>3</v>
      </c>
      <c r="O128" s="181">
        <v>3</v>
      </c>
      <c r="P128" s="181">
        <v>2</v>
      </c>
      <c r="Q128" s="182">
        <v>2</v>
      </c>
      <c r="R128" s="182">
        <v>1</v>
      </c>
      <c r="S128" s="182"/>
      <c r="T128" s="183">
        <f t="array" ref="T128">IF(AND(ISBLANK(F128:S128)),"", SUM(F128:J128)/15*40 + SUM(K128:S128)/27*60)</f>
        <v>73.777777777777771</v>
      </c>
    </row>
    <row r="129" spans="1:20">
      <c r="A129" s="178">
        <v>114</v>
      </c>
      <c r="B129" s="178" t="s">
        <v>373</v>
      </c>
      <c r="C129" s="178" t="s">
        <v>371</v>
      </c>
      <c r="D129" s="178">
        <v>5</v>
      </c>
      <c r="E129" s="178" t="s">
        <v>372</v>
      </c>
      <c r="F129" s="185">
        <v>1</v>
      </c>
      <c r="G129" s="185">
        <v>2</v>
      </c>
      <c r="H129" s="181">
        <v>2</v>
      </c>
      <c r="I129" s="181">
        <v>1</v>
      </c>
      <c r="J129" s="181">
        <v>3</v>
      </c>
      <c r="K129" s="180">
        <v>3</v>
      </c>
      <c r="L129" s="180">
        <v>3</v>
      </c>
      <c r="M129" s="180">
        <v>1</v>
      </c>
      <c r="N129" s="181">
        <v>2</v>
      </c>
      <c r="O129" s="181">
        <v>3</v>
      </c>
      <c r="P129" s="181">
        <v>3</v>
      </c>
      <c r="Q129" s="182">
        <v>0.5</v>
      </c>
      <c r="R129" s="182">
        <v>0</v>
      </c>
      <c r="S129" s="182">
        <v>0</v>
      </c>
      <c r="T129" s="183">
        <f t="array" ref="T129">IF(AND(ISBLANK(F129:S129)),"", SUM(F129:J129)/15*40 + SUM(K129:S129)/27*60)</f>
        <v>58.444444444444443</v>
      </c>
    </row>
    <row r="130" spans="1:20">
      <c r="A130" s="178">
        <v>115</v>
      </c>
      <c r="B130" s="178" t="s">
        <v>376</v>
      </c>
      <c r="C130" s="178" t="s">
        <v>374</v>
      </c>
      <c r="D130" s="178">
        <v>9</v>
      </c>
      <c r="E130" s="178" t="s">
        <v>375</v>
      </c>
      <c r="F130" s="185">
        <v>3</v>
      </c>
      <c r="G130" s="185">
        <v>3</v>
      </c>
      <c r="H130" s="181">
        <v>3</v>
      </c>
      <c r="I130" s="181">
        <v>1</v>
      </c>
      <c r="J130" s="181">
        <v>3</v>
      </c>
      <c r="K130" s="180">
        <v>3</v>
      </c>
      <c r="L130" s="180">
        <v>3</v>
      </c>
      <c r="M130" s="180">
        <v>3</v>
      </c>
      <c r="N130" s="181">
        <v>3</v>
      </c>
      <c r="O130" s="181">
        <v>1</v>
      </c>
      <c r="P130" s="181">
        <v>2</v>
      </c>
      <c r="Q130" s="182">
        <v>2.5</v>
      </c>
      <c r="R130" s="182">
        <v>3</v>
      </c>
      <c r="S130" s="182">
        <v>3</v>
      </c>
      <c r="T130" s="183">
        <f t="array" ref="T130">IF(AND(ISBLANK(F130:S130)),"", SUM(F130:J130)/15*40 + SUM(K130:S130)/27*60)</f>
        <v>86.888888888888886</v>
      </c>
    </row>
    <row r="131" spans="1:20">
      <c r="A131" s="178">
        <v>116</v>
      </c>
      <c r="B131" s="178" t="s">
        <v>379</v>
      </c>
      <c r="C131" s="178" t="s">
        <v>377</v>
      </c>
      <c r="D131" s="178">
        <v>10</v>
      </c>
      <c r="E131" s="178" t="s">
        <v>378</v>
      </c>
      <c r="F131" s="185">
        <v>1</v>
      </c>
      <c r="G131" s="185">
        <v>3</v>
      </c>
      <c r="H131" s="181">
        <v>3</v>
      </c>
      <c r="I131" s="181">
        <v>0</v>
      </c>
      <c r="J131" s="181">
        <v>3</v>
      </c>
      <c r="K131" s="180">
        <v>3</v>
      </c>
      <c r="L131" s="180">
        <v>1</v>
      </c>
      <c r="M131" s="180">
        <v>2</v>
      </c>
      <c r="N131" s="181">
        <v>1</v>
      </c>
      <c r="O131" s="181">
        <v>3</v>
      </c>
      <c r="P131" s="181">
        <v>3</v>
      </c>
      <c r="Q131" s="182">
        <v>2.5</v>
      </c>
      <c r="R131" s="182">
        <v>0</v>
      </c>
      <c r="S131" s="182">
        <v>1</v>
      </c>
      <c r="T131" s="183">
        <f t="array" ref="T131">IF(AND(ISBLANK(F131:S131)),"", SUM(F131:J131)/15*40 + SUM(K131:S131)/27*60)</f>
        <v>63.333333333333336</v>
      </c>
    </row>
    <row r="132" spans="1:20">
      <c r="A132" s="178">
        <v>117</v>
      </c>
      <c r="B132" s="178" t="s">
        <v>382</v>
      </c>
      <c r="C132" s="178" t="s">
        <v>380</v>
      </c>
      <c r="D132" s="178">
        <v>6</v>
      </c>
      <c r="E132" s="178" t="s">
        <v>381</v>
      </c>
      <c r="F132" s="185">
        <v>1</v>
      </c>
      <c r="G132" s="185">
        <v>0</v>
      </c>
      <c r="H132" s="181">
        <v>0</v>
      </c>
      <c r="I132" s="181">
        <v>0</v>
      </c>
      <c r="J132" s="181">
        <v>1</v>
      </c>
      <c r="K132" s="180">
        <v>1.75</v>
      </c>
      <c r="L132" s="180">
        <v>3</v>
      </c>
      <c r="M132" s="180">
        <v>2</v>
      </c>
      <c r="N132" s="181">
        <v>1</v>
      </c>
      <c r="O132" s="181">
        <v>0</v>
      </c>
      <c r="P132" s="181">
        <v>0</v>
      </c>
      <c r="Q132" s="182">
        <v>0</v>
      </c>
      <c r="R132" s="182">
        <v>0</v>
      </c>
      <c r="S132" s="182">
        <v>0</v>
      </c>
      <c r="T132" s="183">
        <f t="array" ref="T132">IF(AND(ISBLANK(F132:S132)),"", SUM(F132:J132)/15*40 + SUM(K132:S132)/27*60)</f>
        <v>22.555555555555554</v>
      </c>
    </row>
    <row r="133" spans="1:20">
      <c r="A133" s="178">
        <v>118</v>
      </c>
      <c r="B133" s="178" t="s">
        <v>385</v>
      </c>
      <c r="C133" s="178" t="s">
        <v>383</v>
      </c>
      <c r="D133" s="178">
        <v>3</v>
      </c>
      <c r="E133" s="178" t="s">
        <v>384</v>
      </c>
      <c r="F133" s="180">
        <v>2</v>
      </c>
      <c r="G133" s="180">
        <v>2</v>
      </c>
      <c r="H133" s="178">
        <v>3</v>
      </c>
      <c r="I133" s="178">
        <v>0</v>
      </c>
      <c r="J133" s="178">
        <v>3</v>
      </c>
      <c r="K133" s="180">
        <v>3</v>
      </c>
      <c r="L133" s="180">
        <v>2</v>
      </c>
      <c r="M133" s="180">
        <v>0</v>
      </c>
      <c r="N133" s="178">
        <v>3</v>
      </c>
      <c r="O133" s="178">
        <v>3</v>
      </c>
      <c r="P133" s="178">
        <v>0</v>
      </c>
      <c r="Q133" s="178">
        <v>1</v>
      </c>
      <c r="R133" s="178">
        <v>2</v>
      </c>
      <c r="S133" s="178">
        <v>1</v>
      </c>
      <c r="T133" s="183">
        <f t="array" ref="T133">IF(AND(ISBLANK(F133:S133)),"", SUM(F133:J133)/15*40 + SUM(K133:S133)/27*60)</f>
        <v>60</v>
      </c>
    </row>
    <row r="134" spans="1:20">
      <c r="A134" s="178">
        <v>119</v>
      </c>
      <c r="B134" s="178" t="s">
        <v>388</v>
      </c>
      <c r="C134" s="178" t="s">
        <v>386</v>
      </c>
      <c r="D134" s="178">
        <v>10</v>
      </c>
      <c r="E134" s="178" t="s">
        <v>387</v>
      </c>
      <c r="F134" s="185">
        <v>2</v>
      </c>
      <c r="G134" s="185">
        <v>2</v>
      </c>
      <c r="H134" s="181">
        <v>3</v>
      </c>
      <c r="I134" s="181">
        <v>2</v>
      </c>
      <c r="J134" s="181">
        <v>3</v>
      </c>
      <c r="K134" s="180">
        <v>3</v>
      </c>
      <c r="L134" s="180">
        <v>3</v>
      </c>
      <c r="M134" s="180">
        <v>2</v>
      </c>
      <c r="N134" s="181">
        <v>2</v>
      </c>
      <c r="O134" s="181">
        <v>3</v>
      </c>
      <c r="P134" s="181">
        <v>0</v>
      </c>
      <c r="Q134" s="182">
        <v>3</v>
      </c>
      <c r="R134" s="182">
        <v>2</v>
      </c>
      <c r="S134" s="182">
        <v>2</v>
      </c>
      <c r="T134" s="183">
        <f t="array" ref="T134">IF(AND(ISBLANK(F134:S134)),"", SUM(F134:J134)/15*40 + SUM(K134:S134)/27*60)</f>
        <v>76.444444444444443</v>
      </c>
    </row>
    <row r="135" spans="1:20">
      <c r="A135" s="178">
        <v>120</v>
      </c>
      <c r="B135" s="178" t="s">
        <v>391</v>
      </c>
      <c r="C135" s="178" t="s">
        <v>389</v>
      </c>
      <c r="D135" s="178">
        <v>9</v>
      </c>
      <c r="E135" s="178" t="s">
        <v>390</v>
      </c>
      <c r="F135" s="185">
        <v>3</v>
      </c>
      <c r="G135" s="185">
        <v>3</v>
      </c>
      <c r="H135" s="181">
        <v>3</v>
      </c>
      <c r="I135" s="181">
        <v>0</v>
      </c>
      <c r="J135" s="181">
        <v>3</v>
      </c>
      <c r="K135" s="180">
        <v>2.75</v>
      </c>
      <c r="L135" s="180">
        <v>2</v>
      </c>
      <c r="M135" s="180">
        <v>1</v>
      </c>
      <c r="N135" s="181">
        <v>3</v>
      </c>
      <c r="O135" s="181">
        <v>1</v>
      </c>
      <c r="P135" s="181">
        <v>0</v>
      </c>
      <c r="Q135" s="182">
        <v>0</v>
      </c>
      <c r="R135" s="182">
        <v>3</v>
      </c>
      <c r="S135" s="182">
        <v>2</v>
      </c>
      <c r="T135" s="183">
        <f t="array" ref="T135">IF(AND(ISBLANK(F135:S135)),"", SUM(F135:J135)/15*40 + SUM(K135:S135)/27*60)</f>
        <v>64.777777777777771</v>
      </c>
    </row>
    <row r="136" spans="1:20">
      <c r="A136" s="178">
        <v>121</v>
      </c>
      <c r="B136" s="178" t="s">
        <v>394</v>
      </c>
      <c r="C136" s="178" t="s">
        <v>392</v>
      </c>
      <c r="D136" s="178">
        <v>9</v>
      </c>
      <c r="E136" s="178" t="s">
        <v>393</v>
      </c>
      <c r="F136" s="181">
        <v>3</v>
      </c>
      <c r="G136" s="181">
        <v>3</v>
      </c>
      <c r="H136" s="181">
        <v>3</v>
      </c>
      <c r="I136" s="181">
        <v>2</v>
      </c>
      <c r="J136" s="181">
        <v>3</v>
      </c>
      <c r="K136" s="178">
        <v>3</v>
      </c>
      <c r="L136" s="178">
        <v>3</v>
      </c>
      <c r="M136" s="178">
        <v>3</v>
      </c>
      <c r="N136" s="181">
        <v>3</v>
      </c>
      <c r="O136" s="181">
        <v>3</v>
      </c>
      <c r="P136" s="181">
        <v>0</v>
      </c>
      <c r="Q136" s="182">
        <v>2.5</v>
      </c>
      <c r="R136" s="182">
        <v>0</v>
      </c>
      <c r="S136" s="182">
        <v>0</v>
      </c>
      <c r="T136" s="183">
        <f t="array" ref="T136">IF(AND(ISBLANK(F136:S136)),"", SUM(F136:J136)/15*40 + SUM(K136:S136)/27*60)</f>
        <v>76.222222222222229</v>
      </c>
    </row>
    <row r="137" spans="1:20">
      <c r="A137" s="178">
        <v>122</v>
      </c>
      <c r="B137" s="178" t="s">
        <v>397</v>
      </c>
      <c r="C137" s="178" t="s">
        <v>395</v>
      </c>
      <c r="D137" s="178">
        <v>2</v>
      </c>
      <c r="E137" s="178" t="s">
        <v>396</v>
      </c>
      <c r="F137" s="185">
        <v>2</v>
      </c>
      <c r="G137" s="185">
        <v>2</v>
      </c>
      <c r="H137" s="181">
        <v>3</v>
      </c>
      <c r="I137" s="181">
        <v>0</v>
      </c>
      <c r="J137" s="181">
        <v>3</v>
      </c>
      <c r="K137" s="180">
        <v>3</v>
      </c>
      <c r="L137" s="180">
        <v>3</v>
      </c>
      <c r="M137" s="180">
        <v>3</v>
      </c>
      <c r="N137" s="181">
        <v>3</v>
      </c>
      <c r="O137" s="181">
        <v>2</v>
      </c>
      <c r="P137" s="181">
        <v>0</v>
      </c>
      <c r="Q137" s="182">
        <v>0</v>
      </c>
      <c r="R137" s="182">
        <v>2</v>
      </c>
      <c r="S137" s="182">
        <v>3</v>
      </c>
      <c r="T137" s="183">
        <f t="array" ref="T137">IF(AND(ISBLANK(F137:S137)),"", SUM(F137:J137)/15*40 + SUM(K137:S137)/27*60)</f>
        <v>68.888888888888886</v>
      </c>
    </row>
    <row r="138" spans="1:20">
      <c r="A138" s="178">
        <v>123</v>
      </c>
      <c r="B138" s="178" t="s">
        <v>400</v>
      </c>
      <c r="C138" s="178" t="s">
        <v>398</v>
      </c>
      <c r="D138" s="178">
        <v>11</v>
      </c>
      <c r="E138" s="178" t="s">
        <v>399</v>
      </c>
      <c r="F138" s="185">
        <v>3</v>
      </c>
      <c r="G138" s="185">
        <v>1</v>
      </c>
      <c r="H138" s="181">
        <v>3</v>
      </c>
      <c r="I138" s="181">
        <v>1</v>
      </c>
      <c r="J138" s="181">
        <v>3</v>
      </c>
      <c r="K138" s="180">
        <v>0</v>
      </c>
      <c r="L138" s="180">
        <v>3</v>
      </c>
      <c r="M138" s="180">
        <v>1</v>
      </c>
      <c r="N138" s="181">
        <v>1</v>
      </c>
      <c r="O138" s="181">
        <v>3</v>
      </c>
      <c r="P138" s="181">
        <v>0</v>
      </c>
      <c r="Q138" s="182">
        <v>0</v>
      </c>
      <c r="R138" s="182">
        <v>2</v>
      </c>
      <c r="S138" s="182">
        <v>3</v>
      </c>
      <c r="T138" s="183">
        <f t="array" ref="T138">IF(AND(ISBLANK(F138:S138)),"", SUM(F138:J138)/15*40 + SUM(K138:S138)/27*60)</f>
        <v>58.222222222222214</v>
      </c>
    </row>
    <row r="139" spans="1:20">
      <c r="A139" s="178">
        <v>124</v>
      </c>
      <c r="B139" s="178" t="s">
        <v>403</v>
      </c>
      <c r="C139" s="178" t="s">
        <v>401</v>
      </c>
      <c r="D139" s="178">
        <v>10</v>
      </c>
      <c r="E139" s="178" t="s">
        <v>402</v>
      </c>
      <c r="F139" s="185">
        <v>2</v>
      </c>
      <c r="G139" s="185">
        <v>0</v>
      </c>
      <c r="H139" s="181">
        <v>1</v>
      </c>
      <c r="I139" s="181">
        <v>1</v>
      </c>
      <c r="J139" s="181">
        <v>3</v>
      </c>
      <c r="K139" s="180">
        <v>0</v>
      </c>
      <c r="L139" s="180">
        <v>0</v>
      </c>
      <c r="M139" s="180">
        <v>1</v>
      </c>
      <c r="N139" s="181">
        <v>3</v>
      </c>
      <c r="O139" s="181">
        <v>1</v>
      </c>
      <c r="P139" s="181">
        <v>2</v>
      </c>
      <c r="Q139" s="182">
        <v>0</v>
      </c>
      <c r="R139" s="182">
        <v>0</v>
      </c>
      <c r="S139" s="182"/>
      <c r="T139" s="183">
        <f t="array" ref="T139">IF(AND(ISBLANK(F139:S139)),"", SUM(F139:J139)/15*40 + SUM(K139:S139)/27*60)</f>
        <v>34.222222222222221</v>
      </c>
    </row>
    <row r="140" spans="1:20">
      <c r="A140" s="178">
        <v>125</v>
      </c>
      <c r="B140" s="178" t="s">
        <v>406</v>
      </c>
      <c r="C140" s="178" t="s">
        <v>404</v>
      </c>
      <c r="D140" s="178">
        <v>7</v>
      </c>
      <c r="E140" s="178" t="s">
        <v>405</v>
      </c>
      <c r="F140" s="185">
        <v>3</v>
      </c>
      <c r="G140" s="185">
        <v>3</v>
      </c>
      <c r="H140" s="181">
        <v>3</v>
      </c>
      <c r="I140" s="181">
        <v>2</v>
      </c>
      <c r="J140" s="181">
        <v>3</v>
      </c>
      <c r="K140" s="180">
        <v>3</v>
      </c>
      <c r="L140" s="180">
        <v>3</v>
      </c>
      <c r="M140" s="180">
        <v>3</v>
      </c>
      <c r="N140" s="181">
        <v>3</v>
      </c>
      <c r="O140" s="181">
        <v>3</v>
      </c>
      <c r="P140" s="181">
        <v>1</v>
      </c>
      <c r="Q140" s="182">
        <v>3</v>
      </c>
      <c r="R140" s="182">
        <v>3</v>
      </c>
      <c r="S140" s="182">
        <v>3</v>
      </c>
      <c r="T140" s="183">
        <f t="array" ref="T140">IF(AND(ISBLANK(F140:S140)),"", SUM(F140:J140)/15*40 + SUM(K140:S140)/27*60)</f>
        <v>92.888888888888886</v>
      </c>
    </row>
    <row r="141" spans="1:20">
      <c r="A141" s="178">
        <v>126</v>
      </c>
      <c r="B141" s="178" t="s">
        <v>409</v>
      </c>
      <c r="C141" s="178" t="s">
        <v>407</v>
      </c>
      <c r="D141" s="178">
        <v>2</v>
      </c>
      <c r="E141" s="178" t="s">
        <v>408</v>
      </c>
      <c r="F141" s="185">
        <v>3</v>
      </c>
      <c r="G141" s="185">
        <v>3</v>
      </c>
      <c r="H141" s="181">
        <v>3</v>
      </c>
      <c r="I141" s="181">
        <v>1</v>
      </c>
      <c r="J141" s="181">
        <v>3</v>
      </c>
      <c r="K141" s="180">
        <v>3</v>
      </c>
      <c r="L141" s="180">
        <v>3</v>
      </c>
      <c r="M141" s="180">
        <v>1</v>
      </c>
      <c r="N141" s="181">
        <v>2</v>
      </c>
      <c r="O141" s="181">
        <v>2</v>
      </c>
      <c r="P141" s="181">
        <v>0</v>
      </c>
      <c r="Q141" s="182">
        <v>3</v>
      </c>
      <c r="R141" s="182">
        <v>2</v>
      </c>
      <c r="S141" s="182">
        <v>3</v>
      </c>
      <c r="T141" s="183">
        <f t="array" ref="T141">IF(AND(ISBLANK(F141:S141)),"", SUM(F141:J141)/15*40 + SUM(K141:S141)/27*60)</f>
        <v>76.888888888888886</v>
      </c>
    </row>
    <row r="142" spans="1:20">
      <c r="A142" s="178">
        <v>127</v>
      </c>
      <c r="B142" s="178" t="s">
        <v>412</v>
      </c>
      <c r="C142" s="178" t="s">
        <v>410</v>
      </c>
      <c r="D142" s="178">
        <v>8</v>
      </c>
      <c r="E142" s="178" t="s">
        <v>411</v>
      </c>
      <c r="F142" s="185">
        <v>2</v>
      </c>
      <c r="G142" s="185">
        <v>1</v>
      </c>
      <c r="H142" s="181">
        <v>1</v>
      </c>
      <c r="I142" s="181">
        <v>0</v>
      </c>
      <c r="J142" s="181">
        <v>0</v>
      </c>
      <c r="K142" s="180">
        <v>3</v>
      </c>
      <c r="L142" s="180">
        <v>3</v>
      </c>
      <c r="M142" s="180">
        <v>2</v>
      </c>
      <c r="N142" s="181">
        <v>3</v>
      </c>
      <c r="O142" s="181">
        <v>1</v>
      </c>
      <c r="P142" s="181">
        <v>2</v>
      </c>
      <c r="Q142" s="182">
        <v>2.5</v>
      </c>
      <c r="R142" s="182">
        <v>0</v>
      </c>
      <c r="S142" s="182">
        <v>0</v>
      </c>
      <c r="T142" s="183">
        <f t="array" ref="T142">IF(AND(ISBLANK(F142:S142)),"", SUM(F142:J142)/15*40 + SUM(K142:S142)/27*60)</f>
        <v>47.333333333333336</v>
      </c>
    </row>
    <row r="143" spans="1:20">
      <c r="A143" s="178">
        <v>128</v>
      </c>
      <c r="B143" s="178" t="s">
        <v>415</v>
      </c>
      <c r="C143" s="178" t="s">
        <v>413</v>
      </c>
      <c r="D143" s="178">
        <v>6</v>
      </c>
      <c r="E143" s="178" t="s">
        <v>414</v>
      </c>
      <c r="F143" s="185">
        <v>2</v>
      </c>
      <c r="G143" s="185">
        <v>0</v>
      </c>
      <c r="H143" s="181">
        <v>3</v>
      </c>
      <c r="I143" s="181">
        <v>0</v>
      </c>
      <c r="J143" s="181">
        <v>3</v>
      </c>
      <c r="K143" s="180">
        <v>0</v>
      </c>
      <c r="L143" s="180">
        <v>2</v>
      </c>
      <c r="M143" s="180">
        <v>0</v>
      </c>
      <c r="N143" s="181">
        <v>3</v>
      </c>
      <c r="O143" s="181">
        <v>1</v>
      </c>
      <c r="P143" s="181">
        <v>2</v>
      </c>
      <c r="Q143" s="182">
        <v>0</v>
      </c>
      <c r="R143" s="182">
        <v>0</v>
      </c>
      <c r="S143" s="182"/>
      <c r="T143" s="183">
        <f t="array" ref="T143">IF(AND(ISBLANK(F143:S143)),"", SUM(F143:J143)/15*40 + SUM(K143:S143)/27*60)</f>
        <v>39.111111111111114</v>
      </c>
    </row>
    <row r="144" spans="1:20">
      <c r="A144" s="178">
        <v>129</v>
      </c>
      <c r="B144" s="178" t="s">
        <v>418</v>
      </c>
      <c r="C144" s="178" t="s">
        <v>416</v>
      </c>
      <c r="D144" s="178">
        <v>6</v>
      </c>
      <c r="E144" s="178" t="s">
        <v>417</v>
      </c>
      <c r="F144" s="185">
        <v>3</v>
      </c>
      <c r="G144" s="185">
        <v>2</v>
      </c>
      <c r="H144" s="181">
        <v>3</v>
      </c>
      <c r="I144" s="181">
        <v>1</v>
      </c>
      <c r="J144" s="181">
        <v>3</v>
      </c>
      <c r="K144" s="180">
        <v>3</v>
      </c>
      <c r="L144" s="180">
        <v>3</v>
      </c>
      <c r="M144" s="180">
        <v>2</v>
      </c>
      <c r="N144" s="181">
        <v>3</v>
      </c>
      <c r="O144" s="181">
        <v>3</v>
      </c>
      <c r="P144" s="181">
        <v>0</v>
      </c>
      <c r="Q144" s="182">
        <v>3</v>
      </c>
      <c r="R144" s="182">
        <v>1</v>
      </c>
      <c r="S144" s="182">
        <v>1</v>
      </c>
      <c r="T144" s="183">
        <f t="array" ref="T144">IF(AND(ISBLANK(F144:S144)),"", SUM(F144:J144)/15*40 + SUM(K144:S144)/27*60)</f>
        <v>74.222222222222229</v>
      </c>
    </row>
    <row r="145" spans="1:20">
      <c r="A145" s="178">
        <v>130</v>
      </c>
      <c r="B145" s="178" t="s">
        <v>421</v>
      </c>
      <c r="C145" s="178" t="s">
        <v>419</v>
      </c>
      <c r="D145" s="178">
        <v>4</v>
      </c>
      <c r="E145" s="178" t="s">
        <v>420</v>
      </c>
      <c r="F145" s="185">
        <v>2</v>
      </c>
      <c r="G145" s="185">
        <v>1</v>
      </c>
      <c r="H145" s="181">
        <v>1</v>
      </c>
      <c r="I145" s="181">
        <v>0</v>
      </c>
      <c r="J145" s="181">
        <v>3</v>
      </c>
      <c r="K145" s="180">
        <v>3</v>
      </c>
      <c r="L145" s="180">
        <v>3</v>
      </c>
      <c r="M145" s="180">
        <v>2</v>
      </c>
      <c r="N145" s="181">
        <v>1</v>
      </c>
      <c r="O145" s="181">
        <v>3</v>
      </c>
      <c r="P145" s="181">
        <v>0</v>
      </c>
      <c r="Q145" s="182">
        <v>0.5</v>
      </c>
      <c r="R145" s="182">
        <v>0</v>
      </c>
      <c r="S145" s="182">
        <v>2</v>
      </c>
      <c r="T145" s="183">
        <f t="array" ref="T145">IF(AND(ISBLANK(F145:S145)),"", SUM(F145:J145)/15*40 + SUM(K145:S145)/27*60)</f>
        <v>50.8888888888889</v>
      </c>
    </row>
    <row r="146" spans="1:20">
      <c r="A146" s="178">
        <v>131</v>
      </c>
      <c r="B146" s="178" t="s">
        <v>424</v>
      </c>
      <c r="C146" s="178" t="s">
        <v>422</v>
      </c>
      <c r="D146" s="178">
        <v>2</v>
      </c>
      <c r="E146" s="178" t="s">
        <v>423</v>
      </c>
      <c r="F146" s="180">
        <v>3</v>
      </c>
      <c r="G146" s="180">
        <v>3</v>
      </c>
      <c r="H146" s="178">
        <v>3</v>
      </c>
      <c r="I146" s="178">
        <v>2</v>
      </c>
      <c r="J146" s="178">
        <v>3</v>
      </c>
      <c r="K146" s="180">
        <v>3</v>
      </c>
      <c r="L146" s="180">
        <v>3</v>
      </c>
      <c r="M146" s="180">
        <v>3</v>
      </c>
      <c r="N146" s="178">
        <v>1</v>
      </c>
      <c r="O146" s="178">
        <v>2</v>
      </c>
      <c r="P146" s="178">
        <v>2</v>
      </c>
      <c r="Q146" s="178">
        <v>1.5</v>
      </c>
      <c r="R146" s="178">
        <v>1</v>
      </c>
      <c r="S146" s="178">
        <v>2</v>
      </c>
      <c r="T146" s="183">
        <f t="array" ref="T146">IF(AND(ISBLANK(F146:S146)),"", SUM(F146:J146)/15*40 + SUM(K146:S146)/27*60)</f>
        <v>78.444444444444457</v>
      </c>
    </row>
    <row r="147" spans="1:20">
      <c r="A147" s="178">
        <v>132</v>
      </c>
      <c r="B147" s="178" t="s">
        <v>427</v>
      </c>
      <c r="C147" s="178" t="s">
        <v>425</v>
      </c>
      <c r="D147" s="178">
        <v>10</v>
      </c>
      <c r="E147" s="178" t="s">
        <v>426</v>
      </c>
      <c r="F147" s="185">
        <v>2</v>
      </c>
      <c r="G147" s="185">
        <v>1</v>
      </c>
      <c r="H147" s="181">
        <v>1</v>
      </c>
      <c r="I147" s="181">
        <v>1</v>
      </c>
      <c r="J147" s="181">
        <v>3</v>
      </c>
      <c r="K147" s="180">
        <v>0</v>
      </c>
      <c r="L147" s="180">
        <v>3</v>
      </c>
      <c r="M147" s="180">
        <v>2</v>
      </c>
      <c r="N147" s="181">
        <v>1</v>
      </c>
      <c r="O147" s="181">
        <v>1</v>
      </c>
      <c r="P147" s="181">
        <v>0</v>
      </c>
      <c r="Q147" s="182">
        <v>0.5</v>
      </c>
      <c r="R147" s="182"/>
      <c r="S147" s="182"/>
      <c r="T147" s="183">
        <f t="array" ref="T147">IF(AND(ISBLANK(F147:S147)),"", SUM(F147:J147)/15*40 + SUM(K147:S147)/27*60)</f>
        <v>38</v>
      </c>
    </row>
    <row r="148" spans="1:20">
      <c r="A148" s="178">
        <v>133</v>
      </c>
      <c r="B148" s="178" t="s">
        <v>430</v>
      </c>
      <c r="C148" s="178" t="s">
        <v>428</v>
      </c>
      <c r="D148" s="178">
        <v>4</v>
      </c>
      <c r="E148" s="178" t="s">
        <v>2012</v>
      </c>
      <c r="F148" s="185">
        <v>1</v>
      </c>
      <c r="G148" s="185">
        <v>1</v>
      </c>
      <c r="H148" s="181">
        <v>2</v>
      </c>
      <c r="I148" s="181">
        <v>1</v>
      </c>
      <c r="J148" s="181">
        <v>3</v>
      </c>
      <c r="K148" s="180">
        <v>3</v>
      </c>
      <c r="L148" s="180">
        <v>3</v>
      </c>
      <c r="M148" s="180">
        <v>0</v>
      </c>
      <c r="N148" s="181">
        <v>1</v>
      </c>
      <c r="O148" s="181">
        <v>2</v>
      </c>
      <c r="P148" s="181">
        <v>0</v>
      </c>
      <c r="Q148" s="182">
        <v>0</v>
      </c>
      <c r="R148" s="182">
        <v>0</v>
      </c>
      <c r="S148" s="182"/>
      <c r="T148" s="183">
        <f t="array" ref="T148">IF(AND(ISBLANK(F148:S148)),"", SUM(F148:J148)/15*40 + SUM(K148:S148)/27*60)</f>
        <v>41.333333333333329</v>
      </c>
    </row>
    <row r="149" spans="1:20">
      <c r="A149" s="178">
        <v>134</v>
      </c>
      <c r="B149" s="178" t="s">
        <v>434</v>
      </c>
      <c r="C149" s="178" t="s">
        <v>432</v>
      </c>
      <c r="D149" s="178">
        <v>1</v>
      </c>
      <c r="E149" s="178" t="s">
        <v>433</v>
      </c>
      <c r="F149" s="180">
        <v>1</v>
      </c>
      <c r="G149" s="180">
        <v>0</v>
      </c>
      <c r="H149" s="178">
        <v>0</v>
      </c>
      <c r="I149" s="178">
        <v>0</v>
      </c>
      <c r="K149" s="180">
        <v>0</v>
      </c>
      <c r="L149" s="180">
        <v>2</v>
      </c>
      <c r="M149" s="180">
        <v>1</v>
      </c>
      <c r="N149" s="178">
        <v>1</v>
      </c>
      <c r="O149" s="178">
        <v>0</v>
      </c>
      <c r="P149" s="178">
        <v>0</v>
      </c>
      <c r="Q149" s="178">
        <v>0.5</v>
      </c>
      <c r="R149" s="178">
        <v>0</v>
      </c>
      <c r="S149" s="178">
        <v>0</v>
      </c>
      <c r="T149" s="183">
        <f t="array" ref="T149">IF(AND(ISBLANK(F149:S149)),"", SUM(F149:J149)/15*40 + SUM(K149:S149)/27*60)</f>
        <v>12.666666666666666</v>
      </c>
    </row>
    <row r="150" spans="1:20">
      <c r="A150" s="178">
        <v>135</v>
      </c>
      <c r="B150" s="178" t="s">
        <v>437</v>
      </c>
      <c r="C150" s="178" t="s">
        <v>435</v>
      </c>
      <c r="D150" s="178">
        <v>1</v>
      </c>
      <c r="E150" s="178" t="s">
        <v>436</v>
      </c>
      <c r="F150" s="185">
        <v>2</v>
      </c>
      <c r="G150" s="185">
        <v>1</v>
      </c>
      <c r="H150" s="181">
        <v>0</v>
      </c>
      <c r="I150" s="181">
        <v>0</v>
      </c>
      <c r="J150" s="181">
        <v>3</v>
      </c>
      <c r="K150" s="180">
        <v>0</v>
      </c>
      <c r="L150" s="180">
        <v>3</v>
      </c>
      <c r="M150" s="180">
        <v>3</v>
      </c>
      <c r="N150" s="181">
        <v>2</v>
      </c>
      <c r="O150" s="181">
        <v>0</v>
      </c>
      <c r="P150" s="181">
        <v>0</v>
      </c>
      <c r="Q150" s="182"/>
      <c r="R150" s="182"/>
      <c r="S150" s="182"/>
      <c r="T150" s="183">
        <f t="array" ref="T150">IF(AND(ISBLANK(F150:S150)),"", SUM(F150:J150)/15*40 + SUM(K150:S150)/27*60)</f>
        <v>33.777777777777779</v>
      </c>
    </row>
    <row r="151" spans="1:20">
      <c r="A151" s="178">
        <v>136</v>
      </c>
      <c r="B151" s="178" t="s">
        <v>440</v>
      </c>
      <c r="C151" s="178" t="s">
        <v>438</v>
      </c>
      <c r="D151" s="178">
        <v>10</v>
      </c>
      <c r="E151" s="178" t="s">
        <v>439</v>
      </c>
      <c r="F151" s="185">
        <v>3</v>
      </c>
      <c r="G151" s="185">
        <v>2</v>
      </c>
      <c r="H151" s="181">
        <v>3</v>
      </c>
      <c r="I151" s="181">
        <v>1</v>
      </c>
      <c r="J151" s="181">
        <v>3</v>
      </c>
      <c r="K151" s="180">
        <v>2.25</v>
      </c>
      <c r="L151" s="180">
        <v>1</v>
      </c>
      <c r="M151" s="180">
        <v>2</v>
      </c>
      <c r="N151" s="181">
        <v>3</v>
      </c>
      <c r="O151" s="181">
        <v>1</v>
      </c>
      <c r="P151" s="181">
        <v>2</v>
      </c>
      <c r="Q151" s="182">
        <v>2</v>
      </c>
      <c r="R151" s="182">
        <v>0</v>
      </c>
      <c r="S151" s="182"/>
      <c r="T151" s="183">
        <f t="array" ref="T151">IF(AND(ISBLANK(F151:S151)),"", SUM(F151:J151)/15*40 + SUM(K151:S151)/27*60)</f>
        <v>61.444444444444443</v>
      </c>
    </row>
    <row r="152" spans="1:20">
      <c r="A152" s="178">
        <v>137</v>
      </c>
      <c r="B152" s="178" t="s">
        <v>443</v>
      </c>
      <c r="C152" s="178" t="s">
        <v>441</v>
      </c>
      <c r="D152" s="178">
        <v>1</v>
      </c>
      <c r="E152" s="178" t="s">
        <v>442</v>
      </c>
      <c r="F152" s="185">
        <v>3</v>
      </c>
      <c r="G152" s="185">
        <v>3</v>
      </c>
      <c r="H152" s="181">
        <v>3</v>
      </c>
      <c r="I152" s="181">
        <v>1</v>
      </c>
      <c r="J152" s="181">
        <v>3</v>
      </c>
      <c r="K152" s="180">
        <v>3</v>
      </c>
      <c r="L152" s="180">
        <v>3</v>
      </c>
      <c r="M152" s="180">
        <v>3</v>
      </c>
      <c r="N152" s="181">
        <v>1</v>
      </c>
      <c r="O152" s="181">
        <v>3</v>
      </c>
      <c r="P152" s="181">
        <v>3</v>
      </c>
      <c r="Q152" s="182">
        <v>2.5</v>
      </c>
      <c r="R152" s="182">
        <v>2</v>
      </c>
      <c r="S152" s="182">
        <v>2</v>
      </c>
      <c r="T152" s="183">
        <f t="array" ref="T152">IF(AND(ISBLANK(F152:S152)),"", SUM(F152:J152)/15*40 + SUM(K152:S152)/27*60)</f>
        <v>84.666666666666671</v>
      </c>
    </row>
    <row r="153" spans="1:20">
      <c r="A153" s="178">
        <v>138</v>
      </c>
      <c r="B153" s="178" t="s">
        <v>446</v>
      </c>
      <c r="C153" s="178" t="s">
        <v>444</v>
      </c>
      <c r="D153" s="178">
        <v>3</v>
      </c>
      <c r="E153" s="178" t="s">
        <v>445</v>
      </c>
      <c r="F153" s="181">
        <v>3</v>
      </c>
      <c r="G153" s="181">
        <v>3</v>
      </c>
      <c r="H153" s="181">
        <v>3</v>
      </c>
      <c r="I153" s="181">
        <v>0</v>
      </c>
      <c r="J153" s="181">
        <v>2</v>
      </c>
      <c r="K153" s="178">
        <v>3</v>
      </c>
      <c r="L153" s="178">
        <v>3</v>
      </c>
      <c r="M153" s="178">
        <v>3</v>
      </c>
      <c r="N153" s="181">
        <v>3</v>
      </c>
      <c r="O153" s="181">
        <v>3</v>
      </c>
      <c r="P153" s="181"/>
      <c r="Q153" s="182">
        <v>2.5</v>
      </c>
      <c r="R153" s="182"/>
      <c r="S153" s="182">
        <v>1.5</v>
      </c>
      <c r="T153" s="183">
        <f t="array" ref="T153">IF(AND(ISBLANK(F153:S153)),"", SUM(F153:J153)/15*40 + SUM(K153:S153)/27*60)</f>
        <v>71.555555555555557</v>
      </c>
    </row>
    <row r="154" spans="1:20">
      <c r="A154" s="178">
        <v>139</v>
      </c>
      <c r="B154" s="178" t="s">
        <v>449</v>
      </c>
      <c r="C154" s="178" t="s">
        <v>447</v>
      </c>
      <c r="D154" s="178">
        <v>11</v>
      </c>
      <c r="E154" s="178" t="s">
        <v>448</v>
      </c>
      <c r="F154" s="185">
        <v>1</v>
      </c>
      <c r="G154" s="185">
        <v>1</v>
      </c>
      <c r="H154" s="181">
        <v>2</v>
      </c>
      <c r="I154" s="181">
        <v>1</v>
      </c>
      <c r="J154" s="181">
        <v>3</v>
      </c>
      <c r="K154" s="180">
        <v>3</v>
      </c>
      <c r="L154" s="180">
        <v>3</v>
      </c>
      <c r="M154" s="180">
        <v>2</v>
      </c>
      <c r="N154" s="181">
        <v>3</v>
      </c>
      <c r="O154" s="181">
        <v>1</v>
      </c>
      <c r="P154" s="181">
        <v>2</v>
      </c>
      <c r="Q154" s="182">
        <v>1</v>
      </c>
      <c r="R154" s="182">
        <v>2</v>
      </c>
      <c r="S154" s="182">
        <v>2</v>
      </c>
      <c r="T154" s="183">
        <f t="array" ref="T154">IF(AND(ISBLANK(F154:S154)),"", SUM(F154:J154)/15*40 + SUM(K154:S154)/27*60)</f>
        <v>63.555555555555557</v>
      </c>
    </row>
    <row r="155" spans="1:20">
      <c r="A155" s="178">
        <v>140</v>
      </c>
      <c r="B155" s="178" t="s">
        <v>452</v>
      </c>
      <c r="C155" s="178" t="s">
        <v>450</v>
      </c>
      <c r="D155" s="178">
        <v>4</v>
      </c>
      <c r="E155" s="178" t="s">
        <v>451</v>
      </c>
      <c r="F155" s="185">
        <v>2</v>
      </c>
      <c r="G155" s="185">
        <v>2</v>
      </c>
      <c r="H155" s="181">
        <v>3</v>
      </c>
      <c r="I155" s="181">
        <v>2</v>
      </c>
      <c r="J155" s="181">
        <v>3</v>
      </c>
      <c r="K155" s="180">
        <v>3</v>
      </c>
      <c r="L155" s="180">
        <v>3</v>
      </c>
      <c r="M155" s="180">
        <v>2</v>
      </c>
      <c r="N155" s="181">
        <v>3</v>
      </c>
      <c r="O155" s="181">
        <v>3</v>
      </c>
      <c r="P155" s="181">
        <v>1</v>
      </c>
      <c r="Q155" s="182">
        <v>1</v>
      </c>
      <c r="R155" s="182">
        <v>3</v>
      </c>
      <c r="S155" s="182">
        <v>2</v>
      </c>
      <c r="T155" s="183">
        <f t="array" ref="T155">IF(AND(ISBLANK(F155:S155)),"", SUM(F155:J155)/15*40 + SUM(K155:S155)/27*60)</f>
        <v>78.666666666666657</v>
      </c>
    </row>
    <row r="156" spans="1:20">
      <c r="A156" s="178">
        <v>141</v>
      </c>
      <c r="B156" s="178" t="s">
        <v>455</v>
      </c>
      <c r="C156" s="178" t="s">
        <v>453</v>
      </c>
      <c r="D156" s="178">
        <v>4</v>
      </c>
      <c r="E156" s="178" t="s">
        <v>454</v>
      </c>
      <c r="F156" s="181">
        <v>1</v>
      </c>
      <c r="G156" s="181">
        <v>3</v>
      </c>
      <c r="H156" s="181">
        <v>2</v>
      </c>
      <c r="I156" s="181">
        <v>2</v>
      </c>
      <c r="J156" s="181">
        <v>3</v>
      </c>
      <c r="K156" s="178">
        <v>3</v>
      </c>
      <c r="L156" s="178">
        <v>2</v>
      </c>
      <c r="M156" s="178">
        <v>1.5</v>
      </c>
      <c r="N156" s="181">
        <v>2</v>
      </c>
      <c r="O156" s="181">
        <v>3</v>
      </c>
      <c r="P156" s="181">
        <v>0</v>
      </c>
      <c r="Q156" s="182">
        <v>3</v>
      </c>
      <c r="R156" s="182">
        <v>3</v>
      </c>
      <c r="S156" s="182">
        <v>0</v>
      </c>
      <c r="T156" s="183">
        <f t="array" ref="T156">IF(AND(ISBLANK(F156:S156)),"", SUM(F156:J156)/15*40 + SUM(K156:S156)/27*60)</f>
        <v>68.222222222222214</v>
      </c>
    </row>
    <row r="157" spans="1:20">
      <c r="A157" s="178">
        <v>142</v>
      </c>
      <c r="B157" s="178" t="s">
        <v>458</v>
      </c>
      <c r="C157" s="178" t="s">
        <v>456</v>
      </c>
      <c r="D157" s="178">
        <v>2</v>
      </c>
      <c r="E157" s="178" t="s">
        <v>457</v>
      </c>
      <c r="F157" s="185">
        <v>2</v>
      </c>
      <c r="G157" s="185">
        <v>3</v>
      </c>
      <c r="H157" s="181">
        <v>3</v>
      </c>
      <c r="I157" s="181">
        <v>2</v>
      </c>
      <c r="J157" s="181">
        <v>3</v>
      </c>
      <c r="K157" s="180">
        <v>3</v>
      </c>
      <c r="L157" s="180">
        <v>1</v>
      </c>
      <c r="M157" s="180">
        <v>1</v>
      </c>
      <c r="N157" s="181">
        <v>3</v>
      </c>
      <c r="O157" s="181">
        <v>3</v>
      </c>
      <c r="P157" s="181">
        <v>0</v>
      </c>
      <c r="Q157" s="182">
        <v>1</v>
      </c>
      <c r="R157" s="182">
        <v>2</v>
      </c>
      <c r="S157" s="182">
        <v>3</v>
      </c>
      <c r="T157" s="183">
        <f t="array" ref="T157">IF(AND(ISBLANK(F157:S157)),"", SUM(F157:J157)/15*40 + SUM(K157:S157)/27*60)</f>
        <v>72.444444444444457</v>
      </c>
    </row>
    <row r="158" spans="1:20">
      <c r="A158" s="178">
        <v>143</v>
      </c>
      <c r="B158" s="178" t="s">
        <v>461</v>
      </c>
      <c r="C158" s="178" t="s">
        <v>459</v>
      </c>
      <c r="D158" s="178">
        <v>2</v>
      </c>
      <c r="E158" s="178" t="s">
        <v>460</v>
      </c>
      <c r="F158" s="185">
        <v>3</v>
      </c>
      <c r="G158" s="185">
        <v>2</v>
      </c>
      <c r="H158" s="181">
        <v>3</v>
      </c>
      <c r="I158" s="181">
        <v>2</v>
      </c>
      <c r="J158" s="181">
        <v>3</v>
      </c>
      <c r="K158" s="180">
        <v>3</v>
      </c>
      <c r="L158" s="180">
        <v>3</v>
      </c>
      <c r="M158" s="180">
        <v>2</v>
      </c>
      <c r="N158" s="181">
        <v>3</v>
      </c>
      <c r="O158" s="181">
        <v>3</v>
      </c>
      <c r="P158" s="181">
        <v>3</v>
      </c>
      <c r="Q158" s="182">
        <v>3</v>
      </c>
      <c r="R158" s="182">
        <v>3</v>
      </c>
      <c r="S158" s="182">
        <v>2</v>
      </c>
      <c r="T158" s="183">
        <f t="array" ref="T158">IF(AND(ISBLANK(F158:S158)),"", SUM(F158:J158)/15*40 + SUM(K158:S158)/27*60)</f>
        <v>90.222222222222229</v>
      </c>
    </row>
    <row r="159" spans="1:20">
      <c r="A159" s="178">
        <v>144</v>
      </c>
      <c r="B159" s="178" t="s">
        <v>464</v>
      </c>
      <c r="C159" s="178" t="s">
        <v>462</v>
      </c>
      <c r="D159" s="178">
        <v>11</v>
      </c>
      <c r="E159" s="178" t="s">
        <v>463</v>
      </c>
      <c r="F159" s="178">
        <v>3</v>
      </c>
      <c r="G159" s="178">
        <v>3</v>
      </c>
      <c r="H159" s="178">
        <v>3</v>
      </c>
      <c r="I159" s="178">
        <v>2</v>
      </c>
      <c r="J159" s="178">
        <v>3</v>
      </c>
      <c r="K159" s="178">
        <v>3</v>
      </c>
      <c r="L159" s="178">
        <v>3</v>
      </c>
      <c r="M159" s="178">
        <v>3</v>
      </c>
      <c r="N159" s="178">
        <v>3</v>
      </c>
      <c r="O159" s="178">
        <v>3</v>
      </c>
      <c r="P159" s="178">
        <v>3</v>
      </c>
      <c r="Q159" s="178">
        <v>3</v>
      </c>
      <c r="R159" s="178">
        <v>3</v>
      </c>
      <c r="S159" s="178">
        <v>2</v>
      </c>
      <c r="T159" s="183">
        <f t="array" ref="T159">IF(AND(ISBLANK(F159:S159)),"", SUM(F159:J159)/15*40 + SUM(K159:S159)/27*60)</f>
        <v>95.111111111111114</v>
      </c>
    </row>
    <row r="160" spans="1:20">
      <c r="A160" s="178">
        <v>145</v>
      </c>
      <c r="B160" s="178" t="s">
        <v>467</v>
      </c>
      <c r="C160" s="178" t="s">
        <v>465</v>
      </c>
      <c r="D160" s="178">
        <v>4</v>
      </c>
      <c r="E160" s="178" t="s">
        <v>466</v>
      </c>
      <c r="F160" s="181">
        <v>1</v>
      </c>
      <c r="G160" s="181">
        <v>2</v>
      </c>
      <c r="H160" s="181">
        <v>1</v>
      </c>
      <c r="I160" s="181">
        <v>0</v>
      </c>
      <c r="J160" s="181">
        <v>0</v>
      </c>
      <c r="K160" s="178">
        <v>1.25</v>
      </c>
      <c r="L160" s="178">
        <v>0</v>
      </c>
      <c r="M160" s="178">
        <v>2</v>
      </c>
      <c r="N160" s="181">
        <v>2</v>
      </c>
      <c r="O160" s="181">
        <v>1</v>
      </c>
      <c r="P160" s="181">
        <v>0</v>
      </c>
      <c r="Q160" s="182">
        <v>0</v>
      </c>
      <c r="R160" s="182">
        <v>0</v>
      </c>
      <c r="S160" s="182">
        <v>0</v>
      </c>
      <c r="T160" s="183">
        <f t="array" ref="T160">IF(AND(ISBLANK(F160:S160)),"", SUM(F160:J160)/15*40 + SUM(K160:S160)/27*60)</f>
        <v>24.555555555555557</v>
      </c>
    </row>
    <row r="161" spans="1:20">
      <c r="A161" s="178">
        <v>146</v>
      </c>
      <c r="B161" s="178" t="s">
        <v>470</v>
      </c>
      <c r="C161" s="178" t="s">
        <v>468</v>
      </c>
      <c r="D161" s="178">
        <v>9</v>
      </c>
      <c r="E161" s="178" t="s">
        <v>469</v>
      </c>
      <c r="F161" s="185">
        <v>1</v>
      </c>
      <c r="G161" s="185">
        <v>1</v>
      </c>
      <c r="H161" s="181">
        <v>3</v>
      </c>
      <c r="I161" s="181">
        <v>0</v>
      </c>
      <c r="J161" s="181">
        <v>3</v>
      </c>
      <c r="K161" s="180">
        <v>0</v>
      </c>
      <c r="L161" s="180">
        <v>3</v>
      </c>
      <c r="M161" s="180">
        <v>0</v>
      </c>
      <c r="N161" s="181">
        <v>1</v>
      </c>
      <c r="O161" s="181">
        <v>3</v>
      </c>
      <c r="P161" s="181">
        <v>0</v>
      </c>
      <c r="Q161" s="182">
        <v>0.5</v>
      </c>
      <c r="R161" s="182">
        <v>0</v>
      </c>
      <c r="S161" s="182">
        <v>2</v>
      </c>
      <c r="T161" s="183">
        <f t="array" ref="T161">IF(AND(ISBLANK(F161:S161)),"", SUM(F161:J161)/15*40 + SUM(K161:S161)/27*60)</f>
        <v>42.444444444444443</v>
      </c>
    </row>
    <row r="162" spans="1:20">
      <c r="A162" s="178">
        <v>147</v>
      </c>
      <c r="B162" s="178" t="s">
        <v>473</v>
      </c>
      <c r="C162" s="178" t="s">
        <v>471</v>
      </c>
      <c r="D162" s="178">
        <v>3</v>
      </c>
      <c r="E162" s="178" t="s">
        <v>472</v>
      </c>
      <c r="F162" s="181">
        <v>3</v>
      </c>
      <c r="G162" s="181">
        <v>3</v>
      </c>
      <c r="H162" s="181">
        <v>3</v>
      </c>
      <c r="I162" s="181">
        <v>3</v>
      </c>
      <c r="J162" s="181">
        <v>3</v>
      </c>
      <c r="K162" s="178">
        <v>3</v>
      </c>
      <c r="L162" s="178">
        <v>3</v>
      </c>
      <c r="M162" s="178">
        <v>3</v>
      </c>
      <c r="N162" s="181">
        <v>3</v>
      </c>
      <c r="O162" s="181">
        <v>3</v>
      </c>
      <c r="P162" s="181">
        <v>2.5</v>
      </c>
      <c r="Q162" s="182">
        <v>2.5</v>
      </c>
      <c r="R162" s="182">
        <v>2</v>
      </c>
      <c r="S162" s="182">
        <v>2</v>
      </c>
      <c r="T162" s="183">
        <f t="array" ref="T162">IF(AND(ISBLANK(F162:S162)),"", SUM(F162:J162)/15*40 + SUM(K162:S162)/27*60)</f>
        <v>93.333333333333329</v>
      </c>
    </row>
    <row r="163" spans="1:20">
      <c r="A163" s="178">
        <v>320</v>
      </c>
      <c r="B163" s="178" t="s">
        <v>1826</v>
      </c>
      <c r="C163" s="178" t="s">
        <v>1829</v>
      </c>
      <c r="D163" s="178" t="s">
        <v>1993</v>
      </c>
      <c r="F163" s="181">
        <v>2</v>
      </c>
      <c r="G163" s="181">
        <v>2</v>
      </c>
      <c r="H163" s="181">
        <v>2</v>
      </c>
      <c r="I163" s="181">
        <v>0</v>
      </c>
      <c r="J163" s="181">
        <v>3</v>
      </c>
      <c r="K163" s="178">
        <v>3</v>
      </c>
      <c r="L163" s="178">
        <v>3</v>
      </c>
      <c r="M163" s="178">
        <v>1</v>
      </c>
      <c r="N163" s="181">
        <v>3</v>
      </c>
      <c r="O163" s="181">
        <v>0</v>
      </c>
      <c r="P163" s="181">
        <v>0</v>
      </c>
      <c r="Q163" s="182">
        <v>1</v>
      </c>
      <c r="R163" s="182">
        <v>0</v>
      </c>
      <c r="S163" s="182">
        <v>0</v>
      </c>
      <c r="T163" s="183">
        <f t="array" ref="T163">IF(AND(ISBLANK(F163:S163)),"", SUM(F163:J163)/15*40 + SUM(K163:S163)/27*60)</f>
        <v>48.444444444444443</v>
      </c>
    </row>
    <row r="164" spans="1:20">
      <c r="A164" s="178">
        <v>148</v>
      </c>
      <c r="B164" s="178" t="s">
        <v>476</v>
      </c>
      <c r="C164" s="178" t="s">
        <v>474</v>
      </c>
      <c r="D164" s="178">
        <v>4</v>
      </c>
      <c r="E164" s="178" t="s">
        <v>475</v>
      </c>
      <c r="F164" s="185">
        <v>0</v>
      </c>
      <c r="G164" s="185">
        <v>0</v>
      </c>
      <c r="H164" s="181">
        <v>1</v>
      </c>
      <c r="I164" s="181">
        <v>1</v>
      </c>
      <c r="J164" s="181">
        <v>0</v>
      </c>
      <c r="K164" s="180">
        <v>0</v>
      </c>
      <c r="L164" s="180">
        <v>3</v>
      </c>
      <c r="M164" s="180">
        <v>1</v>
      </c>
      <c r="N164" s="181">
        <v>0</v>
      </c>
      <c r="O164" s="181">
        <v>0</v>
      </c>
      <c r="P164" s="181">
        <v>0</v>
      </c>
      <c r="Q164" s="182"/>
      <c r="R164" s="182"/>
      <c r="S164" s="182"/>
      <c r="T164" s="183">
        <f t="array" ref="T164">IF(AND(ISBLANK(F164:S164)),"", SUM(F164:J164)/15*40 + SUM(K164:S164)/27*60)</f>
        <v>14.222222222222221</v>
      </c>
    </row>
    <row r="165" spans="1:20">
      <c r="A165" s="178">
        <v>321</v>
      </c>
      <c r="B165" s="178" t="s">
        <v>2013</v>
      </c>
      <c r="C165" s="178" t="s">
        <v>2014</v>
      </c>
      <c r="D165" s="178" t="s">
        <v>1993</v>
      </c>
      <c r="F165" s="181"/>
      <c r="G165" s="181"/>
      <c r="H165" s="181"/>
      <c r="I165" s="181"/>
      <c r="J165" s="181"/>
      <c r="N165" s="181"/>
      <c r="O165" s="181"/>
      <c r="P165" s="181"/>
      <c r="T165" s="183">
        <v>0</v>
      </c>
    </row>
    <row r="166" spans="1:20">
      <c r="A166" s="178">
        <v>149</v>
      </c>
      <c r="B166" s="178" t="s">
        <v>479</v>
      </c>
      <c r="C166" s="178" t="s">
        <v>477</v>
      </c>
      <c r="D166" s="178">
        <v>11</v>
      </c>
      <c r="E166" s="178" t="s">
        <v>478</v>
      </c>
      <c r="F166" s="185">
        <v>2</v>
      </c>
      <c r="G166" s="185">
        <v>1</v>
      </c>
      <c r="H166" s="181">
        <v>2</v>
      </c>
      <c r="I166" s="181">
        <v>1</v>
      </c>
      <c r="J166" s="181">
        <v>3</v>
      </c>
      <c r="K166" s="180">
        <v>0</v>
      </c>
      <c r="L166" s="180">
        <v>2.5</v>
      </c>
      <c r="M166" s="180">
        <v>1</v>
      </c>
      <c r="N166" s="181">
        <v>1</v>
      </c>
      <c r="O166" s="181">
        <v>3</v>
      </c>
      <c r="P166" s="181">
        <v>3</v>
      </c>
      <c r="Q166" s="182">
        <v>1</v>
      </c>
      <c r="R166" s="182">
        <v>0</v>
      </c>
      <c r="S166" s="182">
        <v>0</v>
      </c>
      <c r="T166" s="183">
        <f t="array" ref="T166">IF(AND(ISBLANK(F166:S166)),"", SUM(F166:J166)/15*40 + SUM(K166:S166)/27*60)</f>
        <v>49.555555555555557</v>
      </c>
    </row>
    <row r="167" spans="1:20">
      <c r="A167" s="178">
        <v>150</v>
      </c>
      <c r="B167" s="178" t="s">
        <v>482</v>
      </c>
      <c r="C167" s="178" t="s">
        <v>480</v>
      </c>
      <c r="D167" s="178">
        <v>12</v>
      </c>
      <c r="E167" s="178" t="s">
        <v>481</v>
      </c>
      <c r="F167" s="178">
        <v>3</v>
      </c>
      <c r="G167" s="178">
        <v>1</v>
      </c>
      <c r="H167" s="178">
        <v>0</v>
      </c>
      <c r="I167" s="178">
        <v>1</v>
      </c>
      <c r="J167" s="178">
        <v>3</v>
      </c>
      <c r="K167" s="178">
        <v>2.75</v>
      </c>
      <c r="L167" s="178">
        <v>3</v>
      </c>
      <c r="M167" s="178">
        <v>2</v>
      </c>
      <c r="N167" s="181">
        <v>3</v>
      </c>
      <c r="O167" s="181">
        <v>0</v>
      </c>
      <c r="P167" s="181">
        <v>0</v>
      </c>
      <c r="Q167" s="182">
        <v>2.5</v>
      </c>
      <c r="R167" s="182">
        <v>1</v>
      </c>
      <c r="S167" s="182">
        <v>0</v>
      </c>
      <c r="T167" s="183">
        <f t="array" ref="T167">IF(AND(ISBLANK(F167:S167)),"", SUM(F167:J167)/15*40 + SUM(K167:S167)/27*60)</f>
        <v>53</v>
      </c>
    </row>
    <row r="168" spans="1:20">
      <c r="A168" s="178">
        <v>151</v>
      </c>
      <c r="B168" s="178" t="s">
        <v>485</v>
      </c>
      <c r="C168" s="178" t="s">
        <v>483</v>
      </c>
      <c r="D168" s="178">
        <v>5</v>
      </c>
      <c r="E168" s="178" t="s">
        <v>484</v>
      </c>
      <c r="F168" s="185">
        <v>2</v>
      </c>
      <c r="G168" s="185">
        <v>1</v>
      </c>
      <c r="H168" s="181">
        <v>3</v>
      </c>
      <c r="I168" s="181">
        <v>0</v>
      </c>
      <c r="J168" s="181">
        <v>0</v>
      </c>
      <c r="K168" s="180">
        <v>3</v>
      </c>
      <c r="L168" s="180">
        <v>2</v>
      </c>
      <c r="M168" s="180">
        <v>1</v>
      </c>
      <c r="N168" s="181">
        <v>1</v>
      </c>
      <c r="O168" s="181">
        <v>0</v>
      </c>
      <c r="P168" s="181">
        <v>0</v>
      </c>
      <c r="Q168" s="182">
        <v>0.5</v>
      </c>
      <c r="R168" s="182"/>
      <c r="S168" s="182"/>
      <c r="T168" s="183">
        <f t="array" ref="T168">IF(AND(ISBLANK(F168:S168)),"", SUM(F168:J168)/15*40 + SUM(K168:S168)/27*60)</f>
        <v>32.666666666666671</v>
      </c>
    </row>
    <row r="169" spans="1:20">
      <c r="A169" s="178">
        <v>152</v>
      </c>
      <c r="B169" s="178" t="s">
        <v>488</v>
      </c>
      <c r="C169" s="178" t="s">
        <v>486</v>
      </c>
      <c r="D169" s="178">
        <v>2</v>
      </c>
      <c r="E169" s="178" t="s">
        <v>487</v>
      </c>
      <c r="F169" s="185">
        <v>2</v>
      </c>
      <c r="G169" s="185">
        <v>3</v>
      </c>
      <c r="H169" s="181">
        <v>2</v>
      </c>
      <c r="I169" s="181">
        <v>0</v>
      </c>
      <c r="J169" s="181">
        <v>1</v>
      </c>
      <c r="K169" s="180">
        <v>3</v>
      </c>
      <c r="L169" s="180">
        <v>1</v>
      </c>
      <c r="M169" s="180">
        <v>1</v>
      </c>
      <c r="N169" s="181">
        <v>1</v>
      </c>
      <c r="O169" s="181">
        <v>1</v>
      </c>
      <c r="P169" s="181">
        <v>0</v>
      </c>
      <c r="Q169" s="182">
        <v>0</v>
      </c>
      <c r="R169" s="182"/>
      <c r="S169" s="182"/>
      <c r="T169" s="183">
        <f t="array" ref="T169">IF(AND(ISBLANK(F169:S169)),"", SUM(F169:J169)/15*40 + SUM(K169:S169)/27*60)</f>
        <v>36.888888888888886</v>
      </c>
    </row>
    <row r="170" spans="1:20">
      <c r="A170" s="178">
        <v>153</v>
      </c>
      <c r="B170" s="178" t="s">
        <v>491</v>
      </c>
      <c r="C170" s="178" t="s">
        <v>489</v>
      </c>
      <c r="D170" s="178">
        <v>9</v>
      </c>
      <c r="E170" s="178" t="s">
        <v>490</v>
      </c>
      <c r="F170" s="185">
        <v>3</v>
      </c>
      <c r="G170" s="185">
        <v>0</v>
      </c>
      <c r="H170" s="181">
        <v>0</v>
      </c>
      <c r="I170" s="181">
        <v>1</v>
      </c>
      <c r="J170" s="181">
        <v>0</v>
      </c>
      <c r="K170" s="180">
        <v>2.0499999999999998</v>
      </c>
      <c r="L170" s="180">
        <v>3</v>
      </c>
      <c r="M170" s="180">
        <v>1</v>
      </c>
      <c r="N170" s="181">
        <v>3</v>
      </c>
      <c r="O170" s="181">
        <v>0</v>
      </c>
      <c r="P170" s="181">
        <v>0</v>
      </c>
      <c r="Q170" s="182">
        <v>0.5</v>
      </c>
      <c r="R170" s="182">
        <v>0</v>
      </c>
      <c r="S170" s="182">
        <v>0</v>
      </c>
      <c r="T170" s="183">
        <f t="array" ref="T170">IF(AND(ISBLANK(F170:S170)),"", SUM(F170:J170)/15*40 + SUM(K170:S170)/27*60)</f>
        <v>31.888888888888893</v>
      </c>
    </row>
    <row r="171" spans="1:20">
      <c r="A171" s="178">
        <v>154</v>
      </c>
      <c r="B171" s="178" t="s">
        <v>494</v>
      </c>
      <c r="C171" s="178" t="s">
        <v>492</v>
      </c>
      <c r="D171" s="178">
        <v>5</v>
      </c>
      <c r="E171" s="178" t="s">
        <v>493</v>
      </c>
      <c r="F171" s="185">
        <v>3</v>
      </c>
      <c r="G171" s="185">
        <v>2</v>
      </c>
      <c r="H171" s="181">
        <v>3</v>
      </c>
      <c r="I171" s="181">
        <v>2</v>
      </c>
      <c r="J171" s="181">
        <v>3</v>
      </c>
      <c r="K171" s="180">
        <v>3</v>
      </c>
      <c r="L171" s="180">
        <v>3</v>
      </c>
      <c r="M171" s="180">
        <v>2</v>
      </c>
      <c r="N171" s="181">
        <v>3</v>
      </c>
      <c r="O171" s="181">
        <v>3</v>
      </c>
      <c r="P171" s="181">
        <v>0</v>
      </c>
      <c r="Q171" s="182">
        <v>1.5</v>
      </c>
      <c r="R171" s="182">
        <v>3</v>
      </c>
      <c r="S171" s="182">
        <v>2</v>
      </c>
      <c r="T171" s="183">
        <f t="array" ref="T171">IF(AND(ISBLANK(F171:S171)),"", SUM(F171:J171)/15*40 + SUM(K171:S171)/27*60)</f>
        <v>80.222222222222229</v>
      </c>
    </row>
    <row r="172" spans="1:20">
      <c r="A172" s="178">
        <v>155</v>
      </c>
      <c r="B172" s="178" t="s">
        <v>497</v>
      </c>
      <c r="C172" s="178" t="s">
        <v>495</v>
      </c>
      <c r="D172" s="178">
        <v>5</v>
      </c>
      <c r="E172" s="178" t="s">
        <v>496</v>
      </c>
      <c r="F172" s="180">
        <v>2</v>
      </c>
      <c r="G172" s="180">
        <v>0</v>
      </c>
      <c r="H172" s="178">
        <v>3</v>
      </c>
      <c r="I172" s="178">
        <v>0</v>
      </c>
      <c r="J172" s="178">
        <v>1</v>
      </c>
      <c r="K172" s="180">
        <v>3</v>
      </c>
      <c r="L172" s="180">
        <v>2</v>
      </c>
      <c r="M172" s="180">
        <v>2</v>
      </c>
      <c r="N172" s="178">
        <v>2</v>
      </c>
      <c r="O172" s="178">
        <v>2</v>
      </c>
      <c r="P172" s="178">
        <v>0</v>
      </c>
      <c r="Q172" s="178">
        <v>0</v>
      </c>
      <c r="T172" s="183">
        <f t="array" ref="T172">IF(AND(ISBLANK(F172:S172)),"", SUM(F172:J172)/15*40 + SUM(K172:S172)/27*60)</f>
        <v>40.444444444444443</v>
      </c>
    </row>
    <row r="173" spans="1:20">
      <c r="A173" s="178">
        <v>156</v>
      </c>
      <c r="B173" s="178" t="s">
        <v>500</v>
      </c>
      <c r="C173" s="178" t="s">
        <v>498</v>
      </c>
      <c r="D173" s="178">
        <v>5</v>
      </c>
      <c r="E173" s="178" t="s">
        <v>499</v>
      </c>
      <c r="F173" s="185">
        <v>2</v>
      </c>
      <c r="G173" s="185">
        <v>0</v>
      </c>
      <c r="H173" s="181">
        <v>0</v>
      </c>
      <c r="I173" s="181">
        <v>0</v>
      </c>
      <c r="J173" s="181">
        <v>1</v>
      </c>
      <c r="K173" s="180">
        <v>0</v>
      </c>
      <c r="L173" s="180">
        <v>2</v>
      </c>
      <c r="M173" s="180">
        <v>1</v>
      </c>
      <c r="N173" s="181">
        <v>0</v>
      </c>
      <c r="O173" s="181">
        <v>0</v>
      </c>
      <c r="P173" s="181">
        <v>0</v>
      </c>
      <c r="Q173" s="182"/>
      <c r="R173" s="182"/>
      <c r="S173" s="182"/>
      <c r="T173" s="183">
        <f t="array" ref="T173">IF(AND(ISBLANK(F173:S173)),"", SUM(F173:J173)/15*40 + SUM(K173:S173)/27*60)</f>
        <v>14.666666666666666</v>
      </c>
    </row>
    <row r="174" spans="1:20">
      <c r="A174" s="178">
        <v>157</v>
      </c>
      <c r="B174" s="178" t="s">
        <v>503</v>
      </c>
      <c r="C174" s="178" t="s">
        <v>501</v>
      </c>
      <c r="D174" s="178">
        <v>8</v>
      </c>
      <c r="E174" s="178" t="s">
        <v>502</v>
      </c>
      <c r="F174" s="185">
        <v>3</v>
      </c>
      <c r="G174" s="185">
        <v>2</v>
      </c>
      <c r="H174" s="181">
        <v>3</v>
      </c>
      <c r="I174" s="181">
        <v>1</v>
      </c>
      <c r="J174" s="181">
        <v>3</v>
      </c>
      <c r="K174" s="180">
        <v>3</v>
      </c>
      <c r="L174" s="180">
        <v>3</v>
      </c>
      <c r="M174" s="180">
        <v>3</v>
      </c>
      <c r="N174" s="181">
        <v>3</v>
      </c>
      <c r="O174" s="181">
        <v>3</v>
      </c>
      <c r="P174" s="181">
        <v>1</v>
      </c>
      <c r="Q174" s="182">
        <v>2.5</v>
      </c>
      <c r="R174" s="182">
        <v>3</v>
      </c>
      <c r="S174" s="182">
        <v>2</v>
      </c>
      <c r="T174" s="183">
        <f t="array" ref="T174">IF(AND(ISBLANK(F174:S174)),"", SUM(F174:J174)/15*40 + SUM(K174:S174)/27*60)</f>
        <v>84.222222222222229</v>
      </c>
    </row>
    <row r="175" spans="1:20">
      <c r="A175" s="178">
        <v>158</v>
      </c>
      <c r="B175" s="178" t="s">
        <v>506</v>
      </c>
      <c r="C175" s="178" t="s">
        <v>504</v>
      </c>
      <c r="D175" s="178">
        <v>6</v>
      </c>
      <c r="E175" s="178" t="s">
        <v>505</v>
      </c>
      <c r="F175" s="185">
        <v>0</v>
      </c>
      <c r="G175" s="185">
        <v>1</v>
      </c>
      <c r="H175" s="181">
        <v>3</v>
      </c>
      <c r="I175" s="181">
        <v>0</v>
      </c>
      <c r="J175" s="181">
        <v>3</v>
      </c>
      <c r="K175" s="180">
        <v>2.25</v>
      </c>
      <c r="L175" s="180">
        <v>1</v>
      </c>
      <c r="M175" s="180">
        <v>1</v>
      </c>
      <c r="N175" s="181">
        <v>0</v>
      </c>
      <c r="O175" s="181">
        <v>3</v>
      </c>
      <c r="P175" s="181">
        <v>0</v>
      </c>
      <c r="Q175" s="178">
        <v>1.5</v>
      </c>
      <c r="R175" s="178">
        <v>1</v>
      </c>
      <c r="S175" s="178">
        <v>0</v>
      </c>
      <c r="T175" s="183">
        <f t="array" ref="T175">IF(AND(ISBLANK(F175:S175)),"", SUM(F175:J175)/15*40 + SUM(K175:S175)/27*60)</f>
        <v>40.333333333333336</v>
      </c>
    </row>
    <row r="176" spans="1:20">
      <c r="A176" s="178">
        <v>159</v>
      </c>
      <c r="B176" s="178" t="s">
        <v>509</v>
      </c>
      <c r="C176" s="178" t="s">
        <v>1969</v>
      </c>
      <c r="D176" s="178">
        <v>12</v>
      </c>
      <c r="E176" s="178" t="s">
        <v>508</v>
      </c>
      <c r="T176" s="183">
        <v>0</v>
      </c>
    </row>
    <row r="177" spans="1:20">
      <c r="A177" s="178">
        <v>160</v>
      </c>
      <c r="B177" s="178" t="s">
        <v>512</v>
      </c>
      <c r="C177" s="178" t="s">
        <v>510</v>
      </c>
      <c r="D177" s="178">
        <v>8</v>
      </c>
      <c r="E177" s="178" t="s">
        <v>511</v>
      </c>
      <c r="F177" s="185">
        <v>3</v>
      </c>
      <c r="G177" s="185">
        <v>2</v>
      </c>
      <c r="H177" s="181">
        <v>3</v>
      </c>
      <c r="I177" s="181">
        <v>2</v>
      </c>
      <c r="J177" s="181">
        <v>3</v>
      </c>
      <c r="K177" s="180">
        <v>3</v>
      </c>
      <c r="L177" s="180">
        <v>3</v>
      </c>
      <c r="M177" s="180">
        <v>3</v>
      </c>
      <c r="N177" s="181">
        <v>3</v>
      </c>
      <c r="O177" s="181">
        <v>3</v>
      </c>
      <c r="P177" s="181">
        <v>0</v>
      </c>
      <c r="Q177" s="182">
        <v>2</v>
      </c>
      <c r="R177" s="182">
        <v>0</v>
      </c>
      <c r="S177" s="182">
        <v>3</v>
      </c>
      <c r="T177" s="183">
        <f t="array" ref="T177">IF(AND(ISBLANK(F177:S177)),"", SUM(F177:J177)/15*40 + SUM(K177:S177)/27*60)</f>
        <v>79.111111111111114</v>
      </c>
    </row>
    <row r="178" spans="1:20">
      <c r="A178" s="178">
        <v>161</v>
      </c>
      <c r="B178" s="178" t="s">
        <v>515</v>
      </c>
      <c r="C178" s="178" t="s">
        <v>513</v>
      </c>
      <c r="D178" s="178">
        <v>9</v>
      </c>
      <c r="E178" s="178" t="s">
        <v>514</v>
      </c>
      <c r="F178" s="185">
        <v>1</v>
      </c>
      <c r="G178" s="185">
        <v>0</v>
      </c>
      <c r="H178" s="181">
        <v>1</v>
      </c>
      <c r="I178" s="181">
        <v>0</v>
      </c>
      <c r="J178" s="181">
        <v>2</v>
      </c>
      <c r="K178" s="180">
        <v>2.25</v>
      </c>
      <c r="L178" s="180">
        <v>3</v>
      </c>
      <c r="M178" s="180">
        <v>0</v>
      </c>
      <c r="N178" s="181">
        <v>1</v>
      </c>
      <c r="O178" s="181">
        <v>2</v>
      </c>
      <c r="P178" s="181">
        <v>0</v>
      </c>
      <c r="Q178" s="182">
        <v>0</v>
      </c>
      <c r="R178" s="182"/>
      <c r="S178" s="182"/>
      <c r="T178" s="183">
        <f t="array" ref="T178">IF(AND(ISBLANK(F178:S178)),"", SUM(F178:J178)/15*40 + SUM(K178:S178)/27*60)</f>
        <v>29</v>
      </c>
    </row>
    <row r="179" spans="1:20">
      <c r="A179" s="178">
        <v>162</v>
      </c>
      <c r="B179" s="178" t="s">
        <v>518</v>
      </c>
      <c r="C179" s="178" t="s">
        <v>516</v>
      </c>
      <c r="D179" s="178">
        <v>7</v>
      </c>
      <c r="E179" s="178" t="s">
        <v>517</v>
      </c>
      <c r="F179" s="180">
        <v>2</v>
      </c>
      <c r="G179" s="180">
        <v>2</v>
      </c>
      <c r="H179" s="178">
        <v>2</v>
      </c>
      <c r="I179" s="178">
        <v>0</v>
      </c>
      <c r="J179" s="178">
        <v>3</v>
      </c>
      <c r="K179" s="180">
        <v>3</v>
      </c>
      <c r="L179" s="180">
        <v>1</v>
      </c>
      <c r="M179" s="180">
        <v>2</v>
      </c>
      <c r="N179" s="178">
        <v>1</v>
      </c>
      <c r="O179" s="178">
        <v>3</v>
      </c>
      <c r="P179" s="178">
        <v>0</v>
      </c>
      <c r="Q179" s="178">
        <v>2.5</v>
      </c>
      <c r="R179" s="178">
        <v>2</v>
      </c>
      <c r="S179" s="178">
        <v>2</v>
      </c>
      <c r="T179" s="183">
        <f t="array" ref="T179">IF(AND(ISBLANK(F179:S179)),"", SUM(F179:J179)/15*40 + SUM(K179:S179)/27*60)</f>
        <v>60.666666666666671</v>
      </c>
    </row>
    <row r="180" spans="1:20">
      <c r="A180" s="178">
        <v>163</v>
      </c>
      <c r="B180" s="178" t="s">
        <v>521</v>
      </c>
      <c r="C180" s="178" t="s">
        <v>519</v>
      </c>
      <c r="D180" s="178">
        <v>4</v>
      </c>
      <c r="E180" s="178" t="s">
        <v>520</v>
      </c>
      <c r="F180" s="185">
        <v>3</v>
      </c>
      <c r="G180" s="185">
        <v>3</v>
      </c>
      <c r="H180" s="181">
        <v>3</v>
      </c>
      <c r="I180" s="181">
        <v>1</v>
      </c>
      <c r="J180" s="181">
        <v>3</v>
      </c>
      <c r="K180" s="180">
        <v>3</v>
      </c>
      <c r="L180" s="180">
        <v>3</v>
      </c>
      <c r="M180" s="180">
        <v>1</v>
      </c>
      <c r="N180" s="181">
        <v>2</v>
      </c>
      <c r="O180" s="181">
        <v>1</v>
      </c>
      <c r="P180" s="181">
        <v>1</v>
      </c>
      <c r="Q180" s="182">
        <v>1.5</v>
      </c>
      <c r="R180" s="182">
        <v>2</v>
      </c>
      <c r="S180" s="182">
        <v>0</v>
      </c>
      <c r="T180" s="183">
        <f t="array" ref="T180">IF(AND(ISBLANK(F180:S180)),"", SUM(F180:J180)/15*40 + SUM(K180:S180)/27*60)</f>
        <v>66.8888888888889</v>
      </c>
    </row>
    <row r="181" spans="1:20">
      <c r="A181" s="178">
        <v>164</v>
      </c>
      <c r="B181" s="178" t="s">
        <v>524</v>
      </c>
      <c r="C181" s="178" t="s">
        <v>522</v>
      </c>
      <c r="D181" s="178">
        <v>8</v>
      </c>
      <c r="E181" s="178" t="s">
        <v>523</v>
      </c>
      <c r="F181" s="185">
        <v>2</v>
      </c>
      <c r="G181" s="185">
        <v>0</v>
      </c>
      <c r="H181" s="181">
        <v>1</v>
      </c>
      <c r="I181" s="181">
        <v>0</v>
      </c>
      <c r="J181" s="181">
        <v>2</v>
      </c>
      <c r="K181" s="180">
        <v>0</v>
      </c>
      <c r="L181" s="180">
        <v>0</v>
      </c>
      <c r="M181" s="180">
        <v>0</v>
      </c>
      <c r="N181" s="181">
        <v>1</v>
      </c>
      <c r="O181" s="181">
        <v>3</v>
      </c>
      <c r="P181" s="181">
        <v>0</v>
      </c>
      <c r="Q181" s="182">
        <v>1.5</v>
      </c>
      <c r="R181" s="182">
        <v>0</v>
      </c>
      <c r="S181" s="182">
        <v>0</v>
      </c>
      <c r="T181" s="183">
        <f t="array" ref="T181">IF(AND(ISBLANK(F181:S181)),"", SUM(F181:J181)/15*40 + SUM(K181:S181)/27*60)</f>
        <v>25.555555555555554</v>
      </c>
    </row>
    <row r="182" spans="1:20">
      <c r="A182" s="178">
        <v>165</v>
      </c>
      <c r="B182" s="178" t="s">
        <v>527</v>
      </c>
      <c r="C182" s="178" t="s">
        <v>525</v>
      </c>
      <c r="D182" s="178">
        <v>9</v>
      </c>
      <c r="E182" s="178" t="s">
        <v>526</v>
      </c>
      <c r="F182" s="181">
        <v>1</v>
      </c>
      <c r="G182" s="181">
        <v>0</v>
      </c>
      <c r="H182" s="181">
        <v>1</v>
      </c>
      <c r="I182" s="181">
        <v>1</v>
      </c>
      <c r="J182" s="181">
        <v>2.5</v>
      </c>
      <c r="K182" s="178">
        <v>2.75</v>
      </c>
      <c r="L182" s="178">
        <v>0</v>
      </c>
      <c r="M182" s="178">
        <v>2</v>
      </c>
      <c r="N182" s="181">
        <v>1</v>
      </c>
      <c r="O182" s="181">
        <v>3</v>
      </c>
      <c r="P182" s="181">
        <v>0</v>
      </c>
      <c r="Q182" s="182">
        <v>0</v>
      </c>
      <c r="R182" s="182">
        <v>0</v>
      </c>
      <c r="S182" s="182">
        <v>0</v>
      </c>
      <c r="T182" s="183">
        <f t="array" ref="T182">IF(AND(ISBLANK(F182:S182)),"", SUM(F182:J182)/15*40 + SUM(K182:S182)/27*60)</f>
        <v>34.111111111111107</v>
      </c>
    </row>
    <row r="183" spans="1:20">
      <c r="A183" s="178">
        <v>166</v>
      </c>
      <c r="B183" s="178" t="s">
        <v>530</v>
      </c>
      <c r="C183" s="178" t="s">
        <v>528</v>
      </c>
      <c r="D183" s="178">
        <v>8</v>
      </c>
      <c r="E183" s="178" t="s">
        <v>529</v>
      </c>
      <c r="F183" s="185">
        <v>2</v>
      </c>
      <c r="G183" s="185">
        <v>2</v>
      </c>
      <c r="H183" s="181">
        <v>3</v>
      </c>
      <c r="I183" s="181">
        <v>1</v>
      </c>
      <c r="J183" s="181">
        <v>3</v>
      </c>
      <c r="K183" s="180">
        <v>3</v>
      </c>
      <c r="L183" s="180">
        <v>3</v>
      </c>
      <c r="M183" s="180">
        <v>3</v>
      </c>
      <c r="N183" s="181">
        <v>2</v>
      </c>
      <c r="O183" s="181">
        <v>1</v>
      </c>
      <c r="P183" s="181">
        <v>2</v>
      </c>
      <c r="Q183" s="182">
        <v>3</v>
      </c>
      <c r="R183" s="182">
        <v>2</v>
      </c>
      <c r="S183" s="182">
        <v>3</v>
      </c>
      <c r="T183" s="183">
        <f t="array" ref="T183">IF(AND(ISBLANK(F183:S183)),"", SUM(F183:J183)/15*40 + SUM(K183:S183)/27*60)</f>
        <v>78.222222222222214</v>
      </c>
    </row>
    <row r="184" spans="1:20">
      <c r="A184" s="178">
        <v>167</v>
      </c>
      <c r="B184" s="178" t="s">
        <v>533</v>
      </c>
      <c r="C184" s="178" t="s">
        <v>531</v>
      </c>
      <c r="D184" s="178">
        <v>7</v>
      </c>
      <c r="E184" s="178" t="s">
        <v>532</v>
      </c>
      <c r="F184" s="185">
        <v>2</v>
      </c>
      <c r="G184" s="185">
        <v>2</v>
      </c>
      <c r="H184" s="181">
        <v>3</v>
      </c>
      <c r="I184" s="181">
        <v>2</v>
      </c>
      <c r="J184" s="181">
        <v>3</v>
      </c>
      <c r="K184" s="180">
        <v>3</v>
      </c>
      <c r="L184" s="180">
        <v>3</v>
      </c>
      <c r="M184" s="180">
        <v>2</v>
      </c>
      <c r="N184" s="181">
        <v>3</v>
      </c>
      <c r="O184" s="181">
        <v>3</v>
      </c>
      <c r="P184" s="181">
        <v>3</v>
      </c>
      <c r="Q184" s="182">
        <v>3</v>
      </c>
      <c r="R184" s="182">
        <v>3</v>
      </c>
      <c r="S184" s="182">
        <v>3</v>
      </c>
      <c r="T184" s="183">
        <f t="array" ref="T184">IF(AND(ISBLANK(F184:S184)),"", SUM(F184:J184)/15*40 + SUM(K184:S184)/27*60)</f>
        <v>89.777777777777771</v>
      </c>
    </row>
    <row r="185" spans="1:20">
      <c r="A185" s="178">
        <v>168</v>
      </c>
      <c r="B185" s="178" t="s">
        <v>536</v>
      </c>
      <c r="C185" s="178" t="s">
        <v>534</v>
      </c>
      <c r="D185" s="178">
        <v>7</v>
      </c>
      <c r="E185" s="178" t="s">
        <v>535</v>
      </c>
      <c r="F185" s="185">
        <v>1</v>
      </c>
      <c r="G185" s="185">
        <v>2</v>
      </c>
      <c r="H185" s="181">
        <v>3</v>
      </c>
      <c r="I185" s="181">
        <v>2</v>
      </c>
      <c r="J185" s="181">
        <v>3</v>
      </c>
      <c r="K185" s="180">
        <v>3</v>
      </c>
      <c r="L185" s="180">
        <v>3</v>
      </c>
      <c r="M185" s="180">
        <v>2</v>
      </c>
      <c r="N185" s="181">
        <v>3</v>
      </c>
      <c r="O185" s="181">
        <v>3</v>
      </c>
      <c r="P185" s="181">
        <v>0</v>
      </c>
      <c r="Q185" s="182">
        <v>2.5</v>
      </c>
      <c r="R185" s="182">
        <v>3</v>
      </c>
      <c r="S185" s="182">
        <v>1</v>
      </c>
      <c r="T185" s="183">
        <f t="array" ref="T185">IF(AND(ISBLANK(F185:S185)),"", SUM(F185:J185)/15*40 + SUM(K185:S185)/27*60)</f>
        <v>74.888888888888886</v>
      </c>
    </row>
    <row r="186" spans="1:20">
      <c r="A186" s="178">
        <v>169</v>
      </c>
      <c r="B186" s="178" t="s">
        <v>539</v>
      </c>
      <c r="C186" s="178" t="s">
        <v>537</v>
      </c>
      <c r="D186" s="178">
        <v>9</v>
      </c>
      <c r="E186" s="178" t="s">
        <v>538</v>
      </c>
      <c r="F186" s="185">
        <v>2</v>
      </c>
      <c r="G186" s="185">
        <v>3</v>
      </c>
      <c r="H186" s="181">
        <v>2</v>
      </c>
      <c r="I186" s="181">
        <v>1</v>
      </c>
      <c r="J186" s="181">
        <v>3</v>
      </c>
      <c r="K186" s="180">
        <v>2.25</v>
      </c>
      <c r="L186" s="180">
        <v>1</v>
      </c>
      <c r="M186" s="180">
        <v>2</v>
      </c>
      <c r="N186" s="181">
        <v>0</v>
      </c>
      <c r="O186" s="181">
        <v>1</v>
      </c>
      <c r="P186" s="181">
        <v>2</v>
      </c>
      <c r="Q186" s="182">
        <v>0.5</v>
      </c>
      <c r="R186" s="182">
        <v>1</v>
      </c>
      <c r="S186" s="182">
        <v>2</v>
      </c>
      <c r="T186" s="183">
        <f t="array" ref="T186">IF(AND(ISBLANK(F186:S186)),"", SUM(F186:J186)/15*40 + SUM(K186:S186)/27*60)</f>
        <v>55.444444444444443</v>
      </c>
    </row>
    <row r="187" spans="1:20">
      <c r="A187" s="178">
        <v>170</v>
      </c>
      <c r="B187" s="178" t="s">
        <v>542</v>
      </c>
      <c r="C187" s="178" t="s">
        <v>540</v>
      </c>
      <c r="D187" s="178">
        <v>1</v>
      </c>
      <c r="E187" s="178" t="s">
        <v>541</v>
      </c>
      <c r="F187" s="185">
        <v>1</v>
      </c>
      <c r="G187" s="181"/>
      <c r="H187" s="181">
        <v>3</v>
      </c>
      <c r="I187" s="181">
        <v>1</v>
      </c>
      <c r="J187" s="181">
        <v>3</v>
      </c>
      <c r="K187" s="180">
        <v>0</v>
      </c>
      <c r="L187" s="180">
        <v>3</v>
      </c>
      <c r="M187" s="180">
        <v>1</v>
      </c>
      <c r="N187" s="181">
        <v>3</v>
      </c>
      <c r="O187" s="181">
        <v>3</v>
      </c>
      <c r="P187" s="181">
        <v>0</v>
      </c>
      <c r="Q187" s="182">
        <v>3</v>
      </c>
      <c r="R187" s="182">
        <v>1</v>
      </c>
      <c r="S187" s="182">
        <v>0</v>
      </c>
      <c r="T187" s="183">
        <f t="array" ref="T187">IF(AND(ISBLANK(F187:S187)),"", SUM(F187:J187)/15*40 + SUM(K187:S187)/27*60)</f>
        <v>52.444444444444443</v>
      </c>
    </row>
    <row r="188" spans="1:20">
      <c r="A188" s="178">
        <v>171</v>
      </c>
      <c r="B188" s="178" t="s">
        <v>545</v>
      </c>
      <c r="C188" s="178" t="s">
        <v>543</v>
      </c>
      <c r="D188" s="178">
        <v>2</v>
      </c>
      <c r="E188" s="178" t="s">
        <v>544</v>
      </c>
      <c r="F188" s="178">
        <v>3</v>
      </c>
      <c r="G188" s="178">
        <v>3</v>
      </c>
      <c r="H188" s="178">
        <v>1</v>
      </c>
      <c r="I188" s="178">
        <v>1</v>
      </c>
      <c r="J188" s="178">
        <v>3</v>
      </c>
      <c r="K188" s="178">
        <v>3</v>
      </c>
      <c r="L188" s="178">
        <v>3</v>
      </c>
      <c r="M188" s="178">
        <v>1</v>
      </c>
      <c r="N188" s="181">
        <v>2.5</v>
      </c>
      <c r="O188" s="181">
        <v>2</v>
      </c>
      <c r="P188" s="181">
        <v>2.5</v>
      </c>
      <c r="Q188" s="182">
        <v>1.5</v>
      </c>
      <c r="R188" s="182">
        <v>0</v>
      </c>
      <c r="S188" s="182">
        <v>0</v>
      </c>
      <c r="T188" s="183">
        <f t="array" ref="T188">IF(AND(ISBLANK(F188:S188)),"", SUM(F188:J188)/15*40 + SUM(K188:S188)/27*60)</f>
        <v>63.777777777777771</v>
      </c>
    </row>
    <row r="189" spans="1:20">
      <c r="A189" s="178">
        <v>172</v>
      </c>
      <c r="B189" s="178" t="s">
        <v>548</v>
      </c>
      <c r="C189" s="178" t="s">
        <v>546</v>
      </c>
      <c r="D189" s="178">
        <v>8</v>
      </c>
      <c r="E189" s="178" t="s">
        <v>547</v>
      </c>
      <c r="F189" s="185">
        <v>2</v>
      </c>
      <c r="G189" s="185">
        <v>1</v>
      </c>
      <c r="H189" s="181">
        <v>2</v>
      </c>
      <c r="I189" s="181">
        <v>0</v>
      </c>
      <c r="J189" s="181">
        <v>3</v>
      </c>
      <c r="K189" s="180">
        <v>3</v>
      </c>
      <c r="L189" s="180">
        <v>3</v>
      </c>
      <c r="M189" s="180">
        <v>1</v>
      </c>
      <c r="N189" s="181">
        <v>2</v>
      </c>
      <c r="O189" s="181">
        <v>3</v>
      </c>
      <c r="P189" s="181">
        <v>0</v>
      </c>
      <c r="Q189" s="182">
        <v>3</v>
      </c>
      <c r="R189" s="182">
        <v>3</v>
      </c>
      <c r="S189" s="182">
        <v>2</v>
      </c>
      <c r="T189" s="183">
        <f t="array" ref="T189">IF(AND(ISBLANK(F189:S189)),"", SUM(F189:J189)/15*40 + SUM(K189:S189)/27*60)</f>
        <v>65.777777777777771</v>
      </c>
    </row>
    <row r="190" spans="1:20">
      <c r="A190" s="178">
        <v>173</v>
      </c>
      <c r="B190" s="178" t="s">
        <v>551</v>
      </c>
      <c r="C190" s="178" t="s">
        <v>549</v>
      </c>
      <c r="D190" s="178">
        <v>7</v>
      </c>
      <c r="E190" s="178" t="s">
        <v>550</v>
      </c>
      <c r="F190" s="185">
        <v>2</v>
      </c>
      <c r="G190" s="185">
        <v>3</v>
      </c>
      <c r="H190" s="181">
        <v>2</v>
      </c>
      <c r="I190" s="181">
        <v>0</v>
      </c>
      <c r="J190" s="181">
        <v>3</v>
      </c>
      <c r="K190" s="180">
        <v>3</v>
      </c>
      <c r="L190" s="180">
        <v>3</v>
      </c>
      <c r="M190" s="180">
        <v>2</v>
      </c>
      <c r="N190" s="181">
        <v>1</v>
      </c>
      <c r="O190" s="181">
        <v>2</v>
      </c>
      <c r="P190" s="181">
        <v>2</v>
      </c>
      <c r="Q190" s="182">
        <v>2.5</v>
      </c>
      <c r="R190" s="182">
        <v>2</v>
      </c>
      <c r="S190" s="182">
        <v>2</v>
      </c>
      <c r="T190" s="183">
        <f t="array" ref="T190">IF(AND(ISBLANK(F190:S190)),"", SUM(F190:J190)/15*40 + SUM(K190:S190)/27*60)</f>
        <v>70</v>
      </c>
    </row>
    <row r="191" spans="1:20">
      <c r="A191" s="178">
        <v>174</v>
      </c>
      <c r="B191" s="178" t="s">
        <v>554</v>
      </c>
      <c r="C191" s="178" t="s">
        <v>552</v>
      </c>
      <c r="D191" s="178">
        <v>8</v>
      </c>
      <c r="E191" s="178" t="s">
        <v>553</v>
      </c>
      <c r="F191" s="185">
        <v>3</v>
      </c>
      <c r="G191" s="185">
        <v>1</v>
      </c>
      <c r="H191" s="181">
        <v>1</v>
      </c>
      <c r="I191" s="181">
        <v>1</v>
      </c>
      <c r="J191" s="181">
        <v>3</v>
      </c>
      <c r="K191" s="180">
        <v>3</v>
      </c>
      <c r="L191" s="180">
        <v>1</v>
      </c>
      <c r="M191" s="180">
        <v>3</v>
      </c>
      <c r="N191" s="181">
        <v>3</v>
      </c>
      <c r="O191" s="181">
        <v>3</v>
      </c>
      <c r="P191" s="181">
        <v>0</v>
      </c>
      <c r="Q191" s="182">
        <v>2.5</v>
      </c>
      <c r="R191" s="182">
        <v>1</v>
      </c>
      <c r="S191" s="182">
        <v>0</v>
      </c>
      <c r="T191" s="183">
        <f t="array" ref="T191">IF(AND(ISBLANK(F191:S191)),"", SUM(F191:J191)/15*40 + SUM(K191:S191)/27*60)</f>
        <v>60.666666666666671</v>
      </c>
    </row>
    <row r="192" spans="1:20">
      <c r="A192" s="178">
        <v>175</v>
      </c>
      <c r="B192" s="178" t="s">
        <v>557</v>
      </c>
      <c r="C192" s="178" t="s">
        <v>555</v>
      </c>
      <c r="D192" s="178">
        <v>4</v>
      </c>
      <c r="E192" s="178" t="s">
        <v>556</v>
      </c>
      <c r="F192" s="185">
        <v>2</v>
      </c>
      <c r="G192" s="185">
        <v>1</v>
      </c>
      <c r="H192" s="181">
        <v>3</v>
      </c>
      <c r="I192" s="181">
        <v>1</v>
      </c>
      <c r="J192" s="181">
        <v>1</v>
      </c>
      <c r="K192" s="180">
        <v>3</v>
      </c>
      <c r="L192" s="180">
        <v>2</v>
      </c>
      <c r="M192" s="180">
        <v>1</v>
      </c>
      <c r="N192" s="181">
        <v>1</v>
      </c>
      <c r="O192" s="181">
        <v>2</v>
      </c>
      <c r="P192" s="181">
        <v>0</v>
      </c>
      <c r="Q192" s="182">
        <v>3</v>
      </c>
      <c r="R192" s="182">
        <v>3</v>
      </c>
      <c r="S192" s="182">
        <v>3</v>
      </c>
      <c r="T192" s="183">
        <f t="array" ref="T192">IF(AND(ISBLANK(F192:S192)),"", SUM(F192:J192)/15*40 + SUM(K192:S192)/27*60)</f>
        <v>61.333333333333329</v>
      </c>
    </row>
    <row r="193" spans="1:20">
      <c r="A193" s="178">
        <v>176</v>
      </c>
      <c r="B193" s="178" t="s">
        <v>560</v>
      </c>
      <c r="C193" s="178" t="s">
        <v>558</v>
      </c>
      <c r="D193" s="178">
        <v>4</v>
      </c>
      <c r="E193" s="178" t="s">
        <v>559</v>
      </c>
      <c r="F193" s="180">
        <v>3</v>
      </c>
      <c r="G193" s="180">
        <v>2</v>
      </c>
      <c r="H193" s="178">
        <v>2</v>
      </c>
      <c r="I193" s="178">
        <v>0</v>
      </c>
      <c r="J193" s="178">
        <v>3</v>
      </c>
      <c r="K193" s="180">
        <v>3</v>
      </c>
      <c r="L193" s="180">
        <v>0</v>
      </c>
      <c r="M193" s="180">
        <v>0</v>
      </c>
      <c r="N193" s="178">
        <v>2</v>
      </c>
      <c r="O193" s="178">
        <v>3</v>
      </c>
      <c r="P193" s="178">
        <v>0</v>
      </c>
      <c r="Q193" s="178">
        <v>3</v>
      </c>
      <c r="R193" s="178">
        <v>1</v>
      </c>
      <c r="S193" s="178">
        <v>0</v>
      </c>
      <c r="T193" s="183">
        <f t="array" ref="T193">IF(AND(ISBLANK(F193:S193)),"", SUM(F193:J193)/15*40 + SUM(K193:S193)/27*60)</f>
        <v>53.333333333333329</v>
      </c>
    </row>
    <row r="194" spans="1:20">
      <c r="A194" s="178">
        <v>177</v>
      </c>
      <c r="B194" s="178" t="s">
        <v>563</v>
      </c>
      <c r="C194" s="178" t="s">
        <v>561</v>
      </c>
      <c r="D194" s="178">
        <v>7</v>
      </c>
      <c r="E194" s="178" t="s">
        <v>562</v>
      </c>
      <c r="F194" s="185">
        <v>3</v>
      </c>
      <c r="G194" s="185">
        <v>1</v>
      </c>
      <c r="H194" s="181">
        <v>1</v>
      </c>
      <c r="I194" s="181">
        <v>0</v>
      </c>
      <c r="J194" s="181">
        <v>3</v>
      </c>
      <c r="K194" s="180">
        <v>2.25</v>
      </c>
      <c r="L194" s="180">
        <v>2</v>
      </c>
      <c r="M194" s="180">
        <v>2</v>
      </c>
      <c r="N194" s="181">
        <v>1</v>
      </c>
      <c r="O194" s="181">
        <v>3</v>
      </c>
      <c r="P194" s="181">
        <v>0</v>
      </c>
      <c r="Q194" s="182">
        <v>2.5</v>
      </c>
      <c r="R194" s="182">
        <v>0</v>
      </c>
      <c r="S194" s="182"/>
      <c r="T194" s="183">
        <f t="array" ref="T194">IF(AND(ISBLANK(F194:S194)),"", SUM(F194:J194)/15*40 + SUM(K194:S194)/27*60)</f>
        <v>49.666666666666664</v>
      </c>
    </row>
    <row r="195" spans="1:20">
      <c r="A195" s="178">
        <v>178</v>
      </c>
      <c r="B195" s="178" t="s">
        <v>566</v>
      </c>
      <c r="C195" s="178" t="s">
        <v>564</v>
      </c>
      <c r="D195" s="178">
        <v>9</v>
      </c>
      <c r="E195" s="178" t="s">
        <v>565</v>
      </c>
      <c r="F195" s="185">
        <v>3</v>
      </c>
      <c r="G195" s="185">
        <v>3</v>
      </c>
      <c r="H195" s="181">
        <v>1</v>
      </c>
      <c r="I195" s="181">
        <v>1</v>
      </c>
      <c r="J195" s="181">
        <v>3</v>
      </c>
      <c r="K195" s="180">
        <v>3</v>
      </c>
      <c r="L195" s="180">
        <v>3</v>
      </c>
      <c r="M195" s="180">
        <v>0</v>
      </c>
      <c r="N195" s="181">
        <v>3</v>
      </c>
      <c r="O195" s="181">
        <v>3</v>
      </c>
      <c r="P195" s="181">
        <v>3</v>
      </c>
      <c r="Q195" s="182">
        <v>1.5</v>
      </c>
      <c r="R195" s="182">
        <v>2</v>
      </c>
      <c r="S195" s="182">
        <v>1</v>
      </c>
      <c r="T195" s="183">
        <f t="array" ref="T195">IF(AND(ISBLANK(F195:S195)),"", SUM(F195:J195)/15*40 + SUM(K195:S195)/27*60)</f>
        <v>72.666666666666671</v>
      </c>
    </row>
    <row r="196" spans="1:20">
      <c r="A196" s="178">
        <v>322</v>
      </c>
      <c r="B196" s="178" t="s">
        <v>2015</v>
      </c>
      <c r="C196" s="178" t="s">
        <v>2016</v>
      </c>
      <c r="D196" s="178" t="s">
        <v>1993</v>
      </c>
      <c r="F196" s="185">
        <v>1</v>
      </c>
      <c r="G196" s="185">
        <v>2</v>
      </c>
      <c r="H196" s="181">
        <v>2</v>
      </c>
      <c r="I196" s="181">
        <v>1</v>
      </c>
      <c r="J196" s="181">
        <v>3</v>
      </c>
      <c r="K196" s="180">
        <v>3</v>
      </c>
      <c r="L196" s="180">
        <v>0</v>
      </c>
      <c r="M196" s="180">
        <v>1</v>
      </c>
      <c r="N196" s="181">
        <v>3</v>
      </c>
      <c r="O196" s="181">
        <v>2</v>
      </c>
      <c r="P196" s="181">
        <v>0</v>
      </c>
      <c r="Q196" s="182">
        <v>0</v>
      </c>
      <c r="R196" s="182">
        <v>2</v>
      </c>
      <c r="S196" s="182">
        <v>1</v>
      </c>
      <c r="T196" s="183">
        <f t="array" ref="T196">IF(AND(ISBLANK(F196:S196)),"", SUM(F196:J196)/15*40 + SUM(K196:S196)/27*60)</f>
        <v>50.666666666666664</v>
      </c>
    </row>
    <row r="197" spans="1:20">
      <c r="A197" s="178">
        <v>179</v>
      </c>
      <c r="B197" s="178" t="s">
        <v>569</v>
      </c>
      <c r="C197" s="178" t="s">
        <v>567</v>
      </c>
      <c r="D197" s="178">
        <v>9</v>
      </c>
      <c r="E197" s="178" t="s">
        <v>568</v>
      </c>
      <c r="F197" s="181">
        <v>2</v>
      </c>
      <c r="G197" s="181">
        <v>1</v>
      </c>
      <c r="H197" s="181">
        <v>2</v>
      </c>
      <c r="I197" s="181">
        <v>0</v>
      </c>
      <c r="J197" s="181">
        <v>2</v>
      </c>
      <c r="K197" s="178">
        <v>0</v>
      </c>
      <c r="L197" s="178">
        <v>3</v>
      </c>
      <c r="M197" s="178">
        <v>0.5</v>
      </c>
      <c r="N197" s="181">
        <v>3</v>
      </c>
      <c r="O197" s="181">
        <v>0</v>
      </c>
      <c r="P197" s="181"/>
      <c r="Q197" s="182">
        <v>0</v>
      </c>
      <c r="R197" s="182"/>
      <c r="S197" s="182"/>
      <c r="T197" s="183">
        <f t="array" ref="T197">IF(AND(ISBLANK(F197:S197)),"", SUM(F197:J197)/15*40 + SUM(K197:S197)/27*60)</f>
        <v>33.111111111111114</v>
      </c>
    </row>
    <row r="198" spans="1:20">
      <c r="A198" s="178">
        <v>330</v>
      </c>
      <c r="C198" s="178" t="s">
        <v>570</v>
      </c>
      <c r="D198" s="178" t="s">
        <v>1993</v>
      </c>
      <c r="F198" s="178">
        <v>2</v>
      </c>
      <c r="G198" s="178">
        <v>2</v>
      </c>
      <c r="H198" s="178">
        <v>2</v>
      </c>
      <c r="I198" s="178">
        <v>0</v>
      </c>
      <c r="J198" s="178">
        <v>3</v>
      </c>
      <c r="K198" s="178">
        <v>0</v>
      </c>
      <c r="L198" s="178">
        <v>0</v>
      </c>
      <c r="M198" s="178">
        <v>1</v>
      </c>
      <c r="N198" s="178">
        <v>1</v>
      </c>
      <c r="O198" s="178">
        <v>0</v>
      </c>
      <c r="P198" s="178">
        <v>0</v>
      </c>
      <c r="Q198" s="178">
        <v>1</v>
      </c>
      <c r="R198" s="178">
        <v>1</v>
      </c>
      <c r="S198" s="178">
        <v>2</v>
      </c>
      <c r="T198" s="183">
        <f t="array" ref="T198">IF(AND(ISBLANK(F198:S198)),"", SUM(F198:J198)/15*40 + SUM(K198:S198)/27*60)</f>
        <v>37.333333333333329</v>
      </c>
    </row>
    <row r="199" spans="1:20">
      <c r="A199" s="178">
        <v>180</v>
      </c>
      <c r="B199" s="178" t="s">
        <v>574</v>
      </c>
      <c r="C199" s="178" t="s">
        <v>572</v>
      </c>
      <c r="D199" s="178">
        <v>3</v>
      </c>
      <c r="E199" s="178" t="s">
        <v>573</v>
      </c>
      <c r="F199" s="185">
        <v>3</v>
      </c>
      <c r="G199" s="185">
        <v>3</v>
      </c>
      <c r="H199" s="181">
        <v>1</v>
      </c>
      <c r="I199" s="181">
        <v>1</v>
      </c>
      <c r="J199" s="181">
        <v>3</v>
      </c>
      <c r="K199" s="180">
        <v>3</v>
      </c>
      <c r="L199" s="180">
        <v>3</v>
      </c>
      <c r="M199" s="180">
        <v>2</v>
      </c>
      <c r="N199" s="181">
        <v>3</v>
      </c>
      <c r="O199" s="181">
        <v>3</v>
      </c>
      <c r="P199" s="181">
        <v>3</v>
      </c>
      <c r="Q199" s="182">
        <v>0.5</v>
      </c>
      <c r="R199" s="182">
        <v>0</v>
      </c>
      <c r="S199" s="182">
        <v>1</v>
      </c>
      <c r="T199" s="183">
        <f t="array" ref="T199">IF(AND(ISBLANK(F199:S199)),"", SUM(F199:J199)/15*40 + SUM(K199:S199)/27*60)</f>
        <v>70.444444444444443</v>
      </c>
    </row>
    <row r="200" spans="1:20">
      <c r="A200" s="178">
        <v>181</v>
      </c>
      <c r="B200" s="178" t="s">
        <v>577</v>
      </c>
      <c r="C200" s="178" t="s">
        <v>2058</v>
      </c>
      <c r="D200" s="178">
        <v>1</v>
      </c>
      <c r="E200" s="178" t="s">
        <v>576</v>
      </c>
      <c r="F200" s="185">
        <v>3</v>
      </c>
      <c r="G200" s="185">
        <v>3</v>
      </c>
      <c r="H200" s="181">
        <v>3</v>
      </c>
      <c r="I200" s="181">
        <v>3</v>
      </c>
      <c r="J200" s="181">
        <v>3</v>
      </c>
      <c r="K200" s="180">
        <v>3</v>
      </c>
      <c r="L200" s="180">
        <v>3</v>
      </c>
      <c r="M200" s="180">
        <v>3</v>
      </c>
      <c r="N200" s="181">
        <v>3</v>
      </c>
      <c r="O200" s="181">
        <v>2</v>
      </c>
      <c r="P200" s="181">
        <v>2</v>
      </c>
      <c r="Q200" s="182">
        <v>3</v>
      </c>
      <c r="R200" s="182">
        <v>3</v>
      </c>
      <c r="S200" s="182">
        <v>3</v>
      </c>
      <c r="T200" s="183">
        <f t="array" ref="T200">IF(AND(ISBLANK(F200:S200)),"", SUM(F200:J200)/15*40 + SUM(K200:S200)/27*60)</f>
        <v>95.555555555555557</v>
      </c>
    </row>
    <row r="201" spans="1:20">
      <c r="A201" s="178">
        <v>182</v>
      </c>
      <c r="B201" s="178" t="s">
        <v>580</v>
      </c>
      <c r="C201" s="178" t="s">
        <v>578</v>
      </c>
      <c r="D201" s="178">
        <v>6</v>
      </c>
      <c r="E201" s="178" t="s">
        <v>579</v>
      </c>
      <c r="F201" s="185">
        <v>2</v>
      </c>
      <c r="G201" s="185">
        <v>2</v>
      </c>
      <c r="H201" s="181">
        <v>2</v>
      </c>
      <c r="I201" s="181">
        <v>0</v>
      </c>
      <c r="J201" s="181">
        <v>2</v>
      </c>
      <c r="K201" s="180">
        <v>3</v>
      </c>
      <c r="L201" s="180">
        <v>3</v>
      </c>
      <c r="M201" s="180">
        <v>1</v>
      </c>
      <c r="N201" s="181">
        <v>1</v>
      </c>
      <c r="O201" s="181">
        <v>2</v>
      </c>
      <c r="P201" s="181">
        <v>2</v>
      </c>
      <c r="Q201" s="182">
        <v>0</v>
      </c>
      <c r="R201" s="182">
        <v>1</v>
      </c>
      <c r="S201" s="182">
        <v>2</v>
      </c>
      <c r="T201" s="183">
        <f t="array" ref="T201">IF(AND(ISBLANK(F201:S201)),"", SUM(F201:J201)/15*40 + SUM(K201:S201)/27*60)</f>
        <v>54.666666666666671</v>
      </c>
    </row>
    <row r="202" spans="1:20">
      <c r="A202" s="178">
        <v>183</v>
      </c>
      <c r="B202" s="178" t="s">
        <v>583</v>
      </c>
      <c r="C202" s="178" t="s">
        <v>581</v>
      </c>
      <c r="D202" s="178">
        <v>10</v>
      </c>
      <c r="E202" s="178" t="s">
        <v>582</v>
      </c>
      <c r="F202" s="181"/>
      <c r="G202" s="181"/>
      <c r="H202" s="181"/>
      <c r="I202" s="181"/>
      <c r="J202" s="181"/>
      <c r="N202" s="181"/>
      <c r="O202" s="181"/>
      <c r="P202" s="181"/>
      <c r="T202" s="183">
        <v>0</v>
      </c>
    </row>
    <row r="203" spans="1:20">
      <c r="A203" s="178">
        <v>184</v>
      </c>
      <c r="B203" s="178" t="s">
        <v>586</v>
      </c>
      <c r="C203" s="178" t="s">
        <v>584</v>
      </c>
      <c r="D203" s="178">
        <v>1</v>
      </c>
      <c r="E203" s="178" t="s">
        <v>585</v>
      </c>
      <c r="F203" s="181">
        <v>2</v>
      </c>
      <c r="G203" s="181">
        <v>2</v>
      </c>
      <c r="H203" s="181">
        <v>2</v>
      </c>
      <c r="I203" s="181">
        <v>1</v>
      </c>
      <c r="J203" s="181">
        <v>2</v>
      </c>
      <c r="K203" s="178">
        <v>3</v>
      </c>
      <c r="L203" s="178">
        <v>3</v>
      </c>
      <c r="M203" s="178">
        <v>3</v>
      </c>
      <c r="N203" s="181">
        <v>3</v>
      </c>
      <c r="O203" s="181">
        <v>3</v>
      </c>
      <c r="P203" s="181">
        <v>0</v>
      </c>
      <c r="Q203" s="182">
        <v>0</v>
      </c>
      <c r="R203" s="182">
        <v>0</v>
      </c>
      <c r="S203" s="182">
        <v>0</v>
      </c>
      <c r="T203" s="183">
        <f t="array" ref="T203">IF(AND(ISBLANK(F203:S203)),"", SUM(F203:J203)/15*40 + SUM(K203:S203)/27*60)</f>
        <v>57.333333333333336</v>
      </c>
    </row>
    <row r="204" spans="1:20">
      <c r="A204" s="178">
        <v>185</v>
      </c>
      <c r="B204" s="178" t="s">
        <v>589</v>
      </c>
      <c r="C204" s="178" t="s">
        <v>587</v>
      </c>
      <c r="D204" s="178">
        <v>1</v>
      </c>
      <c r="E204" s="178" t="s">
        <v>588</v>
      </c>
      <c r="F204" s="180">
        <v>1</v>
      </c>
      <c r="G204" s="180">
        <v>1</v>
      </c>
      <c r="H204" s="178">
        <v>0</v>
      </c>
      <c r="I204" s="178">
        <v>0</v>
      </c>
      <c r="K204" s="180">
        <v>0</v>
      </c>
      <c r="L204" s="180">
        <v>0</v>
      </c>
      <c r="M204" s="180">
        <v>2</v>
      </c>
      <c r="N204" s="178">
        <v>1</v>
      </c>
      <c r="O204" s="178">
        <v>0</v>
      </c>
      <c r="P204" s="178">
        <v>0</v>
      </c>
      <c r="T204" s="183">
        <f t="array" ref="T204">IF(AND(ISBLANK(F204:S204)),"", SUM(F204:J204)/15*40 + SUM(K204:S204)/27*60)</f>
        <v>12</v>
      </c>
    </row>
    <row r="205" spans="1:20">
      <c r="A205" s="178">
        <v>186</v>
      </c>
      <c r="B205" s="178" t="s">
        <v>592</v>
      </c>
      <c r="C205" s="178" t="s">
        <v>590</v>
      </c>
      <c r="D205" s="178">
        <v>4</v>
      </c>
      <c r="E205" s="178" t="s">
        <v>591</v>
      </c>
      <c r="F205" s="185">
        <v>1</v>
      </c>
      <c r="G205" s="185">
        <v>2</v>
      </c>
      <c r="H205" s="181">
        <v>1</v>
      </c>
      <c r="I205" s="181">
        <v>0</v>
      </c>
      <c r="J205" s="181">
        <v>3</v>
      </c>
      <c r="K205" s="180">
        <v>3</v>
      </c>
      <c r="L205" s="180">
        <v>1</v>
      </c>
      <c r="M205" s="180">
        <v>0</v>
      </c>
      <c r="N205" s="181">
        <v>2</v>
      </c>
      <c r="O205" s="181">
        <v>3</v>
      </c>
      <c r="P205" s="181">
        <v>0</v>
      </c>
      <c r="Q205" s="182">
        <v>1</v>
      </c>
      <c r="R205" s="182">
        <v>0</v>
      </c>
      <c r="S205" s="182">
        <v>0</v>
      </c>
      <c r="T205" s="183">
        <f t="array" ref="T205">IF(AND(ISBLANK(F205:S205)),"", SUM(F205:J205)/15*40 + SUM(K205:S205)/27*60)</f>
        <v>40.888888888888886</v>
      </c>
    </row>
    <row r="206" spans="1:20">
      <c r="A206" s="178">
        <v>187</v>
      </c>
      <c r="B206" s="178" t="s">
        <v>595</v>
      </c>
      <c r="C206" s="178" t="s">
        <v>593</v>
      </c>
      <c r="D206" s="178">
        <v>10</v>
      </c>
      <c r="E206" s="178" t="s">
        <v>594</v>
      </c>
      <c r="F206" s="185">
        <v>2</v>
      </c>
      <c r="G206" s="185">
        <v>1</v>
      </c>
      <c r="H206" s="181">
        <v>2</v>
      </c>
      <c r="I206" s="181">
        <v>1</v>
      </c>
      <c r="J206" s="181">
        <v>3</v>
      </c>
      <c r="K206" s="180">
        <v>0</v>
      </c>
      <c r="L206" s="180">
        <v>2</v>
      </c>
      <c r="M206" s="180">
        <v>1</v>
      </c>
      <c r="N206" s="181">
        <v>3</v>
      </c>
      <c r="O206" s="181">
        <v>0</v>
      </c>
      <c r="P206" s="181">
        <v>0</v>
      </c>
      <c r="Q206" s="182">
        <v>0</v>
      </c>
      <c r="R206" s="182">
        <v>0</v>
      </c>
      <c r="S206" s="182"/>
      <c r="T206" s="183">
        <f t="array" ref="T206">IF(AND(ISBLANK(F206:S206)),"", SUM(F206:J206)/15*40 + SUM(K206:S206)/27*60)</f>
        <v>37.333333333333329</v>
      </c>
    </row>
    <row r="207" spans="1:20">
      <c r="A207" s="178">
        <v>323</v>
      </c>
      <c r="B207" s="178" t="s">
        <v>1913</v>
      </c>
      <c r="C207" s="178" t="s">
        <v>1914</v>
      </c>
      <c r="D207" s="178" t="s">
        <v>1993</v>
      </c>
      <c r="F207" s="185">
        <v>1</v>
      </c>
      <c r="G207" s="185">
        <v>2</v>
      </c>
      <c r="H207" s="181">
        <v>2</v>
      </c>
      <c r="I207" s="181">
        <v>1</v>
      </c>
      <c r="J207" s="181">
        <v>0</v>
      </c>
      <c r="K207" s="180">
        <v>3</v>
      </c>
      <c r="L207" s="180">
        <v>2</v>
      </c>
      <c r="M207" s="180">
        <v>2</v>
      </c>
      <c r="N207" s="181">
        <v>1</v>
      </c>
      <c r="O207" s="181">
        <v>1</v>
      </c>
      <c r="P207" s="181">
        <v>1</v>
      </c>
      <c r="Q207" s="182">
        <v>0</v>
      </c>
      <c r="R207" s="182"/>
      <c r="S207" s="182"/>
      <c r="T207" s="183">
        <f t="array" ref="T207">IF(AND(ISBLANK(F207:S207)),"", SUM(F207:J207)/15*40 + SUM(K207:S207)/27*60)</f>
        <v>38.222222222222221</v>
      </c>
    </row>
    <row r="208" spans="1:20">
      <c r="A208" s="178">
        <v>188</v>
      </c>
      <c r="B208" s="178" t="s">
        <v>598</v>
      </c>
      <c r="C208" s="178" t="s">
        <v>596</v>
      </c>
      <c r="D208" s="178">
        <v>6</v>
      </c>
      <c r="E208" s="178" t="s">
        <v>597</v>
      </c>
      <c r="F208" s="185">
        <v>2</v>
      </c>
      <c r="G208" s="185">
        <v>0</v>
      </c>
      <c r="H208" s="181">
        <v>1</v>
      </c>
      <c r="I208" s="181">
        <v>0</v>
      </c>
      <c r="J208" s="181"/>
      <c r="K208" s="180">
        <v>0</v>
      </c>
      <c r="L208" s="180">
        <v>0</v>
      </c>
      <c r="M208" s="180">
        <v>0</v>
      </c>
      <c r="N208" s="181">
        <v>3</v>
      </c>
      <c r="O208" s="181">
        <v>0</v>
      </c>
      <c r="P208" s="181">
        <v>0</v>
      </c>
      <c r="Q208" s="182"/>
      <c r="R208" s="182"/>
      <c r="S208" s="182"/>
      <c r="T208" s="183">
        <f t="array" ref="T208">IF(AND(ISBLANK(F208:S208)),"", SUM(F208:J208)/15*40 + SUM(K208:S208)/27*60)</f>
        <v>14.666666666666666</v>
      </c>
    </row>
    <row r="209" spans="1:20">
      <c r="A209" s="178">
        <v>189</v>
      </c>
      <c r="B209" s="178" t="s">
        <v>601</v>
      </c>
      <c r="C209" s="178" t="s">
        <v>599</v>
      </c>
      <c r="D209" s="178">
        <v>1</v>
      </c>
      <c r="E209" s="178" t="s">
        <v>600</v>
      </c>
      <c r="F209" s="185">
        <v>2</v>
      </c>
      <c r="G209" s="185">
        <v>2</v>
      </c>
      <c r="H209" s="181">
        <v>3</v>
      </c>
      <c r="I209" s="181">
        <v>1</v>
      </c>
      <c r="J209" s="181">
        <v>0</v>
      </c>
      <c r="K209" s="180">
        <v>3</v>
      </c>
      <c r="L209" s="180">
        <v>3</v>
      </c>
      <c r="M209" s="180">
        <v>3</v>
      </c>
      <c r="N209" s="181">
        <v>3</v>
      </c>
      <c r="O209" s="181">
        <v>3</v>
      </c>
      <c r="P209" s="181">
        <v>2</v>
      </c>
      <c r="Q209" s="182">
        <v>3</v>
      </c>
      <c r="R209" s="182">
        <v>3</v>
      </c>
      <c r="S209" s="182">
        <v>3</v>
      </c>
      <c r="T209" s="183">
        <f t="array" ref="T209">IF(AND(ISBLANK(F209:S209)),"", SUM(F209:J209)/15*40 + SUM(K209:S209)/27*60)</f>
        <v>79.1111111111111</v>
      </c>
    </row>
    <row r="210" spans="1:20">
      <c r="A210" s="178">
        <v>190</v>
      </c>
      <c r="B210" s="178" t="s">
        <v>604</v>
      </c>
      <c r="C210" s="178" t="s">
        <v>602</v>
      </c>
      <c r="D210" s="178">
        <v>4</v>
      </c>
      <c r="E210" s="178" t="s">
        <v>603</v>
      </c>
      <c r="F210" s="181"/>
      <c r="G210" s="181"/>
      <c r="H210" s="181"/>
      <c r="I210" s="181"/>
      <c r="J210" s="181"/>
      <c r="N210" s="181"/>
      <c r="O210" s="181"/>
      <c r="P210" s="181"/>
      <c r="Q210" s="182"/>
      <c r="R210" s="182"/>
      <c r="S210" s="182"/>
      <c r="T210" s="183">
        <v>0</v>
      </c>
    </row>
    <row r="211" spans="1:20">
      <c r="A211" s="178">
        <v>191</v>
      </c>
      <c r="B211" s="178" t="s">
        <v>607</v>
      </c>
      <c r="C211" s="178" t="s">
        <v>605</v>
      </c>
      <c r="D211" s="178">
        <v>5</v>
      </c>
      <c r="E211" s="178" t="s">
        <v>606</v>
      </c>
      <c r="F211" s="185">
        <v>2</v>
      </c>
      <c r="G211" s="185">
        <v>1</v>
      </c>
      <c r="H211" s="181">
        <v>1</v>
      </c>
      <c r="I211" s="181">
        <v>1</v>
      </c>
      <c r="J211" s="181">
        <v>3</v>
      </c>
      <c r="K211" s="180">
        <v>0</v>
      </c>
      <c r="L211" s="180">
        <v>3</v>
      </c>
      <c r="M211" s="180">
        <v>1</v>
      </c>
      <c r="N211" s="181">
        <v>3</v>
      </c>
      <c r="O211" s="181">
        <v>3</v>
      </c>
      <c r="P211" s="181">
        <v>0</v>
      </c>
      <c r="Q211" s="182">
        <v>0.5</v>
      </c>
      <c r="R211" s="182"/>
      <c r="S211" s="182"/>
      <c r="T211" s="183">
        <f t="array" ref="T211">IF(AND(ISBLANK(F211:S211)),"", SUM(F211:J211)/15*40 + SUM(K211:S211)/27*60)</f>
        <v>44.666666666666664</v>
      </c>
    </row>
    <row r="212" spans="1:20">
      <c r="A212" s="178">
        <v>192</v>
      </c>
      <c r="B212" s="178" t="s">
        <v>610</v>
      </c>
      <c r="C212" s="178" t="s">
        <v>608</v>
      </c>
      <c r="D212" s="178">
        <v>7</v>
      </c>
      <c r="E212" s="178" t="s">
        <v>609</v>
      </c>
      <c r="F212" s="185">
        <v>2</v>
      </c>
      <c r="G212" s="185">
        <v>3</v>
      </c>
      <c r="H212" s="181">
        <v>3</v>
      </c>
      <c r="I212" s="181">
        <v>0</v>
      </c>
      <c r="J212" s="181">
        <v>3</v>
      </c>
      <c r="K212" s="180">
        <v>3</v>
      </c>
      <c r="L212" s="180">
        <v>3</v>
      </c>
      <c r="M212" s="180">
        <v>2</v>
      </c>
      <c r="N212" s="181">
        <v>3</v>
      </c>
      <c r="O212" s="181">
        <v>3</v>
      </c>
      <c r="P212" s="181">
        <v>0</v>
      </c>
      <c r="Q212" s="182">
        <v>3</v>
      </c>
      <c r="R212" s="182">
        <v>1</v>
      </c>
      <c r="S212" s="182">
        <v>1</v>
      </c>
      <c r="T212" s="183">
        <f t="array" ref="T212">IF(AND(ISBLANK(F212:S212)),"", SUM(F212:J212)/15*40 + SUM(K212:S212)/27*60)</f>
        <v>71.555555555555557</v>
      </c>
    </row>
    <row r="213" spans="1:20">
      <c r="A213" s="178">
        <v>193</v>
      </c>
      <c r="B213" s="178" t="s">
        <v>613</v>
      </c>
      <c r="C213" s="178" t="s">
        <v>611</v>
      </c>
      <c r="D213" s="178">
        <v>11</v>
      </c>
      <c r="E213" s="178" t="s">
        <v>612</v>
      </c>
      <c r="F213" s="185">
        <v>2</v>
      </c>
      <c r="G213" s="185">
        <v>2</v>
      </c>
      <c r="H213" s="181">
        <v>3</v>
      </c>
      <c r="I213" s="181">
        <v>2</v>
      </c>
      <c r="J213" s="181">
        <v>3</v>
      </c>
      <c r="K213" s="180">
        <v>3</v>
      </c>
      <c r="L213" s="180">
        <v>3</v>
      </c>
      <c r="M213" s="180">
        <v>2</v>
      </c>
      <c r="N213" s="181">
        <v>3</v>
      </c>
      <c r="O213" s="181">
        <v>3</v>
      </c>
      <c r="P213" s="181">
        <v>2</v>
      </c>
      <c r="Q213" s="182">
        <v>3</v>
      </c>
      <c r="R213" s="182">
        <v>2</v>
      </c>
      <c r="S213" s="182">
        <v>2</v>
      </c>
      <c r="T213" s="183">
        <f t="array" ref="T213">IF(AND(ISBLANK(F213:S213)),"", SUM(F213:J213)/15*40 + SUM(K213:S213)/27*60)</f>
        <v>83.111111111111114</v>
      </c>
    </row>
    <row r="214" spans="1:20">
      <c r="A214" s="178">
        <v>194</v>
      </c>
      <c r="B214" s="178" t="s">
        <v>616</v>
      </c>
      <c r="C214" s="178" t="s">
        <v>614</v>
      </c>
      <c r="D214" s="178">
        <v>2</v>
      </c>
      <c r="E214" s="178" t="s">
        <v>615</v>
      </c>
      <c r="F214" s="185">
        <v>2</v>
      </c>
      <c r="G214" s="185">
        <v>3</v>
      </c>
      <c r="H214" s="181">
        <v>2</v>
      </c>
      <c r="I214" s="181">
        <v>2</v>
      </c>
      <c r="J214" s="181">
        <v>3</v>
      </c>
      <c r="K214" s="180">
        <v>3</v>
      </c>
      <c r="L214" s="180">
        <v>3</v>
      </c>
      <c r="M214" s="180">
        <v>2</v>
      </c>
      <c r="N214" s="181">
        <v>1</v>
      </c>
      <c r="O214" s="181">
        <v>3</v>
      </c>
      <c r="P214" s="181">
        <v>0</v>
      </c>
      <c r="Q214" s="182">
        <v>3</v>
      </c>
      <c r="R214" s="182">
        <v>3</v>
      </c>
      <c r="S214" s="182">
        <v>0</v>
      </c>
      <c r="T214" s="183">
        <f t="array" ref="T214">IF(AND(ISBLANK(F214:S214)),"", SUM(F214:J214)/15*40 + SUM(K214:S214)/27*60)</f>
        <v>72</v>
      </c>
    </row>
    <row r="215" spans="1:20">
      <c r="A215" s="178">
        <v>195</v>
      </c>
      <c r="B215" s="178" t="s">
        <v>619</v>
      </c>
      <c r="C215" s="178" t="s">
        <v>617</v>
      </c>
      <c r="D215" s="178">
        <v>9</v>
      </c>
      <c r="E215" s="178" t="s">
        <v>618</v>
      </c>
      <c r="F215" s="185">
        <v>1</v>
      </c>
      <c r="G215" s="185">
        <v>2</v>
      </c>
      <c r="H215" s="181">
        <v>3</v>
      </c>
      <c r="I215" s="181">
        <v>1</v>
      </c>
      <c r="J215" s="181">
        <v>3</v>
      </c>
      <c r="K215" s="180">
        <v>0</v>
      </c>
      <c r="L215" s="180">
        <v>0</v>
      </c>
      <c r="M215" s="180">
        <v>0</v>
      </c>
      <c r="N215" s="181">
        <v>3</v>
      </c>
      <c r="O215" s="181">
        <v>3</v>
      </c>
      <c r="P215" s="181">
        <v>0</v>
      </c>
      <c r="Q215" s="182">
        <v>0.5</v>
      </c>
      <c r="R215" s="182">
        <v>2</v>
      </c>
      <c r="S215" s="182">
        <v>2</v>
      </c>
      <c r="T215" s="183">
        <f t="array" ref="T215">IF(AND(ISBLANK(F215:S215)),"", SUM(F215:J215)/15*40 + SUM(K215:S215)/27*60)</f>
        <v>50</v>
      </c>
    </row>
    <row r="216" spans="1:20">
      <c r="A216" s="178">
        <v>324</v>
      </c>
      <c r="B216" s="178" t="s">
        <v>1887</v>
      </c>
      <c r="C216" s="178" t="s">
        <v>1841</v>
      </c>
      <c r="D216" s="178" t="s">
        <v>1993</v>
      </c>
      <c r="F216" s="181"/>
      <c r="G216" s="181"/>
      <c r="H216" s="181"/>
      <c r="I216" s="181"/>
      <c r="J216" s="181"/>
      <c r="N216" s="181"/>
      <c r="O216" s="181"/>
      <c r="P216" s="181"/>
      <c r="T216" s="183">
        <v>0</v>
      </c>
    </row>
    <row r="217" spans="1:20">
      <c r="A217" s="178">
        <v>196</v>
      </c>
      <c r="B217" s="178" t="s">
        <v>622</v>
      </c>
      <c r="C217" s="178" t="s">
        <v>620</v>
      </c>
      <c r="D217" s="178">
        <v>9</v>
      </c>
      <c r="E217" s="178" t="s">
        <v>621</v>
      </c>
      <c r="F217" s="185">
        <v>2</v>
      </c>
      <c r="G217" s="185">
        <v>3</v>
      </c>
      <c r="H217" s="181">
        <v>3</v>
      </c>
      <c r="I217" s="181">
        <v>1</v>
      </c>
      <c r="J217" s="181">
        <v>3</v>
      </c>
      <c r="K217" s="180">
        <v>3</v>
      </c>
      <c r="L217" s="180">
        <v>3</v>
      </c>
      <c r="M217" s="180">
        <v>2</v>
      </c>
      <c r="N217" s="181">
        <v>3</v>
      </c>
      <c r="O217" s="181">
        <v>3</v>
      </c>
      <c r="P217" s="181">
        <v>0</v>
      </c>
      <c r="Q217" s="182">
        <v>1</v>
      </c>
      <c r="R217" s="182">
        <v>1</v>
      </c>
      <c r="S217" s="182">
        <v>2</v>
      </c>
      <c r="T217" s="183">
        <f t="array" ref="T217">IF(AND(ISBLANK(F217:S217)),"", SUM(F217:J217)/15*40 + SUM(K217:S217)/27*60)</f>
        <v>72</v>
      </c>
    </row>
    <row r="218" spans="1:20">
      <c r="A218" s="178">
        <v>197</v>
      </c>
      <c r="B218" s="178" t="s">
        <v>625</v>
      </c>
      <c r="C218" s="178" t="s">
        <v>623</v>
      </c>
      <c r="D218" s="178">
        <v>11</v>
      </c>
      <c r="E218" s="178" t="s">
        <v>624</v>
      </c>
      <c r="F218" s="185">
        <v>2</v>
      </c>
      <c r="G218" s="185">
        <v>1</v>
      </c>
      <c r="H218" s="181">
        <v>3</v>
      </c>
      <c r="I218" s="181">
        <v>0</v>
      </c>
      <c r="J218" s="181">
        <v>2</v>
      </c>
      <c r="K218" s="180">
        <v>3</v>
      </c>
      <c r="L218" s="180">
        <v>3</v>
      </c>
      <c r="M218" s="180">
        <v>2</v>
      </c>
      <c r="N218" s="181">
        <v>1</v>
      </c>
      <c r="O218" s="181">
        <v>2</v>
      </c>
      <c r="P218" s="181">
        <v>0</v>
      </c>
      <c r="Q218" s="182">
        <v>0.5</v>
      </c>
      <c r="R218" s="182">
        <v>1</v>
      </c>
      <c r="S218" s="182">
        <v>1</v>
      </c>
      <c r="T218" s="183">
        <f t="array" ref="T218">IF(AND(ISBLANK(F218:S218)),"", SUM(F218:J218)/15*40 + SUM(K218:S218)/27*60)</f>
        <v>51.333333333333329</v>
      </c>
    </row>
    <row r="219" spans="1:20">
      <c r="A219" s="178">
        <v>198</v>
      </c>
      <c r="B219" s="178" t="s">
        <v>628</v>
      </c>
      <c r="C219" s="178" t="s">
        <v>1610</v>
      </c>
      <c r="D219" s="178">
        <v>3</v>
      </c>
      <c r="E219" s="178" t="s">
        <v>627</v>
      </c>
      <c r="F219" s="185">
        <v>3</v>
      </c>
      <c r="G219" s="185">
        <v>3</v>
      </c>
      <c r="H219" s="181">
        <v>3</v>
      </c>
      <c r="I219" s="181">
        <v>2</v>
      </c>
      <c r="J219" s="181">
        <v>3</v>
      </c>
      <c r="K219" s="180">
        <v>3</v>
      </c>
      <c r="L219" s="180">
        <v>3</v>
      </c>
      <c r="M219" s="180">
        <v>2</v>
      </c>
      <c r="N219" s="181">
        <v>1</v>
      </c>
      <c r="O219" s="181">
        <v>2</v>
      </c>
      <c r="P219" s="181">
        <v>0</v>
      </c>
      <c r="Q219" s="182">
        <v>3</v>
      </c>
      <c r="R219" s="182">
        <v>3</v>
      </c>
      <c r="S219" s="182">
        <v>2</v>
      </c>
      <c r="T219" s="183">
        <f t="array" ref="T219">IF(AND(ISBLANK(F219:S219)),"", SUM(F219:J219)/15*40 + SUM(K219:S219)/27*60)</f>
        <v>79.555555555555557</v>
      </c>
    </row>
    <row r="220" spans="1:20">
      <c r="A220" s="178">
        <v>199</v>
      </c>
      <c r="B220" s="178" t="s">
        <v>631</v>
      </c>
      <c r="C220" s="178" t="s">
        <v>629</v>
      </c>
      <c r="D220" s="178">
        <v>6</v>
      </c>
      <c r="E220" s="178" t="s">
        <v>630</v>
      </c>
      <c r="F220" s="185">
        <v>1</v>
      </c>
      <c r="G220" s="185">
        <v>0</v>
      </c>
      <c r="H220" s="181">
        <v>3</v>
      </c>
      <c r="I220" s="181">
        <v>1</v>
      </c>
      <c r="J220" s="181">
        <v>0</v>
      </c>
      <c r="K220" s="180">
        <v>2.75</v>
      </c>
      <c r="L220" s="180">
        <v>1</v>
      </c>
      <c r="M220" s="180">
        <v>1</v>
      </c>
      <c r="N220" s="181">
        <v>1</v>
      </c>
      <c r="O220" s="181">
        <v>2</v>
      </c>
      <c r="P220" s="181">
        <v>0</v>
      </c>
      <c r="Q220" s="182">
        <v>0.5</v>
      </c>
      <c r="R220" s="182">
        <v>0</v>
      </c>
      <c r="S220" s="182">
        <v>0</v>
      </c>
      <c r="T220" s="183">
        <f t="array" ref="T220">IF(AND(ISBLANK(F220:S220)),"", SUM(F220:J220)/15*40 + SUM(K220:S220)/27*60)</f>
        <v>31.666666666666668</v>
      </c>
    </row>
    <row r="221" spans="1:20">
      <c r="A221" s="178">
        <v>200</v>
      </c>
      <c r="B221" s="178" t="s">
        <v>634</v>
      </c>
      <c r="C221" s="178" t="s">
        <v>632</v>
      </c>
      <c r="D221" s="178">
        <v>3</v>
      </c>
      <c r="E221" s="178" t="s">
        <v>633</v>
      </c>
      <c r="F221" s="185">
        <v>3</v>
      </c>
      <c r="G221" s="185">
        <v>3</v>
      </c>
      <c r="H221" s="181">
        <v>3</v>
      </c>
      <c r="I221" s="181">
        <v>2</v>
      </c>
      <c r="J221" s="181">
        <v>3</v>
      </c>
      <c r="K221" s="180">
        <v>3</v>
      </c>
      <c r="L221" s="180">
        <v>1</v>
      </c>
      <c r="M221" s="180">
        <v>3</v>
      </c>
      <c r="N221" s="181">
        <v>3</v>
      </c>
      <c r="O221" s="181">
        <v>3</v>
      </c>
      <c r="P221" s="181">
        <v>2</v>
      </c>
      <c r="Q221" s="182">
        <v>3</v>
      </c>
      <c r="R221" s="182">
        <v>3</v>
      </c>
      <c r="S221" s="182">
        <v>3</v>
      </c>
      <c r="T221" s="183">
        <f t="array" ref="T221">IF(AND(ISBLANK(F221:S221)),"", SUM(F221:J221)/15*40 + SUM(K221:S221)/27*60)</f>
        <v>90.666666666666657</v>
      </c>
    </row>
    <row r="222" spans="1:20">
      <c r="A222" s="178">
        <v>201</v>
      </c>
      <c r="B222" s="178" t="s">
        <v>637</v>
      </c>
      <c r="C222" s="178" t="s">
        <v>635</v>
      </c>
      <c r="D222" s="178">
        <v>6</v>
      </c>
      <c r="E222" s="178" t="s">
        <v>636</v>
      </c>
      <c r="F222" s="180">
        <v>3</v>
      </c>
      <c r="G222" s="180">
        <v>1</v>
      </c>
      <c r="H222" s="178">
        <v>3</v>
      </c>
      <c r="I222" s="178">
        <v>1</v>
      </c>
      <c r="J222" s="178">
        <v>3</v>
      </c>
      <c r="K222" s="180">
        <v>3</v>
      </c>
      <c r="L222" s="180">
        <v>3</v>
      </c>
      <c r="M222" s="180">
        <v>3</v>
      </c>
      <c r="N222" s="178">
        <v>3</v>
      </c>
      <c r="O222" s="178">
        <v>3</v>
      </c>
      <c r="P222" s="178">
        <v>3</v>
      </c>
      <c r="Q222" s="178">
        <v>3</v>
      </c>
      <c r="R222" s="178">
        <v>3</v>
      </c>
      <c r="S222" s="178">
        <v>2</v>
      </c>
      <c r="T222" s="183">
        <f t="array" ref="T222">IF(AND(ISBLANK(F222:S222)),"", SUM(F222:J222)/15*40 + SUM(K222:S222)/27*60)</f>
        <v>87.1111111111111</v>
      </c>
    </row>
    <row r="223" spans="1:20">
      <c r="A223" s="178">
        <v>202</v>
      </c>
      <c r="B223" s="178" t="s">
        <v>640</v>
      </c>
      <c r="C223" s="178" t="s">
        <v>638</v>
      </c>
      <c r="D223" s="178">
        <v>10</v>
      </c>
      <c r="E223" s="178" t="s">
        <v>639</v>
      </c>
      <c r="F223" s="185">
        <v>2</v>
      </c>
      <c r="G223" s="185">
        <v>1</v>
      </c>
      <c r="H223" s="181">
        <v>0</v>
      </c>
      <c r="I223" s="181">
        <v>1</v>
      </c>
      <c r="J223" s="181">
        <v>3</v>
      </c>
      <c r="K223" s="180">
        <v>3</v>
      </c>
      <c r="L223" s="180">
        <v>3</v>
      </c>
      <c r="M223" s="180">
        <v>0</v>
      </c>
      <c r="N223" s="181">
        <v>2</v>
      </c>
      <c r="O223" s="181">
        <v>1</v>
      </c>
      <c r="P223" s="181">
        <v>1</v>
      </c>
      <c r="Q223" s="182">
        <v>2.5</v>
      </c>
      <c r="R223" s="182">
        <v>0</v>
      </c>
      <c r="S223" s="182"/>
      <c r="T223" s="183">
        <f t="array" ref="T223">IF(AND(ISBLANK(F223:S223)),"", SUM(F223:J223)/15*40 + SUM(K223:S223)/27*60)</f>
        <v>46.444444444444443</v>
      </c>
    </row>
    <row r="224" spans="1:20">
      <c r="A224" s="178">
        <v>325</v>
      </c>
      <c r="B224" s="178" t="s">
        <v>1854</v>
      </c>
      <c r="C224" s="178" t="s">
        <v>1858</v>
      </c>
      <c r="D224" s="178" t="s">
        <v>1993</v>
      </c>
      <c r="F224" s="181"/>
      <c r="G224" s="181"/>
      <c r="H224" s="181"/>
      <c r="I224" s="181"/>
      <c r="J224" s="181"/>
      <c r="N224" s="181"/>
      <c r="O224" s="181"/>
      <c r="P224" s="181"/>
      <c r="Q224" s="182"/>
      <c r="R224" s="182"/>
      <c r="S224" s="182"/>
      <c r="T224" s="183">
        <v>0</v>
      </c>
    </row>
    <row r="225" spans="1:20">
      <c r="A225" s="178">
        <v>203</v>
      </c>
      <c r="B225" s="178" t="s">
        <v>643</v>
      </c>
      <c r="C225" s="178" t="s">
        <v>641</v>
      </c>
      <c r="D225" s="178">
        <v>2</v>
      </c>
      <c r="E225" s="178" t="s">
        <v>642</v>
      </c>
      <c r="F225" s="181">
        <v>1</v>
      </c>
      <c r="G225" s="181">
        <v>2</v>
      </c>
      <c r="H225" s="181">
        <v>3</v>
      </c>
      <c r="I225" s="181">
        <v>1</v>
      </c>
      <c r="J225" s="181">
        <v>3</v>
      </c>
      <c r="K225" s="178">
        <v>3</v>
      </c>
      <c r="L225" s="178">
        <v>3</v>
      </c>
      <c r="M225" s="178">
        <v>2.5</v>
      </c>
      <c r="N225" s="181">
        <v>2</v>
      </c>
      <c r="O225" s="181">
        <v>3</v>
      </c>
      <c r="P225" s="181">
        <v>3</v>
      </c>
      <c r="Q225" s="182">
        <v>3</v>
      </c>
      <c r="R225" s="182">
        <v>1</v>
      </c>
      <c r="S225" s="182">
        <v>2</v>
      </c>
      <c r="T225" s="183">
        <f t="array" ref="T225">IF(AND(ISBLANK(F225:S225)),"", SUM(F225:J225)/15*40 + SUM(K225:S225)/27*60)</f>
        <v>76.666666666666657</v>
      </c>
    </row>
    <row r="226" spans="1:20">
      <c r="A226" s="178">
        <v>204</v>
      </c>
      <c r="B226" s="178" t="s">
        <v>646</v>
      </c>
      <c r="C226" s="178" t="s">
        <v>644</v>
      </c>
      <c r="D226" s="178">
        <v>8</v>
      </c>
      <c r="E226" s="178" t="s">
        <v>645</v>
      </c>
      <c r="F226" s="185">
        <v>1</v>
      </c>
      <c r="G226" s="185">
        <v>3</v>
      </c>
      <c r="H226" s="181">
        <v>3</v>
      </c>
      <c r="I226" s="181">
        <v>1</v>
      </c>
      <c r="J226" s="181">
        <v>3</v>
      </c>
      <c r="K226" s="180">
        <v>2.25</v>
      </c>
      <c r="L226" s="180">
        <v>3</v>
      </c>
      <c r="M226" s="180">
        <v>1</v>
      </c>
      <c r="N226" s="181">
        <v>3</v>
      </c>
      <c r="O226" s="181">
        <v>3</v>
      </c>
      <c r="P226" s="181">
        <v>2</v>
      </c>
      <c r="Q226" s="182">
        <v>1</v>
      </c>
      <c r="R226" s="182">
        <v>2</v>
      </c>
      <c r="S226" s="182">
        <v>1</v>
      </c>
      <c r="T226" s="183">
        <f t="array" ref="T226">IF(AND(ISBLANK(F226:S226)),"", SUM(F226:J226)/15*40 + SUM(K226:S226)/27*60)</f>
        <v>69.888888888888886</v>
      </c>
    </row>
    <row r="227" spans="1:20">
      <c r="A227" s="178">
        <v>205</v>
      </c>
      <c r="B227" s="178" t="s">
        <v>649</v>
      </c>
      <c r="C227" s="178" t="s">
        <v>647</v>
      </c>
      <c r="D227" s="178">
        <v>2</v>
      </c>
      <c r="E227" s="178" t="s">
        <v>648</v>
      </c>
      <c r="F227" s="185">
        <v>3</v>
      </c>
      <c r="G227" s="185">
        <v>3</v>
      </c>
      <c r="H227" s="181">
        <v>2</v>
      </c>
      <c r="I227" s="181">
        <v>1</v>
      </c>
      <c r="J227" s="181">
        <v>3</v>
      </c>
      <c r="K227" s="180">
        <v>3</v>
      </c>
      <c r="L227" s="180">
        <v>3</v>
      </c>
      <c r="M227" s="180">
        <v>3</v>
      </c>
      <c r="N227" s="181">
        <v>2</v>
      </c>
      <c r="O227" s="181">
        <v>2</v>
      </c>
      <c r="P227" s="181">
        <v>2</v>
      </c>
      <c r="Q227" s="182">
        <v>1</v>
      </c>
      <c r="R227" s="182">
        <v>2</v>
      </c>
      <c r="S227" s="182">
        <v>3</v>
      </c>
      <c r="T227" s="183">
        <f t="array" ref="T227">IF(AND(ISBLANK(F227:S227)),"", SUM(F227:J227)/15*40 + SUM(K227:S227)/27*60)</f>
        <v>78.666666666666657</v>
      </c>
    </row>
    <row r="228" spans="1:20">
      <c r="A228" s="178">
        <v>206</v>
      </c>
      <c r="B228" s="178" t="s">
        <v>652</v>
      </c>
      <c r="C228" s="178" t="s">
        <v>650</v>
      </c>
      <c r="D228" s="178">
        <v>8</v>
      </c>
      <c r="E228" s="178" t="s">
        <v>651</v>
      </c>
      <c r="F228" s="185">
        <v>1</v>
      </c>
      <c r="G228" s="185">
        <v>1</v>
      </c>
      <c r="H228" s="181">
        <v>1</v>
      </c>
      <c r="I228" s="181">
        <v>1</v>
      </c>
      <c r="J228" s="181">
        <v>1</v>
      </c>
      <c r="K228" s="180">
        <v>3</v>
      </c>
      <c r="L228" s="180">
        <v>1</v>
      </c>
      <c r="M228" s="180">
        <v>1</v>
      </c>
      <c r="N228" s="181">
        <v>1</v>
      </c>
      <c r="O228" s="181">
        <v>1</v>
      </c>
      <c r="P228" s="181">
        <v>0</v>
      </c>
      <c r="Q228" s="182">
        <v>2</v>
      </c>
      <c r="R228" s="182"/>
      <c r="S228" s="182"/>
      <c r="T228" s="183">
        <f t="array" ref="T228">IF(AND(ISBLANK(F228:S228)),"", SUM(F228:J228)/15*40 + SUM(K228:S228)/27*60)</f>
        <v>33.333333333333329</v>
      </c>
    </row>
    <row r="229" spans="1:20">
      <c r="A229" s="178">
        <v>207</v>
      </c>
      <c r="B229" s="178" t="s">
        <v>655</v>
      </c>
      <c r="C229" s="178" t="s">
        <v>653</v>
      </c>
      <c r="D229" s="178">
        <v>4</v>
      </c>
      <c r="E229" s="178" t="s">
        <v>654</v>
      </c>
      <c r="F229" s="185">
        <v>2</v>
      </c>
      <c r="G229" s="185">
        <v>0</v>
      </c>
      <c r="H229" s="181">
        <v>1</v>
      </c>
      <c r="I229" s="181">
        <v>0</v>
      </c>
      <c r="J229" s="181">
        <v>3</v>
      </c>
      <c r="K229" s="180">
        <v>2.5</v>
      </c>
      <c r="L229" s="180">
        <v>1</v>
      </c>
      <c r="M229" s="180">
        <v>3</v>
      </c>
      <c r="N229" s="181">
        <v>1</v>
      </c>
      <c r="O229" s="181">
        <v>0</v>
      </c>
      <c r="P229" s="181">
        <v>0</v>
      </c>
      <c r="Q229" s="182">
        <v>0</v>
      </c>
      <c r="R229" s="182"/>
      <c r="S229" s="182"/>
      <c r="T229" s="183">
        <f t="array" ref="T229">IF(AND(ISBLANK(F229:S229)),"", SUM(F229:J229)/15*40 + SUM(K229:S229)/27*60)</f>
        <v>32.666666666666671</v>
      </c>
    </row>
    <row r="230" spans="1:20">
      <c r="A230" s="178">
        <v>208</v>
      </c>
      <c r="B230" s="178" t="s">
        <v>658</v>
      </c>
      <c r="C230" s="178" t="s">
        <v>656</v>
      </c>
      <c r="D230" s="178">
        <v>9</v>
      </c>
      <c r="E230" s="178" t="s">
        <v>657</v>
      </c>
      <c r="F230" s="185">
        <v>1</v>
      </c>
      <c r="G230" s="185">
        <v>1</v>
      </c>
      <c r="H230" s="181">
        <v>3</v>
      </c>
      <c r="I230" s="181">
        <v>0</v>
      </c>
      <c r="J230" s="181">
        <v>3</v>
      </c>
      <c r="K230" s="180">
        <v>3</v>
      </c>
      <c r="L230" s="180">
        <v>0</v>
      </c>
      <c r="M230" s="180">
        <v>2</v>
      </c>
      <c r="N230" s="181">
        <v>3</v>
      </c>
      <c r="O230" s="181">
        <v>3</v>
      </c>
      <c r="P230" s="181">
        <v>0</v>
      </c>
      <c r="Q230" s="182">
        <v>0</v>
      </c>
      <c r="R230" s="182">
        <v>2</v>
      </c>
      <c r="S230" s="182">
        <v>3</v>
      </c>
      <c r="T230" s="183">
        <f t="array" ref="T230">IF(AND(ISBLANK(F230:S230)),"", SUM(F230:J230)/15*40 + SUM(K230:S230)/27*60)</f>
        <v>56.888888888888886</v>
      </c>
    </row>
    <row r="231" spans="1:20">
      <c r="A231" s="178">
        <v>209</v>
      </c>
      <c r="B231" s="178" t="s">
        <v>661</v>
      </c>
      <c r="C231" s="178" t="s">
        <v>659</v>
      </c>
      <c r="D231" s="178">
        <v>9</v>
      </c>
      <c r="E231" s="178" t="s">
        <v>660</v>
      </c>
      <c r="F231" s="180">
        <v>3</v>
      </c>
      <c r="G231" s="180">
        <v>2</v>
      </c>
      <c r="H231" s="178">
        <v>3</v>
      </c>
      <c r="I231" s="178">
        <v>2</v>
      </c>
      <c r="K231" s="180">
        <v>3</v>
      </c>
      <c r="L231" s="180">
        <v>3</v>
      </c>
      <c r="M231" s="180">
        <v>2</v>
      </c>
      <c r="N231" s="178">
        <v>2</v>
      </c>
      <c r="O231" s="178">
        <v>3</v>
      </c>
      <c r="P231" s="178">
        <v>0</v>
      </c>
      <c r="Q231" s="178">
        <v>0</v>
      </c>
      <c r="R231" s="178">
        <v>1</v>
      </c>
      <c r="S231" s="178">
        <v>2</v>
      </c>
      <c r="T231" s="183">
        <f t="array" ref="T231">IF(AND(ISBLANK(F231:S231)),"", SUM(F231:J231)/15*40 + SUM(K231:S231)/27*60)</f>
        <v>62.222222222222221</v>
      </c>
    </row>
    <row r="232" spans="1:20">
      <c r="A232" s="178">
        <v>210</v>
      </c>
      <c r="B232" s="178" t="s">
        <v>664</v>
      </c>
      <c r="C232" s="178" t="s">
        <v>662</v>
      </c>
      <c r="D232" s="178">
        <v>3</v>
      </c>
      <c r="E232" s="178" t="s">
        <v>663</v>
      </c>
      <c r="F232" s="186">
        <v>3</v>
      </c>
      <c r="G232" s="186">
        <v>3</v>
      </c>
      <c r="H232" s="187">
        <v>2</v>
      </c>
      <c r="I232" s="187">
        <v>3</v>
      </c>
      <c r="J232" s="182">
        <v>3</v>
      </c>
      <c r="K232" s="180">
        <v>3</v>
      </c>
      <c r="L232" s="180">
        <v>3</v>
      </c>
      <c r="M232" s="180">
        <v>3</v>
      </c>
      <c r="N232" s="181">
        <v>3</v>
      </c>
      <c r="O232" s="181">
        <v>3</v>
      </c>
      <c r="P232" s="181">
        <v>3</v>
      </c>
      <c r="Q232" s="182">
        <v>3</v>
      </c>
      <c r="R232" s="182">
        <v>2</v>
      </c>
      <c r="S232" s="182">
        <v>2</v>
      </c>
      <c r="T232" s="183">
        <f t="array" ref="T232">IF(AND(ISBLANK(F232:S232)),"", SUM(F232:J232)/15*40 + SUM(K232:S232)/27*60)</f>
        <v>92.888888888888886</v>
      </c>
    </row>
    <row r="233" spans="1:20">
      <c r="A233" s="178">
        <v>211</v>
      </c>
      <c r="B233" s="178" t="s">
        <v>667</v>
      </c>
      <c r="C233" s="178" t="s">
        <v>665</v>
      </c>
      <c r="D233" s="178">
        <v>11</v>
      </c>
      <c r="E233" s="178" t="s">
        <v>666</v>
      </c>
      <c r="F233" s="182">
        <v>2</v>
      </c>
      <c r="G233" s="182">
        <v>0</v>
      </c>
      <c r="H233" s="182">
        <v>3</v>
      </c>
      <c r="I233" s="182">
        <v>1</v>
      </c>
      <c r="J233" s="182">
        <v>3</v>
      </c>
      <c r="K233" s="178">
        <v>0</v>
      </c>
      <c r="L233" s="178">
        <v>3</v>
      </c>
      <c r="M233" s="178">
        <v>1</v>
      </c>
      <c r="N233" s="181">
        <v>3</v>
      </c>
      <c r="O233" s="181">
        <v>0</v>
      </c>
      <c r="P233" s="181">
        <v>0</v>
      </c>
      <c r="Q233" s="182">
        <v>0</v>
      </c>
      <c r="R233" s="182">
        <v>0</v>
      </c>
      <c r="S233" s="182">
        <v>0</v>
      </c>
      <c r="T233" s="183">
        <f t="array" ref="T233">IF(AND(ISBLANK(F233:S233)),"", SUM(F233:J233)/15*40 + SUM(K233:S233)/27*60)</f>
        <v>39.555555555555557</v>
      </c>
    </row>
    <row r="234" spans="1:20">
      <c r="A234" s="178">
        <v>212</v>
      </c>
      <c r="B234" s="178" t="s">
        <v>670</v>
      </c>
      <c r="C234" s="178" t="s">
        <v>668</v>
      </c>
      <c r="D234" s="178">
        <v>10</v>
      </c>
      <c r="E234" s="178" t="s">
        <v>669</v>
      </c>
      <c r="F234" s="186">
        <v>2</v>
      </c>
      <c r="G234" s="186">
        <v>3</v>
      </c>
      <c r="H234" s="182">
        <v>2</v>
      </c>
      <c r="I234" s="182">
        <v>0</v>
      </c>
      <c r="J234" s="182">
        <v>3</v>
      </c>
      <c r="K234" s="178">
        <v>1.2</v>
      </c>
      <c r="L234" s="178">
        <v>2</v>
      </c>
      <c r="M234" s="178">
        <v>0</v>
      </c>
      <c r="N234" s="181">
        <v>3</v>
      </c>
      <c r="O234" s="181">
        <v>3</v>
      </c>
      <c r="P234" s="181">
        <v>3</v>
      </c>
      <c r="Q234" s="182">
        <v>0.5</v>
      </c>
      <c r="R234" s="182">
        <v>1</v>
      </c>
      <c r="S234" s="182">
        <v>1</v>
      </c>
      <c r="T234" s="183">
        <f t="array" ref="T234">IF(AND(ISBLANK(F234:S234)),"", SUM(F234:J234)/15*40 + SUM(K234:S234)/27*60)</f>
        <v>59.333333333333329</v>
      </c>
    </row>
    <row r="235" spans="1:20">
      <c r="A235" s="178">
        <v>213</v>
      </c>
      <c r="B235" s="178" t="s">
        <v>673</v>
      </c>
      <c r="C235" s="178" t="s">
        <v>1615</v>
      </c>
      <c r="D235" s="178">
        <v>5</v>
      </c>
      <c r="E235" s="178" t="s">
        <v>672</v>
      </c>
      <c r="F235" s="186">
        <v>3</v>
      </c>
      <c r="G235" s="186">
        <v>2</v>
      </c>
      <c r="H235" s="187">
        <v>3</v>
      </c>
      <c r="I235" s="187">
        <v>2</v>
      </c>
      <c r="J235" s="182">
        <v>3</v>
      </c>
      <c r="K235" s="180">
        <v>3</v>
      </c>
      <c r="L235" s="180">
        <v>3</v>
      </c>
      <c r="M235" s="180">
        <v>3</v>
      </c>
      <c r="N235" s="181">
        <v>1</v>
      </c>
      <c r="O235" s="181">
        <v>3</v>
      </c>
      <c r="P235" s="181">
        <v>3</v>
      </c>
      <c r="Q235" s="182">
        <v>3</v>
      </c>
      <c r="R235" s="182">
        <v>3</v>
      </c>
      <c r="S235" s="182">
        <v>3</v>
      </c>
      <c r="T235" s="183">
        <f t="array" ref="T235">IF(AND(ISBLANK(F235:S235)),"", SUM(F235:J235)/15*40 + SUM(K235:S235)/27*60)</f>
        <v>90.222222222222229</v>
      </c>
    </row>
    <row r="236" spans="1:20">
      <c r="A236" s="178">
        <v>214</v>
      </c>
      <c r="B236" s="178" t="s">
        <v>676</v>
      </c>
      <c r="C236" s="178" t="s">
        <v>674</v>
      </c>
      <c r="D236" s="178">
        <v>5</v>
      </c>
      <c r="E236" s="178" t="s">
        <v>675</v>
      </c>
      <c r="F236" s="186">
        <v>2</v>
      </c>
      <c r="G236" s="186">
        <v>2</v>
      </c>
      <c r="H236" s="187">
        <v>3</v>
      </c>
      <c r="I236" s="187">
        <v>1</v>
      </c>
      <c r="J236" s="182">
        <v>3</v>
      </c>
      <c r="K236" s="180">
        <v>0</v>
      </c>
      <c r="L236" s="180">
        <v>1</v>
      </c>
      <c r="M236" s="180">
        <v>1</v>
      </c>
      <c r="N236" s="181">
        <v>3</v>
      </c>
      <c r="O236" s="181">
        <v>1</v>
      </c>
      <c r="P236" s="181">
        <v>2</v>
      </c>
      <c r="Q236" s="182">
        <v>1.5</v>
      </c>
      <c r="R236" s="182">
        <v>2</v>
      </c>
      <c r="S236" s="182">
        <v>2</v>
      </c>
      <c r="T236" s="183">
        <f t="array" ref="T236">IF(AND(ISBLANK(F236:S236)),"", SUM(F236:J236)/15*40 + SUM(K236:S236)/27*60)</f>
        <v>59.333333333333329</v>
      </c>
    </row>
    <row r="237" spans="1:20">
      <c r="A237" s="178">
        <v>215</v>
      </c>
      <c r="B237" s="178" t="s">
        <v>679</v>
      </c>
      <c r="C237" s="178" t="s">
        <v>677</v>
      </c>
      <c r="D237" s="178">
        <v>2</v>
      </c>
      <c r="E237" s="178" t="s">
        <v>678</v>
      </c>
      <c r="F237" s="186">
        <v>2</v>
      </c>
      <c r="G237" s="186">
        <v>1</v>
      </c>
      <c r="H237" s="187">
        <v>2</v>
      </c>
      <c r="I237" s="187">
        <v>0</v>
      </c>
      <c r="J237" s="182">
        <v>2</v>
      </c>
      <c r="K237" s="180">
        <v>2.75</v>
      </c>
      <c r="L237" s="180">
        <v>3</v>
      </c>
      <c r="M237" s="180">
        <v>0</v>
      </c>
      <c r="N237" s="181">
        <v>1</v>
      </c>
      <c r="O237" s="181">
        <v>1</v>
      </c>
      <c r="P237" s="181">
        <v>0</v>
      </c>
      <c r="Q237" s="182">
        <v>1</v>
      </c>
      <c r="R237" s="182">
        <v>0</v>
      </c>
      <c r="S237" s="182">
        <v>0</v>
      </c>
      <c r="T237" s="183">
        <f t="array" ref="T237">IF(AND(ISBLANK(F237:S237)),"", SUM(F237:J237)/15*40 + SUM(K237:S237)/27*60)</f>
        <v>38.111111111111114</v>
      </c>
    </row>
    <row r="238" spans="1:20">
      <c r="A238" s="178">
        <v>216</v>
      </c>
      <c r="B238" s="178" t="s">
        <v>682</v>
      </c>
      <c r="C238" s="178" t="s">
        <v>680</v>
      </c>
      <c r="D238" s="178">
        <v>4</v>
      </c>
      <c r="E238" s="178" t="s">
        <v>681</v>
      </c>
      <c r="F238" s="186">
        <v>1</v>
      </c>
      <c r="G238" s="186">
        <v>1</v>
      </c>
      <c r="H238" s="187">
        <v>1</v>
      </c>
      <c r="I238" s="187">
        <v>1</v>
      </c>
      <c r="J238" s="182"/>
      <c r="K238" s="180">
        <v>3</v>
      </c>
      <c r="L238" s="180">
        <v>2</v>
      </c>
      <c r="M238" s="180">
        <v>2</v>
      </c>
      <c r="N238" s="181">
        <v>1</v>
      </c>
      <c r="O238" s="181">
        <v>3</v>
      </c>
      <c r="P238" s="181">
        <v>3</v>
      </c>
      <c r="Q238" s="182">
        <v>1.5</v>
      </c>
      <c r="R238" s="182">
        <v>2</v>
      </c>
      <c r="S238" s="182">
        <v>3</v>
      </c>
      <c r="T238" s="183">
        <f t="array" ref="T238">IF(AND(ISBLANK(F238:S238)),"", SUM(F238:J238)/15*40 + SUM(K238:S238)/27*60)</f>
        <v>56.222222222222221</v>
      </c>
    </row>
    <row r="239" spans="1:20">
      <c r="A239" s="178">
        <v>217</v>
      </c>
      <c r="B239" s="178" t="s">
        <v>685</v>
      </c>
      <c r="C239" s="178" t="s">
        <v>683</v>
      </c>
      <c r="D239" s="178">
        <v>3</v>
      </c>
      <c r="E239" s="178" t="s">
        <v>684</v>
      </c>
      <c r="F239" s="186">
        <v>3</v>
      </c>
      <c r="G239" s="186">
        <v>2</v>
      </c>
      <c r="H239" s="187">
        <v>2</v>
      </c>
      <c r="I239" s="187">
        <v>1</v>
      </c>
      <c r="J239" s="182">
        <v>3</v>
      </c>
      <c r="K239" s="180">
        <v>3</v>
      </c>
      <c r="L239" s="180">
        <v>2</v>
      </c>
      <c r="M239" s="180">
        <v>3</v>
      </c>
      <c r="N239" s="181">
        <v>2</v>
      </c>
      <c r="O239" s="181">
        <v>1</v>
      </c>
      <c r="P239" s="181">
        <v>2</v>
      </c>
      <c r="Q239" s="182">
        <v>0</v>
      </c>
      <c r="R239" s="182">
        <v>1</v>
      </c>
      <c r="S239" s="182"/>
      <c r="T239" s="183">
        <f t="array" ref="T239">IF(AND(ISBLANK(F239:S239)),"", SUM(F239:J239)/15*40 + SUM(K239:S239)/27*60)</f>
        <v>60.444444444444443</v>
      </c>
    </row>
    <row r="240" spans="1:20">
      <c r="A240" s="178">
        <v>218</v>
      </c>
      <c r="B240" s="178" t="s">
        <v>688</v>
      </c>
      <c r="C240" s="178" t="s">
        <v>686</v>
      </c>
      <c r="D240" s="178">
        <v>2</v>
      </c>
      <c r="E240" s="178" t="s">
        <v>687</v>
      </c>
      <c r="F240" s="186">
        <v>3</v>
      </c>
      <c r="G240" s="186">
        <v>2</v>
      </c>
      <c r="H240" s="187">
        <v>3</v>
      </c>
      <c r="I240" s="187">
        <v>0</v>
      </c>
      <c r="J240" s="182">
        <v>3</v>
      </c>
      <c r="K240" s="180">
        <v>2.25</v>
      </c>
      <c r="L240" s="180">
        <v>3</v>
      </c>
      <c r="M240" s="180">
        <v>2</v>
      </c>
      <c r="N240" s="181">
        <v>1</v>
      </c>
      <c r="O240" s="181">
        <v>3</v>
      </c>
      <c r="P240" s="181">
        <v>3</v>
      </c>
      <c r="Q240" s="182">
        <v>2.5</v>
      </c>
      <c r="R240" s="182">
        <v>2</v>
      </c>
      <c r="S240" s="182">
        <v>2</v>
      </c>
      <c r="T240" s="183">
        <f t="array" ref="T240">IF(AND(ISBLANK(F240:S240)),"", SUM(F240:J240)/15*40 + SUM(K240:S240)/27*60)</f>
        <v>75.444444444444443</v>
      </c>
    </row>
    <row r="241" spans="1:20">
      <c r="A241" s="178">
        <v>219</v>
      </c>
      <c r="B241" s="178" t="s">
        <v>692</v>
      </c>
      <c r="C241" s="178" t="s">
        <v>689</v>
      </c>
      <c r="D241" s="178">
        <v>6</v>
      </c>
      <c r="E241" s="178" t="s">
        <v>690</v>
      </c>
      <c r="F241" s="186">
        <v>3</v>
      </c>
      <c r="G241" s="186">
        <v>2</v>
      </c>
      <c r="H241" s="187">
        <v>3</v>
      </c>
      <c r="I241" s="187">
        <v>2</v>
      </c>
      <c r="J241" s="182">
        <v>3</v>
      </c>
      <c r="K241" s="180">
        <v>3</v>
      </c>
      <c r="L241" s="180">
        <v>1</v>
      </c>
      <c r="M241" s="180">
        <v>2</v>
      </c>
      <c r="N241" s="181">
        <v>3</v>
      </c>
      <c r="O241" s="181">
        <v>2</v>
      </c>
      <c r="P241" s="181">
        <v>0</v>
      </c>
      <c r="Q241" s="182">
        <v>2.5</v>
      </c>
      <c r="R241" s="182">
        <v>2</v>
      </c>
      <c r="S241" s="182">
        <v>2</v>
      </c>
      <c r="T241" s="183">
        <f t="array" ref="T241">IF(AND(ISBLANK(F241:S241)),"", SUM(F241:J241)/15*40 + SUM(K241:S241)/27*60)</f>
        <v>73.555555555555557</v>
      </c>
    </row>
    <row r="242" spans="1:20">
      <c r="A242" s="178">
        <v>220</v>
      </c>
      <c r="B242" s="178" t="s">
        <v>695</v>
      </c>
      <c r="C242" s="178" t="s">
        <v>693</v>
      </c>
      <c r="D242" s="178">
        <v>2</v>
      </c>
      <c r="E242" s="178" t="s">
        <v>694</v>
      </c>
      <c r="F242" s="186">
        <v>3</v>
      </c>
      <c r="G242" s="186">
        <v>3</v>
      </c>
      <c r="H242" s="187">
        <v>2</v>
      </c>
      <c r="I242" s="187">
        <v>2</v>
      </c>
      <c r="J242" s="182">
        <v>3</v>
      </c>
      <c r="K242" s="180">
        <v>3</v>
      </c>
      <c r="L242" s="180">
        <v>3</v>
      </c>
      <c r="M242" s="180">
        <v>2</v>
      </c>
      <c r="N242" s="181">
        <v>3</v>
      </c>
      <c r="O242" s="181">
        <v>2</v>
      </c>
      <c r="P242" s="181">
        <v>0</v>
      </c>
      <c r="Q242" s="182">
        <v>1</v>
      </c>
      <c r="R242" s="182">
        <v>1</v>
      </c>
      <c r="S242" s="182">
        <v>2</v>
      </c>
      <c r="T242" s="183">
        <f t="array" ref="T242">IF(AND(ISBLANK(F242:S242)),"", SUM(F242:J242)/15*40 + SUM(K242:S242)/27*60)</f>
        <v>72.444444444444457</v>
      </c>
    </row>
    <row r="243" spans="1:20">
      <c r="A243" s="178">
        <v>332</v>
      </c>
      <c r="C243" s="178" t="s">
        <v>696</v>
      </c>
      <c r="D243" s="178" t="s">
        <v>1993</v>
      </c>
      <c r="F243" s="178">
        <v>2</v>
      </c>
      <c r="G243" s="178">
        <v>0</v>
      </c>
      <c r="H243" s="178">
        <v>3</v>
      </c>
      <c r="I243" s="178">
        <v>1</v>
      </c>
      <c r="J243" s="178">
        <v>1</v>
      </c>
      <c r="K243" s="178">
        <v>2.25</v>
      </c>
      <c r="L243" s="178">
        <v>2</v>
      </c>
      <c r="M243" s="178">
        <v>1</v>
      </c>
      <c r="N243" s="178">
        <v>0</v>
      </c>
      <c r="O243" s="178">
        <v>3</v>
      </c>
      <c r="P243" s="178">
        <v>0</v>
      </c>
      <c r="Q243" s="178">
        <v>0.5</v>
      </c>
      <c r="R243" s="178">
        <v>1</v>
      </c>
      <c r="S243" s="178">
        <v>1</v>
      </c>
      <c r="T243" s="183">
        <f t="array" ref="T243">IF(AND(ISBLANK(F243:S243)),"", SUM(F243:J243)/15*40 + SUM(K243:S243)/27*60)</f>
        <v>42.555555555555557</v>
      </c>
    </row>
    <row r="244" spans="1:20">
      <c r="A244" s="178">
        <v>221</v>
      </c>
      <c r="B244" s="178" t="s">
        <v>699</v>
      </c>
      <c r="C244" s="178" t="s">
        <v>697</v>
      </c>
      <c r="D244" s="178">
        <v>1</v>
      </c>
      <c r="E244" s="178" t="s">
        <v>698</v>
      </c>
      <c r="F244" s="186">
        <v>3</v>
      </c>
      <c r="G244" s="186">
        <v>3</v>
      </c>
      <c r="H244" s="187">
        <v>3</v>
      </c>
      <c r="I244" s="187">
        <v>3</v>
      </c>
      <c r="J244" s="182">
        <v>3</v>
      </c>
      <c r="K244" s="180">
        <v>3</v>
      </c>
      <c r="L244" s="180">
        <v>3</v>
      </c>
      <c r="M244" s="180">
        <v>3</v>
      </c>
      <c r="N244" s="181">
        <v>1</v>
      </c>
      <c r="O244" s="181">
        <v>3</v>
      </c>
      <c r="P244" s="181">
        <v>1</v>
      </c>
      <c r="Q244" s="182">
        <v>2</v>
      </c>
      <c r="R244" s="182">
        <v>3</v>
      </c>
      <c r="S244" s="182">
        <v>2</v>
      </c>
      <c r="T244" s="183">
        <f t="array" ref="T244">IF(AND(ISBLANK(F244:S244)),"", SUM(F244:J244)/15*40 + SUM(K244:S244)/27*60)</f>
        <v>86.666666666666657</v>
      </c>
    </row>
    <row r="245" spans="1:20">
      <c r="A245" s="178">
        <v>222</v>
      </c>
      <c r="B245" s="178" t="s">
        <v>702</v>
      </c>
      <c r="C245" s="178" t="s">
        <v>700</v>
      </c>
      <c r="D245" s="178">
        <v>6</v>
      </c>
      <c r="E245" s="178" t="s">
        <v>701</v>
      </c>
      <c r="F245" s="180">
        <v>1</v>
      </c>
      <c r="G245" s="180">
        <v>0</v>
      </c>
      <c r="H245" s="178">
        <v>0</v>
      </c>
      <c r="I245" s="178">
        <v>0</v>
      </c>
      <c r="K245" s="180">
        <v>0</v>
      </c>
      <c r="L245" s="180">
        <v>2</v>
      </c>
      <c r="M245" s="180">
        <v>1</v>
      </c>
      <c r="N245" s="178">
        <v>0</v>
      </c>
      <c r="O245" s="178">
        <v>0</v>
      </c>
      <c r="P245" s="178">
        <v>0</v>
      </c>
      <c r="T245" s="183">
        <f t="array" ref="T245">IF(AND(ISBLANK(F245:S245)),"", SUM(F245:J245)/15*40 + SUM(K245:S245)/27*60)</f>
        <v>9.3333333333333321</v>
      </c>
    </row>
    <row r="246" spans="1:20">
      <c r="A246" s="178">
        <v>223</v>
      </c>
      <c r="B246" s="178" t="s">
        <v>705</v>
      </c>
      <c r="C246" s="178" t="s">
        <v>703</v>
      </c>
      <c r="D246" s="178">
        <v>7</v>
      </c>
      <c r="E246" s="178" t="s">
        <v>704</v>
      </c>
      <c r="F246" s="186">
        <v>3</v>
      </c>
      <c r="G246" s="186">
        <v>3</v>
      </c>
      <c r="H246" s="187">
        <v>3</v>
      </c>
      <c r="I246" s="187">
        <v>1</v>
      </c>
      <c r="J246" s="182">
        <v>3</v>
      </c>
      <c r="K246" s="180">
        <v>3</v>
      </c>
      <c r="L246" s="180">
        <v>3</v>
      </c>
      <c r="M246" s="180">
        <v>3</v>
      </c>
      <c r="N246" s="181">
        <v>3</v>
      </c>
      <c r="O246" s="181">
        <v>1</v>
      </c>
      <c r="P246" s="181">
        <v>2</v>
      </c>
      <c r="Q246" s="182">
        <v>3</v>
      </c>
      <c r="R246" s="182">
        <v>3</v>
      </c>
      <c r="S246" s="182">
        <v>2</v>
      </c>
      <c r="T246" s="183">
        <f t="array" ref="T246">IF(AND(ISBLANK(F246:S246)),"", SUM(F246:J246)/15*40 + SUM(K246:S246)/27*60)</f>
        <v>85.777777777777786</v>
      </c>
    </row>
    <row r="247" spans="1:20">
      <c r="A247" s="178">
        <v>224</v>
      </c>
      <c r="B247" s="178" t="s">
        <v>708</v>
      </c>
      <c r="C247" s="178" t="s">
        <v>706</v>
      </c>
      <c r="D247" s="178">
        <v>6</v>
      </c>
      <c r="E247" s="178" t="s">
        <v>707</v>
      </c>
      <c r="F247" s="186">
        <v>1</v>
      </c>
      <c r="G247" s="186">
        <v>2</v>
      </c>
      <c r="H247" s="187">
        <v>3</v>
      </c>
      <c r="I247" s="187">
        <v>1</v>
      </c>
      <c r="J247" s="182">
        <v>3</v>
      </c>
      <c r="K247" s="180">
        <v>0</v>
      </c>
      <c r="L247" s="180">
        <v>0</v>
      </c>
      <c r="M247" s="180">
        <v>1</v>
      </c>
      <c r="N247" s="181">
        <v>3</v>
      </c>
      <c r="O247" s="181">
        <v>3</v>
      </c>
      <c r="P247" s="181">
        <v>3</v>
      </c>
      <c r="Q247" s="182">
        <v>3</v>
      </c>
      <c r="R247" s="182">
        <v>1</v>
      </c>
      <c r="S247" s="182">
        <v>2</v>
      </c>
      <c r="T247" s="183">
        <f t="array" ref="T247">IF(AND(ISBLANK(F247:S247)),"", SUM(F247:J247)/15*40 + SUM(K247:S247)/27*60)</f>
        <v>62.222222222222221</v>
      </c>
    </row>
    <row r="248" spans="1:20">
      <c r="A248" s="178">
        <v>225</v>
      </c>
      <c r="B248" s="178" t="s">
        <v>711</v>
      </c>
      <c r="C248" s="178" t="s">
        <v>709</v>
      </c>
      <c r="D248" s="178">
        <v>3</v>
      </c>
      <c r="E248" s="178" t="s">
        <v>710</v>
      </c>
      <c r="F248" s="186">
        <v>3</v>
      </c>
      <c r="G248" s="186">
        <v>3</v>
      </c>
      <c r="H248" s="187">
        <v>3</v>
      </c>
      <c r="I248" s="187">
        <v>2</v>
      </c>
      <c r="J248" s="182">
        <v>3</v>
      </c>
      <c r="K248" s="180">
        <v>3</v>
      </c>
      <c r="L248" s="180">
        <v>3</v>
      </c>
      <c r="M248" s="180">
        <v>3</v>
      </c>
      <c r="N248" s="181">
        <v>3</v>
      </c>
      <c r="O248" s="181">
        <v>3</v>
      </c>
      <c r="P248" s="181">
        <v>3</v>
      </c>
      <c r="Q248" s="182">
        <v>3</v>
      </c>
      <c r="R248" s="182">
        <v>3</v>
      </c>
      <c r="S248" s="182">
        <v>3</v>
      </c>
      <c r="T248" s="183">
        <f t="array" ref="T248">IF(AND(ISBLANK(F248:S248)),"", SUM(F248:J248)/15*40 + SUM(K248:S248)/27*60)</f>
        <v>97.333333333333343</v>
      </c>
    </row>
    <row r="249" spans="1:20">
      <c r="A249" s="178">
        <v>333</v>
      </c>
      <c r="C249" s="178" t="s">
        <v>2017</v>
      </c>
      <c r="D249" s="178" t="s">
        <v>1993</v>
      </c>
      <c r="F249" s="178">
        <v>0</v>
      </c>
      <c r="G249" s="178">
        <v>0</v>
      </c>
      <c r="H249" s="178">
        <v>3</v>
      </c>
      <c r="I249" s="178">
        <v>1</v>
      </c>
      <c r="J249" s="178">
        <v>3</v>
      </c>
      <c r="K249" s="178">
        <v>0</v>
      </c>
      <c r="L249" s="178">
        <v>3</v>
      </c>
      <c r="M249" s="178">
        <v>2</v>
      </c>
      <c r="N249" s="178">
        <v>1</v>
      </c>
      <c r="O249" s="178">
        <v>1</v>
      </c>
      <c r="P249" s="178">
        <v>1</v>
      </c>
      <c r="Q249" s="178">
        <v>1</v>
      </c>
      <c r="R249" s="178">
        <v>2</v>
      </c>
      <c r="S249" s="178">
        <v>0</v>
      </c>
      <c r="T249" s="183">
        <f t="array" ref="T249">IF(AND(ISBLANK(F249:S249)),"", SUM(F249:J249)/15*40 + SUM(K249:S249)/27*60)</f>
        <v>43.111111111111114</v>
      </c>
    </row>
    <row r="250" spans="1:20">
      <c r="A250" s="178">
        <v>326</v>
      </c>
      <c r="B250" s="178" t="s">
        <v>2018</v>
      </c>
      <c r="C250" s="178" t="s">
        <v>2019</v>
      </c>
      <c r="D250" s="178" t="s">
        <v>1993</v>
      </c>
      <c r="F250" s="182"/>
      <c r="G250" s="182"/>
      <c r="H250" s="182"/>
      <c r="I250" s="182"/>
      <c r="J250" s="182"/>
      <c r="N250" s="181"/>
      <c r="O250" s="181"/>
      <c r="P250" s="181"/>
      <c r="Q250" s="182"/>
      <c r="R250" s="182"/>
      <c r="S250" s="182"/>
      <c r="T250" s="183">
        <v>0</v>
      </c>
    </row>
    <row r="251" spans="1:20">
      <c r="A251" s="178">
        <v>226</v>
      </c>
      <c r="B251" s="178" t="s">
        <v>715</v>
      </c>
      <c r="C251" s="178" t="s">
        <v>713</v>
      </c>
      <c r="D251" s="178">
        <v>3</v>
      </c>
      <c r="E251" s="178" t="s">
        <v>714</v>
      </c>
      <c r="F251" s="186">
        <v>2</v>
      </c>
      <c r="G251" s="186">
        <v>2</v>
      </c>
      <c r="H251" s="187">
        <v>2</v>
      </c>
      <c r="I251" s="187">
        <v>1</v>
      </c>
      <c r="J251" s="182">
        <v>3</v>
      </c>
      <c r="K251" s="180">
        <v>3</v>
      </c>
      <c r="L251" s="180">
        <v>3</v>
      </c>
      <c r="M251" s="180">
        <v>3</v>
      </c>
      <c r="N251" s="181">
        <v>3</v>
      </c>
      <c r="O251" s="181">
        <v>3</v>
      </c>
      <c r="P251" s="181">
        <v>3</v>
      </c>
      <c r="Q251" s="182">
        <v>2.5</v>
      </c>
      <c r="R251" s="182">
        <v>3</v>
      </c>
      <c r="S251" s="182">
        <v>2</v>
      </c>
      <c r="T251" s="183">
        <f t="array" ref="T251">IF(AND(ISBLANK(F251:S251)),"", SUM(F251:J251)/15*40 + SUM(K251:S251)/27*60)</f>
        <v>83.333333333333329</v>
      </c>
    </row>
    <row r="252" spans="1:20">
      <c r="A252" s="178">
        <v>227</v>
      </c>
      <c r="B252" s="178" t="s">
        <v>718</v>
      </c>
      <c r="C252" s="178" t="s">
        <v>716</v>
      </c>
      <c r="D252" s="178">
        <v>10</v>
      </c>
      <c r="E252" s="178" t="s">
        <v>717</v>
      </c>
      <c r="F252" s="186">
        <v>3</v>
      </c>
      <c r="G252" s="186">
        <v>0</v>
      </c>
      <c r="H252" s="187">
        <v>2</v>
      </c>
      <c r="I252" s="187">
        <v>1</v>
      </c>
      <c r="J252" s="182">
        <v>3</v>
      </c>
      <c r="K252" s="180">
        <v>3</v>
      </c>
      <c r="L252" s="180">
        <v>0</v>
      </c>
      <c r="M252" s="180">
        <v>2</v>
      </c>
      <c r="N252" s="181">
        <v>3</v>
      </c>
      <c r="O252" s="181">
        <v>1</v>
      </c>
      <c r="P252" s="181">
        <v>2</v>
      </c>
      <c r="Q252" s="182">
        <v>2</v>
      </c>
      <c r="R252" s="182">
        <v>2</v>
      </c>
      <c r="S252" s="182">
        <v>1</v>
      </c>
      <c r="T252" s="183">
        <f t="array" ref="T252">IF(AND(ISBLANK(F252:S252)),"", SUM(F252:J252)/15*40 + SUM(K252:S252)/27*60)</f>
        <v>59.555555555555557</v>
      </c>
    </row>
    <row r="253" spans="1:20">
      <c r="A253" s="178">
        <v>228</v>
      </c>
      <c r="B253" s="178" t="s">
        <v>721</v>
      </c>
      <c r="C253" s="178" t="s">
        <v>719</v>
      </c>
      <c r="D253" s="178">
        <v>11</v>
      </c>
      <c r="E253" s="178" t="s">
        <v>720</v>
      </c>
      <c r="F253" s="186">
        <v>1</v>
      </c>
      <c r="G253" s="186">
        <v>0</v>
      </c>
      <c r="H253" s="187">
        <v>0</v>
      </c>
      <c r="I253" s="187">
        <v>0</v>
      </c>
      <c r="J253" s="182"/>
      <c r="K253" s="180">
        <v>3</v>
      </c>
      <c r="L253" s="180">
        <v>2</v>
      </c>
      <c r="M253" s="180">
        <v>1</v>
      </c>
      <c r="N253" s="181">
        <v>1</v>
      </c>
      <c r="O253" s="181">
        <v>0</v>
      </c>
      <c r="P253" s="181">
        <v>0</v>
      </c>
      <c r="Q253" s="182">
        <v>0</v>
      </c>
      <c r="R253" s="182"/>
      <c r="S253" s="182"/>
      <c r="T253" s="183">
        <f t="array" ref="T253">IF(AND(ISBLANK(F253:S253)),"", SUM(F253:J253)/15*40 + SUM(K253:S253)/27*60)</f>
        <v>18.222222222222221</v>
      </c>
    </row>
    <row r="254" spans="1:20">
      <c r="A254" s="178">
        <v>229</v>
      </c>
      <c r="B254" s="178" t="s">
        <v>724</v>
      </c>
      <c r="C254" s="178" t="s">
        <v>722</v>
      </c>
      <c r="D254" s="178">
        <v>10</v>
      </c>
      <c r="E254" s="178" t="s">
        <v>723</v>
      </c>
      <c r="F254" s="186">
        <v>2</v>
      </c>
      <c r="G254" s="186">
        <v>1</v>
      </c>
      <c r="H254" s="187">
        <v>3</v>
      </c>
      <c r="I254" s="187">
        <v>2</v>
      </c>
      <c r="J254" s="182">
        <v>3</v>
      </c>
      <c r="K254" s="180">
        <v>3</v>
      </c>
      <c r="L254" s="180">
        <v>3</v>
      </c>
      <c r="M254" s="180">
        <v>2</v>
      </c>
      <c r="N254" s="181">
        <v>3</v>
      </c>
      <c r="O254" s="181">
        <v>2</v>
      </c>
      <c r="P254" s="181">
        <v>2</v>
      </c>
      <c r="Q254" s="182">
        <v>1</v>
      </c>
      <c r="R254" s="182">
        <v>3</v>
      </c>
      <c r="S254" s="182">
        <v>2</v>
      </c>
      <c r="T254" s="183">
        <f t="array" ref="T254">IF(AND(ISBLANK(F254:S254)),"", SUM(F254:J254)/15*40 + SUM(K254:S254)/27*60)</f>
        <v>76</v>
      </c>
    </row>
    <row r="255" spans="1:20">
      <c r="A255" s="178">
        <v>230</v>
      </c>
      <c r="B255" s="178" t="s">
        <v>727</v>
      </c>
      <c r="C255" s="178" t="s">
        <v>725</v>
      </c>
      <c r="D255" s="178">
        <v>7</v>
      </c>
      <c r="E255" s="178" t="s">
        <v>726</v>
      </c>
      <c r="F255" s="180">
        <v>2</v>
      </c>
      <c r="G255" s="180">
        <v>0</v>
      </c>
      <c r="H255" s="178">
        <v>3</v>
      </c>
      <c r="I255" s="178">
        <v>1</v>
      </c>
      <c r="K255" s="180">
        <v>3</v>
      </c>
      <c r="L255" s="180">
        <v>3</v>
      </c>
      <c r="M255" s="180">
        <v>0</v>
      </c>
      <c r="N255" s="178">
        <v>1</v>
      </c>
      <c r="O255" s="178">
        <v>0</v>
      </c>
      <c r="P255" s="178">
        <v>0</v>
      </c>
      <c r="Q255" s="178">
        <v>0</v>
      </c>
      <c r="T255" s="183">
        <f t="array" ref="T255">IF(AND(ISBLANK(F255:S255)),"", SUM(F255:J255)/15*40 + SUM(K255:S255)/27*60)</f>
        <v>31.555555555555557</v>
      </c>
    </row>
    <row r="256" spans="1:20">
      <c r="A256" s="178">
        <v>231</v>
      </c>
      <c r="B256" s="178" t="s">
        <v>730</v>
      </c>
      <c r="C256" s="178" t="s">
        <v>728</v>
      </c>
      <c r="D256" s="178">
        <v>12</v>
      </c>
      <c r="E256" s="178" t="s">
        <v>729</v>
      </c>
      <c r="F256" s="182">
        <v>2</v>
      </c>
      <c r="G256" s="182">
        <v>3</v>
      </c>
      <c r="H256" s="182">
        <v>2</v>
      </c>
      <c r="I256" s="182">
        <v>2</v>
      </c>
      <c r="J256" s="182">
        <v>3</v>
      </c>
      <c r="K256" s="178">
        <v>3</v>
      </c>
      <c r="L256" s="178">
        <v>3</v>
      </c>
      <c r="M256" s="178">
        <v>2</v>
      </c>
      <c r="N256" s="181">
        <v>3</v>
      </c>
      <c r="O256" s="181">
        <v>0</v>
      </c>
      <c r="P256" s="181">
        <v>0</v>
      </c>
      <c r="Q256" s="182">
        <v>0</v>
      </c>
      <c r="R256" s="182"/>
      <c r="S256" s="182"/>
      <c r="T256" s="183">
        <f t="array" ref="T256">IF(AND(ISBLANK(F256:S256)),"", SUM(F256:J256)/15*40 + SUM(K256:S256)/27*60)</f>
        <v>56.444444444444443</v>
      </c>
    </row>
    <row r="257" spans="1:20">
      <c r="A257" s="178">
        <v>232</v>
      </c>
      <c r="B257" s="178" t="s">
        <v>733</v>
      </c>
      <c r="C257" s="178" t="s">
        <v>731</v>
      </c>
      <c r="D257" s="178">
        <v>6</v>
      </c>
      <c r="E257" s="178" t="s">
        <v>732</v>
      </c>
      <c r="F257" s="186">
        <v>3</v>
      </c>
      <c r="G257" s="186">
        <v>2</v>
      </c>
      <c r="H257" s="187">
        <v>3</v>
      </c>
      <c r="I257" s="187">
        <v>3</v>
      </c>
      <c r="J257" s="182">
        <v>3</v>
      </c>
      <c r="K257" s="180">
        <v>3</v>
      </c>
      <c r="L257" s="180">
        <v>3</v>
      </c>
      <c r="M257" s="180">
        <v>3</v>
      </c>
      <c r="N257" s="181">
        <v>3</v>
      </c>
      <c r="O257" s="181">
        <v>3</v>
      </c>
      <c r="P257" s="181">
        <v>3</v>
      </c>
      <c r="Q257" s="182">
        <v>3</v>
      </c>
      <c r="R257" s="182">
        <v>3</v>
      </c>
      <c r="S257" s="182">
        <v>3</v>
      </c>
      <c r="T257" s="183">
        <f t="array" ref="T257">IF(AND(ISBLANK(F257:S257)),"", SUM(F257:J257)/15*40 + SUM(K257:S257)/27*60)</f>
        <v>97.333333333333343</v>
      </c>
    </row>
    <row r="258" spans="1:20">
      <c r="A258" s="178">
        <v>233</v>
      </c>
      <c r="B258" s="178" t="s">
        <v>736</v>
      </c>
      <c r="C258" s="178" t="s">
        <v>734</v>
      </c>
      <c r="D258" s="178">
        <v>4</v>
      </c>
      <c r="E258" s="178" t="s">
        <v>735</v>
      </c>
      <c r="F258" s="186">
        <v>2</v>
      </c>
      <c r="G258" s="186">
        <v>2</v>
      </c>
      <c r="H258" s="187">
        <v>3</v>
      </c>
      <c r="I258" s="187">
        <v>0</v>
      </c>
      <c r="J258" s="182">
        <v>1</v>
      </c>
      <c r="K258" s="180">
        <v>3</v>
      </c>
      <c r="L258" s="180">
        <v>3</v>
      </c>
      <c r="M258" s="180">
        <v>2</v>
      </c>
      <c r="N258" s="181">
        <v>2</v>
      </c>
      <c r="O258" s="181">
        <v>1</v>
      </c>
      <c r="P258" s="181">
        <v>2</v>
      </c>
      <c r="Q258" s="182">
        <v>1.5</v>
      </c>
      <c r="R258" s="182">
        <v>2</v>
      </c>
      <c r="S258" s="182">
        <v>2</v>
      </c>
      <c r="T258" s="183">
        <f t="array" ref="T258">IF(AND(ISBLANK(F258:S258)),"", SUM(F258:J258)/15*40 + SUM(K258:S258)/27*60)</f>
        <v>62.444444444444443</v>
      </c>
    </row>
    <row r="259" spans="1:20">
      <c r="A259" s="178">
        <v>234</v>
      </c>
      <c r="B259" s="178" t="s">
        <v>739</v>
      </c>
      <c r="C259" s="178" t="s">
        <v>737</v>
      </c>
      <c r="D259" s="178">
        <v>5</v>
      </c>
      <c r="E259" s="178" t="s">
        <v>738</v>
      </c>
      <c r="F259" s="186">
        <v>3</v>
      </c>
      <c r="G259" s="186">
        <v>2</v>
      </c>
      <c r="H259" s="187">
        <v>3</v>
      </c>
      <c r="I259" s="187">
        <v>1</v>
      </c>
      <c r="J259" s="182">
        <v>3</v>
      </c>
      <c r="K259" s="180">
        <v>3</v>
      </c>
      <c r="L259" s="180">
        <v>3</v>
      </c>
      <c r="M259" s="180">
        <v>3</v>
      </c>
      <c r="N259" s="181">
        <v>3</v>
      </c>
      <c r="O259" s="181">
        <v>3</v>
      </c>
      <c r="P259" s="181">
        <v>2</v>
      </c>
      <c r="Q259" s="182">
        <v>1</v>
      </c>
      <c r="R259" s="182">
        <v>0</v>
      </c>
      <c r="S259" s="182">
        <v>2</v>
      </c>
      <c r="T259" s="183">
        <f t="array" ref="T259">IF(AND(ISBLANK(F259:S259)),"", SUM(F259:J259)/15*40 + SUM(K259:S259)/27*60)</f>
        <v>76.444444444444443</v>
      </c>
    </row>
    <row r="260" spans="1:20">
      <c r="A260" s="178">
        <v>235</v>
      </c>
      <c r="B260" s="178" t="s">
        <v>742</v>
      </c>
      <c r="C260" s="178" t="s">
        <v>740</v>
      </c>
      <c r="D260" s="178">
        <v>10</v>
      </c>
      <c r="E260" s="178" t="s">
        <v>741</v>
      </c>
      <c r="F260" s="186">
        <v>1</v>
      </c>
      <c r="G260" s="186">
        <v>1</v>
      </c>
      <c r="H260" s="187">
        <v>2</v>
      </c>
      <c r="I260" s="187">
        <v>1</v>
      </c>
      <c r="J260" s="182">
        <v>3</v>
      </c>
      <c r="K260" s="180">
        <v>3</v>
      </c>
      <c r="L260" s="180">
        <v>3</v>
      </c>
      <c r="M260" s="180">
        <v>2</v>
      </c>
      <c r="N260" s="181">
        <v>3</v>
      </c>
      <c r="O260" s="181">
        <v>1</v>
      </c>
      <c r="P260" s="181">
        <v>2</v>
      </c>
      <c r="Q260" s="182">
        <v>2</v>
      </c>
      <c r="R260" s="182">
        <v>3</v>
      </c>
      <c r="S260" s="182">
        <v>0</v>
      </c>
      <c r="T260" s="183">
        <f t="array" ref="T260">IF(AND(ISBLANK(F260:S260)),"", SUM(F260:J260)/15*40 + SUM(K260:S260)/27*60)</f>
        <v>63.555555555555557</v>
      </c>
    </row>
    <row r="261" spans="1:20">
      <c r="A261" s="178">
        <v>236</v>
      </c>
      <c r="B261" s="178" t="s">
        <v>745</v>
      </c>
      <c r="C261" s="178" t="s">
        <v>743</v>
      </c>
      <c r="D261" s="178">
        <v>8</v>
      </c>
      <c r="E261" s="178" t="s">
        <v>744</v>
      </c>
      <c r="F261" s="186">
        <v>3</v>
      </c>
      <c r="G261" s="186">
        <v>3</v>
      </c>
      <c r="H261" s="187">
        <v>2</v>
      </c>
      <c r="I261" s="187">
        <v>1</v>
      </c>
      <c r="J261" s="182">
        <v>3</v>
      </c>
      <c r="K261" s="180">
        <v>3</v>
      </c>
      <c r="L261" s="180">
        <v>3</v>
      </c>
      <c r="M261" s="180">
        <v>2</v>
      </c>
      <c r="N261" s="181">
        <v>3</v>
      </c>
      <c r="O261" s="181">
        <v>3</v>
      </c>
      <c r="P261" s="181">
        <v>1</v>
      </c>
      <c r="Q261" s="182">
        <v>1</v>
      </c>
      <c r="R261" s="182">
        <v>1</v>
      </c>
      <c r="S261" s="182">
        <v>2</v>
      </c>
      <c r="T261" s="183">
        <f t="array" ref="T261">IF(AND(ISBLANK(F261:S261)),"", SUM(F261:J261)/15*40 + SUM(K261:S261)/27*60)</f>
        <v>74.222222222222229</v>
      </c>
    </row>
    <row r="262" spans="1:20">
      <c r="A262" s="178">
        <v>237</v>
      </c>
      <c r="B262" s="178" t="s">
        <v>748</v>
      </c>
      <c r="C262" s="178" t="s">
        <v>746</v>
      </c>
      <c r="D262" s="178">
        <v>3</v>
      </c>
      <c r="E262" s="178" t="s">
        <v>747</v>
      </c>
      <c r="F262" s="186">
        <v>2</v>
      </c>
      <c r="G262" s="186">
        <v>3</v>
      </c>
      <c r="H262" s="187">
        <v>3</v>
      </c>
      <c r="I262" s="187">
        <v>2</v>
      </c>
      <c r="J262" s="182">
        <v>3</v>
      </c>
      <c r="K262" s="180">
        <v>2.25</v>
      </c>
      <c r="L262" s="180">
        <v>2</v>
      </c>
      <c r="M262" s="180">
        <v>3</v>
      </c>
      <c r="N262" s="181">
        <v>3</v>
      </c>
      <c r="O262" s="181">
        <v>3</v>
      </c>
      <c r="P262" s="181">
        <v>1</v>
      </c>
      <c r="Q262" s="182">
        <v>2.5</v>
      </c>
      <c r="R262" s="182">
        <v>3</v>
      </c>
      <c r="S262" s="182">
        <v>2</v>
      </c>
      <c r="T262" s="183">
        <f t="array" ref="T262">IF(AND(ISBLANK(F262:S262)),"", SUM(F262:J262)/15*40 + SUM(K262:S262)/27*60)</f>
        <v>83</v>
      </c>
    </row>
    <row r="263" spans="1:20">
      <c r="A263" s="178">
        <v>238</v>
      </c>
      <c r="B263" s="178" t="s">
        <v>751</v>
      </c>
      <c r="C263" s="178" t="s">
        <v>749</v>
      </c>
      <c r="D263" s="178">
        <v>12</v>
      </c>
      <c r="E263" s="178" t="s">
        <v>750</v>
      </c>
      <c r="F263" s="182">
        <v>0</v>
      </c>
      <c r="G263" s="182">
        <v>2</v>
      </c>
      <c r="H263" s="182">
        <v>2</v>
      </c>
      <c r="I263" s="182">
        <v>1</v>
      </c>
      <c r="J263" s="182">
        <v>3</v>
      </c>
      <c r="N263" s="181">
        <v>2</v>
      </c>
      <c r="O263" s="181">
        <v>3</v>
      </c>
      <c r="P263" s="181">
        <v>0</v>
      </c>
      <c r="Q263" s="182">
        <v>2.5</v>
      </c>
      <c r="R263" s="182">
        <v>0</v>
      </c>
      <c r="S263" s="182">
        <v>0</v>
      </c>
      <c r="T263" s="183">
        <f t="array" ref="T263">IF(AND(ISBLANK(F263:S263)),"", SUM(F263:J263)/15*40 + SUM(K263:S263)/27*60)</f>
        <v>38</v>
      </c>
    </row>
    <row r="264" spans="1:20">
      <c r="A264" s="178">
        <v>239</v>
      </c>
      <c r="B264" s="178" t="s">
        <v>754</v>
      </c>
      <c r="C264" s="178" t="s">
        <v>752</v>
      </c>
      <c r="D264" s="178">
        <v>2</v>
      </c>
      <c r="E264" s="178" t="s">
        <v>753</v>
      </c>
      <c r="F264" s="186">
        <v>3</v>
      </c>
      <c r="G264" s="186">
        <v>3</v>
      </c>
      <c r="H264" s="187">
        <v>2</v>
      </c>
      <c r="I264" s="187">
        <v>2</v>
      </c>
      <c r="J264" s="182">
        <v>3</v>
      </c>
      <c r="K264" s="180">
        <v>3</v>
      </c>
      <c r="L264" s="180">
        <v>3</v>
      </c>
      <c r="M264" s="180">
        <v>2</v>
      </c>
      <c r="N264" s="181">
        <v>3</v>
      </c>
      <c r="O264" s="181">
        <v>2</v>
      </c>
      <c r="P264" s="181">
        <v>2</v>
      </c>
      <c r="Q264" s="182">
        <v>2</v>
      </c>
      <c r="R264" s="182">
        <v>3</v>
      </c>
      <c r="S264" s="182">
        <v>2</v>
      </c>
      <c r="T264" s="183">
        <f t="array" ref="T264">IF(AND(ISBLANK(F264:S264)),"", SUM(F264:J264)/15*40 + SUM(K264:S264)/27*60)</f>
        <v>83.555555555555557</v>
      </c>
    </row>
    <row r="265" spans="1:20">
      <c r="A265" s="178">
        <v>240</v>
      </c>
      <c r="B265" s="178" t="s">
        <v>757</v>
      </c>
      <c r="C265" s="178" t="s">
        <v>1933</v>
      </c>
      <c r="D265" s="178">
        <v>8</v>
      </c>
      <c r="E265" s="178" t="s">
        <v>2020</v>
      </c>
      <c r="F265" s="180">
        <v>0</v>
      </c>
      <c r="G265" s="180">
        <v>0</v>
      </c>
      <c r="H265" s="178">
        <v>0</v>
      </c>
      <c r="I265" s="178">
        <v>1</v>
      </c>
      <c r="K265" s="180">
        <v>0</v>
      </c>
      <c r="L265" s="180">
        <v>2</v>
      </c>
      <c r="M265" s="180">
        <v>2</v>
      </c>
      <c r="N265" s="178">
        <v>0</v>
      </c>
      <c r="O265" s="178">
        <v>0</v>
      </c>
      <c r="P265" s="178">
        <v>0</v>
      </c>
      <c r="Q265" s="178">
        <v>0.5</v>
      </c>
      <c r="T265" s="183">
        <f t="array" ref="T265">IF(AND(ISBLANK(F265:S265)),"", SUM(F265:J265)/15*40 + SUM(K265:S265)/27*60)</f>
        <v>12.666666666666666</v>
      </c>
    </row>
    <row r="266" spans="1:20">
      <c r="A266" s="178">
        <v>241</v>
      </c>
      <c r="B266" s="178" t="s">
        <v>760</v>
      </c>
      <c r="C266" s="178" t="s">
        <v>758</v>
      </c>
      <c r="D266" s="178">
        <v>4</v>
      </c>
      <c r="E266" s="178" t="s">
        <v>759</v>
      </c>
      <c r="F266" s="186">
        <v>0</v>
      </c>
      <c r="G266" s="186">
        <v>0</v>
      </c>
      <c r="H266" s="187">
        <v>0</v>
      </c>
      <c r="I266" s="187">
        <v>0</v>
      </c>
      <c r="J266" s="182">
        <v>0</v>
      </c>
      <c r="K266" s="180">
        <v>2.75</v>
      </c>
      <c r="L266" s="180">
        <v>1</v>
      </c>
      <c r="M266" s="180">
        <v>2</v>
      </c>
      <c r="N266" s="181">
        <v>1</v>
      </c>
      <c r="O266" s="181">
        <v>0</v>
      </c>
      <c r="P266" s="181">
        <v>0</v>
      </c>
      <c r="Q266" s="182">
        <v>0</v>
      </c>
      <c r="R266" s="182"/>
      <c r="S266" s="182"/>
      <c r="T266" s="183">
        <f t="array" ref="T266">IF(AND(ISBLANK(F266:S266)),"", SUM(F266:J266)/15*40 + SUM(K266:S266)/27*60)</f>
        <v>15</v>
      </c>
    </row>
    <row r="267" spans="1:20">
      <c r="A267" s="178">
        <v>242</v>
      </c>
      <c r="B267" s="178" t="s">
        <v>763</v>
      </c>
      <c r="C267" s="178" t="s">
        <v>761</v>
      </c>
      <c r="D267" s="178">
        <v>11</v>
      </c>
      <c r="E267" s="178" t="s">
        <v>762</v>
      </c>
      <c r="F267" s="186">
        <v>1</v>
      </c>
      <c r="G267" s="186">
        <v>2</v>
      </c>
      <c r="H267" s="187">
        <v>2</v>
      </c>
      <c r="I267" s="187">
        <v>2</v>
      </c>
      <c r="J267" s="182">
        <v>3</v>
      </c>
      <c r="K267" s="180">
        <v>0</v>
      </c>
      <c r="L267" s="180">
        <v>1</v>
      </c>
      <c r="M267" s="180">
        <v>2</v>
      </c>
      <c r="N267" s="181">
        <v>3</v>
      </c>
      <c r="O267" s="181">
        <v>3</v>
      </c>
      <c r="P267" s="181">
        <v>3</v>
      </c>
      <c r="Q267" s="182">
        <v>2.5</v>
      </c>
      <c r="R267" s="182">
        <v>2</v>
      </c>
      <c r="S267" s="182">
        <v>2</v>
      </c>
      <c r="T267" s="183">
        <f t="array" ref="T267">IF(AND(ISBLANK(F267:S267)),"", SUM(F267:J267)/15*40 + SUM(K267:S267)/27*60)</f>
        <v>67.777777777777771</v>
      </c>
    </row>
    <row r="268" spans="1:20">
      <c r="A268" s="178">
        <v>243</v>
      </c>
      <c r="B268" s="178" t="s">
        <v>767</v>
      </c>
      <c r="C268" s="178" t="s">
        <v>764</v>
      </c>
      <c r="D268" s="178">
        <v>5</v>
      </c>
      <c r="E268" s="178" t="s">
        <v>765</v>
      </c>
      <c r="F268" s="178">
        <v>2</v>
      </c>
      <c r="G268" s="178">
        <v>3</v>
      </c>
      <c r="H268" s="178">
        <v>3</v>
      </c>
      <c r="I268" s="178">
        <v>0</v>
      </c>
      <c r="J268" s="178">
        <v>3</v>
      </c>
      <c r="K268" s="178">
        <v>3</v>
      </c>
      <c r="L268" s="178">
        <v>3</v>
      </c>
      <c r="M268" s="178">
        <v>1</v>
      </c>
      <c r="N268" s="178">
        <v>3</v>
      </c>
      <c r="O268" s="178">
        <v>3</v>
      </c>
      <c r="P268" s="178">
        <v>3</v>
      </c>
      <c r="Q268" s="178">
        <v>3</v>
      </c>
      <c r="R268" s="178">
        <v>2</v>
      </c>
      <c r="S268" s="178">
        <v>3</v>
      </c>
      <c r="T268" s="183">
        <f t="array" ref="T268">IF(AND(ISBLANK(F268:S268)),"", SUM(F268:J268)/15*40 + SUM(K268:S268)/27*60)</f>
        <v>82.666666666666657</v>
      </c>
    </row>
    <row r="269" spans="1:20">
      <c r="A269" s="178">
        <v>244</v>
      </c>
      <c r="B269" s="178" t="s">
        <v>770</v>
      </c>
      <c r="C269" s="178" t="s">
        <v>1947</v>
      </c>
      <c r="D269" s="178">
        <v>9</v>
      </c>
      <c r="E269" s="178" t="s">
        <v>769</v>
      </c>
      <c r="F269" s="186">
        <v>2</v>
      </c>
      <c r="G269" s="186">
        <v>2</v>
      </c>
      <c r="H269" s="187">
        <v>2</v>
      </c>
      <c r="I269" s="187">
        <v>1</v>
      </c>
      <c r="J269" s="182"/>
      <c r="K269" s="180">
        <v>0</v>
      </c>
      <c r="L269" s="180">
        <v>3</v>
      </c>
      <c r="M269" s="180">
        <v>0</v>
      </c>
      <c r="N269" s="181">
        <v>1</v>
      </c>
      <c r="O269" s="181">
        <v>3</v>
      </c>
      <c r="P269" s="181">
        <v>3</v>
      </c>
      <c r="Q269" s="182">
        <v>0.5</v>
      </c>
      <c r="R269" s="182"/>
      <c r="S269" s="182"/>
      <c r="T269" s="183">
        <f t="array" ref="T269">IF(AND(ISBLANK(F269:S269)),"", SUM(F269:J269)/15*40 + SUM(K269:S269)/27*60)</f>
        <v>42</v>
      </c>
    </row>
    <row r="270" spans="1:20">
      <c r="A270" s="178">
        <v>245</v>
      </c>
      <c r="B270" s="178" t="s">
        <v>773</v>
      </c>
      <c r="C270" s="178" t="s">
        <v>771</v>
      </c>
      <c r="D270" s="178">
        <v>2</v>
      </c>
      <c r="E270" s="178" t="s">
        <v>772</v>
      </c>
      <c r="F270" s="186">
        <v>3</v>
      </c>
      <c r="G270" s="186">
        <v>2</v>
      </c>
      <c r="H270" s="187">
        <v>3</v>
      </c>
      <c r="I270" s="187">
        <v>1</v>
      </c>
      <c r="J270" s="182">
        <v>3</v>
      </c>
      <c r="K270" s="180">
        <v>3</v>
      </c>
      <c r="L270" s="180">
        <v>3</v>
      </c>
      <c r="M270" s="180">
        <v>3</v>
      </c>
      <c r="N270" s="181">
        <v>1</v>
      </c>
      <c r="O270" s="181">
        <v>3</v>
      </c>
      <c r="P270" s="181">
        <v>3</v>
      </c>
      <c r="Q270" s="182">
        <v>0.5</v>
      </c>
      <c r="R270" s="182">
        <v>2</v>
      </c>
      <c r="S270" s="182">
        <v>2</v>
      </c>
      <c r="T270" s="183">
        <f t="array" ref="T270">IF(AND(ISBLANK(F270:S270)),"", SUM(F270:J270)/15*40 + SUM(K270:S270)/27*60)</f>
        <v>77.555555555555557</v>
      </c>
    </row>
    <row r="271" spans="1:20">
      <c r="A271" s="178">
        <v>246</v>
      </c>
      <c r="B271" s="178" t="s">
        <v>776</v>
      </c>
      <c r="C271" s="178" t="s">
        <v>774</v>
      </c>
      <c r="D271" s="178">
        <v>7</v>
      </c>
      <c r="E271" s="178" t="s">
        <v>775</v>
      </c>
      <c r="F271" s="186">
        <v>2</v>
      </c>
      <c r="G271" s="186">
        <v>2</v>
      </c>
      <c r="H271" s="187">
        <v>2</v>
      </c>
      <c r="I271" s="187">
        <v>1</v>
      </c>
      <c r="J271" s="182">
        <v>3</v>
      </c>
      <c r="K271" s="180">
        <v>3</v>
      </c>
      <c r="L271" s="180">
        <v>3</v>
      </c>
      <c r="M271" s="180">
        <v>0</v>
      </c>
      <c r="N271" s="181">
        <v>3</v>
      </c>
      <c r="O271" s="181">
        <v>2</v>
      </c>
      <c r="P271" s="181">
        <v>3</v>
      </c>
      <c r="Q271" s="182">
        <v>1.5</v>
      </c>
      <c r="R271" s="182">
        <v>2</v>
      </c>
      <c r="S271" s="182">
        <v>1</v>
      </c>
      <c r="T271" s="183">
        <f t="array" ref="T271">IF(AND(ISBLANK(F271:S271)),"", SUM(F271:J271)/15*40 + SUM(K271:S271)/27*60)</f>
        <v>67.777777777777771</v>
      </c>
    </row>
    <row r="272" spans="1:20">
      <c r="A272" s="178">
        <v>247</v>
      </c>
      <c r="B272" s="178" t="s">
        <v>779</v>
      </c>
      <c r="C272" s="178" t="s">
        <v>777</v>
      </c>
      <c r="D272" s="178">
        <v>8</v>
      </c>
      <c r="E272" s="178" t="s">
        <v>778</v>
      </c>
      <c r="F272" s="180">
        <v>2</v>
      </c>
      <c r="G272" s="180">
        <v>2</v>
      </c>
      <c r="H272" s="178">
        <v>1</v>
      </c>
      <c r="I272" s="178">
        <v>0</v>
      </c>
      <c r="K272" s="180">
        <v>3</v>
      </c>
      <c r="L272" s="180">
        <v>3</v>
      </c>
      <c r="M272" s="180">
        <v>3</v>
      </c>
      <c r="N272" s="178">
        <v>1</v>
      </c>
      <c r="O272" s="178">
        <v>3</v>
      </c>
      <c r="P272" s="178">
        <v>3</v>
      </c>
      <c r="Q272" s="178">
        <v>3</v>
      </c>
      <c r="R272" s="178">
        <v>1</v>
      </c>
      <c r="T272" s="183">
        <f t="array" ref="T272">IF(AND(ISBLANK(F272:S272)),"", SUM(F272:J272)/15*40 + SUM(K272:S272)/27*60)</f>
        <v>57.777777777777771</v>
      </c>
    </row>
    <row r="273" spans="1:20">
      <c r="A273" s="178">
        <v>248</v>
      </c>
      <c r="B273" s="178" t="s">
        <v>782</v>
      </c>
      <c r="C273" s="178" t="s">
        <v>780</v>
      </c>
      <c r="D273" s="178">
        <v>6</v>
      </c>
      <c r="E273" s="178" t="s">
        <v>781</v>
      </c>
      <c r="F273" s="186">
        <v>0</v>
      </c>
      <c r="G273" s="186">
        <v>1</v>
      </c>
      <c r="H273" s="187">
        <v>3</v>
      </c>
      <c r="I273" s="187">
        <v>1</v>
      </c>
      <c r="J273" s="182">
        <v>3</v>
      </c>
      <c r="K273" s="180">
        <v>2.5</v>
      </c>
      <c r="L273" s="180">
        <v>0</v>
      </c>
      <c r="M273" s="180">
        <v>1</v>
      </c>
      <c r="N273" s="181">
        <v>3</v>
      </c>
      <c r="O273" s="181">
        <v>3</v>
      </c>
      <c r="P273" s="181">
        <v>1</v>
      </c>
      <c r="Q273" s="182">
        <v>1</v>
      </c>
      <c r="R273" s="182">
        <v>2</v>
      </c>
      <c r="S273" s="182">
        <v>2</v>
      </c>
      <c r="T273" s="183">
        <f t="array" ref="T273">IF(AND(ISBLANK(F273:S273)),"", SUM(F273:J273)/15*40 + SUM(K273:S273)/27*60)</f>
        <v>55.777777777777771</v>
      </c>
    </row>
    <row r="274" spans="1:20">
      <c r="A274" s="178">
        <v>249</v>
      </c>
      <c r="B274" s="178" t="s">
        <v>785</v>
      </c>
      <c r="C274" s="178" t="s">
        <v>1892</v>
      </c>
      <c r="D274" s="178">
        <v>8</v>
      </c>
      <c r="E274" s="178" t="s">
        <v>784</v>
      </c>
      <c r="F274" s="180">
        <v>1</v>
      </c>
      <c r="G274" s="180">
        <v>0</v>
      </c>
      <c r="H274" s="178">
        <v>1</v>
      </c>
      <c r="I274" s="178">
        <v>0</v>
      </c>
      <c r="K274" s="180">
        <v>0</v>
      </c>
      <c r="L274" s="180">
        <v>3</v>
      </c>
      <c r="M274" s="180">
        <v>1</v>
      </c>
      <c r="N274" s="178">
        <v>0</v>
      </c>
      <c r="O274" s="178">
        <v>3</v>
      </c>
      <c r="P274" s="178">
        <v>3</v>
      </c>
      <c r="Q274" s="178">
        <v>0.5</v>
      </c>
      <c r="R274" s="178">
        <v>0</v>
      </c>
      <c r="S274" s="178">
        <v>0</v>
      </c>
      <c r="T274" s="183">
        <f t="array" ref="T274">IF(AND(ISBLANK(F274:S274)),"", SUM(F274:J274)/15*40 + SUM(K274:S274)/27*60)</f>
        <v>28.666666666666664</v>
      </c>
    </row>
    <row r="275" spans="1:20">
      <c r="A275" s="178">
        <v>250</v>
      </c>
      <c r="B275" s="178">
        <v>6</v>
      </c>
      <c r="C275" s="178" t="s">
        <v>1810</v>
      </c>
      <c r="D275" s="178">
        <v>6</v>
      </c>
      <c r="E275" s="178" t="s">
        <v>787</v>
      </c>
      <c r="F275" s="186">
        <v>2</v>
      </c>
      <c r="G275" s="186">
        <v>2</v>
      </c>
      <c r="H275" s="187">
        <v>3</v>
      </c>
      <c r="I275" s="187">
        <v>0</v>
      </c>
      <c r="J275" s="182">
        <v>3</v>
      </c>
      <c r="K275" s="180">
        <v>3</v>
      </c>
      <c r="L275" s="180">
        <v>3</v>
      </c>
      <c r="M275" s="180">
        <v>2</v>
      </c>
      <c r="N275" s="181">
        <v>2</v>
      </c>
      <c r="O275" s="181">
        <v>3</v>
      </c>
      <c r="P275" s="181">
        <v>1</v>
      </c>
      <c r="Q275" s="182">
        <v>2.5</v>
      </c>
      <c r="R275" s="182">
        <v>2</v>
      </c>
      <c r="S275" s="182">
        <v>1</v>
      </c>
      <c r="T275" s="183">
        <f t="array" ref="T275">IF(AND(ISBLANK(F275:S275)),"", SUM(F275:J275)/15*40 + SUM(K275:S275)/27*60)</f>
        <v>70</v>
      </c>
    </row>
    <row r="276" spans="1:20">
      <c r="A276" s="178">
        <v>251</v>
      </c>
      <c r="B276" s="178" t="s">
        <v>798</v>
      </c>
      <c r="C276" s="178" t="s">
        <v>796</v>
      </c>
      <c r="D276" s="178">
        <v>2</v>
      </c>
      <c r="E276" s="178" t="s">
        <v>797</v>
      </c>
      <c r="F276" s="186">
        <v>2</v>
      </c>
      <c r="G276" s="186">
        <v>0</v>
      </c>
      <c r="H276" s="187">
        <v>1</v>
      </c>
      <c r="I276" s="187">
        <v>0</v>
      </c>
      <c r="J276" s="182">
        <v>1</v>
      </c>
      <c r="K276" s="180">
        <v>3</v>
      </c>
      <c r="L276" s="180">
        <v>2</v>
      </c>
      <c r="M276" s="180">
        <v>1</v>
      </c>
      <c r="N276" s="181">
        <v>1</v>
      </c>
      <c r="O276" s="181">
        <v>0</v>
      </c>
      <c r="P276" s="181">
        <v>0</v>
      </c>
      <c r="Q276" s="182">
        <v>0</v>
      </c>
      <c r="R276" s="182"/>
      <c r="S276" s="182"/>
      <c r="T276" s="183">
        <f t="array" ref="T276">IF(AND(ISBLANK(F276:S276)),"", SUM(F276:J276)/15*40 + SUM(K276:S276)/27*60)</f>
        <v>26.222222222222221</v>
      </c>
    </row>
    <row r="277" spans="1:20">
      <c r="A277" s="178">
        <v>252</v>
      </c>
      <c r="B277" s="178" t="s">
        <v>801</v>
      </c>
      <c r="C277" s="178" t="s">
        <v>799</v>
      </c>
      <c r="D277" s="178">
        <v>9</v>
      </c>
      <c r="E277" s="178" t="s">
        <v>800</v>
      </c>
      <c r="F277" s="186">
        <v>1</v>
      </c>
      <c r="G277" s="186">
        <v>0</v>
      </c>
      <c r="H277" s="187">
        <v>1</v>
      </c>
      <c r="I277" s="187">
        <v>0</v>
      </c>
      <c r="J277" s="182">
        <v>3</v>
      </c>
      <c r="K277" s="180">
        <v>3</v>
      </c>
      <c r="L277" s="180">
        <v>2</v>
      </c>
      <c r="M277" s="180">
        <v>1</v>
      </c>
      <c r="N277" s="181">
        <v>2</v>
      </c>
      <c r="O277" s="181">
        <v>3</v>
      </c>
      <c r="P277" s="181">
        <v>0</v>
      </c>
      <c r="Q277" s="182">
        <v>0</v>
      </c>
      <c r="R277" s="182">
        <v>0</v>
      </c>
      <c r="S277" s="182">
        <v>1</v>
      </c>
      <c r="T277" s="183">
        <f t="array" ref="T277">IF(AND(ISBLANK(F277:S277)),"", SUM(F277:J277)/15*40 + SUM(K277:S277)/27*60)</f>
        <v>40</v>
      </c>
    </row>
    <row r="278" spans="1:20">
      <c r="A278" s="178">
        <v>253</v>
      </c>
      <c r="B278" s="178" t="s">
        <v>804</v>
      </c>
      <c r="C278" s="178" t="s">
        <v>802</v>
      </c>
      <c r="D278" s="178">
        <v>10</v>
      </c>
      <c r="E278" s="178" t="s">
        <v>803</v>
      </c>
      <c r="F278" s="180">
        <v>2</v>
      </c>
      <c r="G278" s="180">
        <v>1</v>
      </c>
      <c r="H278" s="178">
        <v>2</v>
      </c>
      <c r="I278" s="178">
        <v>0</v>
      </c>
      <c r="J278" s="178">
        <v>2</v>
      </c>
      <c r="K278" s="180">
        <v>3</v>
      </c>
      <c r="L278" s="180">
        <v>0</v>
      </c>
      <c r="M278" s="180">
        <v>0</v>
      </c>
      <c r="N278" s="178">
        <v>3</v>
      </c>
      <c r="O278" s="178">
        <v>3</v>
      </c>
      <c r="P278" s="178">
        <v>0</v>
      </c>
      <c r="Q278" s="178">
        <v>0</v>
      </c>
      <c r="R278" s="178">
        <v>1</v>
      </c>
      <c r="S278" s="178">
        <v>0</v>
      </c>
      <c r="T278" s="183">
        <f t="array" ref="T278">IF(AND(ISBLANK(F278:S278)),"", SUM(F278:J278)/15*40 + SUM(K278:S278)/27*60)</f>
        <v>40.888888888888886</v>
      </c>
    </row>
    <row r="279" spans="1:20">
      <c r="A279" s="178">
        <v>254</v>
      </c>
      <c r="B279" s="178" t="s">
        <v>807</v>
      </c>
      <c r="C279" s="178" t="s">
        <v>1714</v>
      </c>
      <c r="D279" s="178">
        <v>2</v>
      </c>
      <c r="E279" s="178" t="s">
        <v>806</v>
      </c>
      <c r="F279" s="186">
        <v>3</v>
      </c>
      <c r="G279" s="186">
        <v>3</v>
      </c>
      <c r="H279" s="187">
        <v>2</v>
      </c>
      <c r="I279" s="187">
        <v>2</v>
      </c>
      <c r="J279" s="182">
        <v>3</v>
      </c>
      <c r="K279" s="180">
        <v>3</v>
      </c>
      <c r="L279" s="180">
        <v>3</v>
      </c>
      <c r="M279" s="180">
        <v>3</v>
      </c>
      <c r="N279" s="181">
        <v>1</v>
      </c>
      <c r="O279" s="181">
        <v>3</v>
      </c>
      <c r="P279" s="181">
        <v>0</v>
      </c>
      <c r="Q279" s="182">
        <v>3</v>
      </c>
      <c r="R279" s="182">
        <v>2</v>
      </c>
      <c r="S279" s="182">
        <v>2</v>
      </c>
      <c r="T279" s="183">
        <f t="array" ref="T279">IF(AND(ISBLANK(F279:S279)),"", SUM(F279:J279)/15*40 + SUM(K279:S279)/27*60)</f>
        <v>79.111111111111114</v>
      </c>
    </row>
    <row r="280" spans="1:20">
      <c r="A280" s="178">
        <v>255</v>
      </c>
      <c r="B280" s="178" t="s">
        <v>810</v>
      </c>
      <c r="C280" s="178" t="s">
        <v>808</v>
      </c>
      <c r="D280" s="178">
        <v>10</v>
      </c>
      <c r="E280" s="178" t="s">
        <v>809</v>
      </c>
      <c r="F280" s="186">
        <v>2</v>
      </c>
      <c r="G280" s="186">
        <v>2</v>
      </c>
      <c r="H280" s="187">
        <v>3</v>
      </c>
      <c r="I280" s="187">
        <v>0</v>
      </c>
      <c r="J280" s="182">
        <v>3</v>
      </c>
      <c r="K280" s="180">
        <v>3</v>
      </c>
      <c r="L280" s="180">
        <v>1</v>
      </c>
      <c r="M280" s="180">
        <v>2</v>
      </c>
      <c r="N280" s="181">
        <v>0</v>
      </c>
      <c r="O280" s="181">
        <v>1</v>
      </c>
      <c r="P280" s="181">
        <v>0</v>
      </c>
      <c r="Q280" s="182">
        <v>0.5</v>
      </c>
      <c r="R280" s="182"/>
      <c r="S280" s="182"/>
      <c r="T280" s="183">
        <f t="array" ref="T280">IF(AND(ISBLANK(F280:S280)),"", SUM(F280:J280)/15*40 + SUM(K280:S280)/27*60)</f>
        <v>43.333333333333329</v>
      </c>
    </row>
    <row r="281" spans="1:20">
      <c r="A281" s="178">
        <v>256</v>
      </c>
      <c r="B281" s="178" t="s">
        <v>813</v>
      </c>
      <c r="C281" s="178" t="s">
        <v>811</v>
      </c>
      <c r="D281" s="178">
        <v>9</v>
      </c>
      <c r="E281" s="178" t="s">
        <v>812</v>
      </c>
      <c r="F281" s="180">
        <v>2</v>
      </c>
      <c r="G281" s="180">
        <v>0</v>
      </c>
      <c r="H281" s="178">
        <v>3</v>
      </c>
      <c r="I281" s="178">
        <v>1</v>
      </c>
      <c r="J281" s="178">
        <v>1</v>
      </c>
      <c r="K281" s="180">
        <v>3</v>
      </c>
      <c r="L281" s="180">
        <v>3</v>
      </c>
      <c r="M281" s="180">
        <v>2</v>
      </c>
      <c r="N281" s="178">
        <v>1</v>
      </c>
      <c r="O281" s="178">
        <v>3</v>
      </c>
      <c r="P281" s="178">
        <v>0</v>
      </c>
      <c r="Q281" s="178">
        <v>2.5</v>
      </c>
      <c r="R281" s="178">
        <v>3</v>
      </c>
      <c r="S281" s="178">
        <v>3</v>
      </c>
      <c r="T281" s="183">
        <f t="array" ref="T281">IF(AND(ISBLANK(F281:S281)),"", SUM(F281:J281)/15*40 + SUM(K281:S281)/27*60)</f>
        <v>64.222222222222229</v>
      </c>
    </row>
    <row r="282" spans="1:20">
      <c r="A282" s="178">
        <v>257</v>
      </c>
      <c r="B282" s="178" t="s">
        <v>817</v>
      </c>
      <c r="C282" s="178" t="s">
        <v>814</v>
      </c>
      <c r="D282" s="178">
        <v>7</v>
      </c>
      <c r="E282" s="178" t="s">
        <v>815</v>
      </c>
      <c r="F282" s="178">
        <v>2</v>
      </c>
      <c r="G282" s="178">
        <v>0</v>
      </c>
      <c r="H282" s="178">
        <v>0</v>
      </c>
      <c r="I282" s="178">
        <v>0</v>
      </c>
      <c r="J282" s="178">
        <v>0</v>
      </c>
      <c r="L282" s="178">
        <v>0</v>
      </c>
      <c r="M282" s="178">
        <v>0</v>
      </c>
      <c r="N282" s="178">
        <v>0</v>
      </c>
      <c r="T282" s="183">
        <f t="array" ref="T282">IF(AND(ISBLANK(F282:S282)),"", SUM(F282:J282)/15*40 + SUM(K282:S282)/27*60)</f>
        <v>5.333333333333333</v>
      </c>
    </row>
    <row r="283" spans="1:20">
      <c r="A283" s="178">
        <v>258</v>
      </c>
      <c r="B283" s="178" t="s">
        <v>820</v>
      </c>
      <c r="C283" s="178" t="s">
        <v>818</v>
      </c>
      <c r="D283" s="178">
        <v>10</v>
      </c>
      <c r="E283" s="178" t="s">
        <v>819</v>
      </c>
      <c r="F283" s="186">
        <v>2</v>
      </c>
      <c r="G283" s="186">
        <v>2</v>
      </c>
      <c r="H283" s="187">
        <v>3</v>
      </c>
      <c r="I283" s="187">
        <v>1</v>
      </c>
      <c r="J283" s="182">
        <v>3</v>
      </c>
      <c r="K283" s="180">
        <v>3</v>
      </c>
      <c r="L283" s="180">
        <v>3</v>
      </c>
      <c r="M283" s="180">
        <v>2</v>
      </c>
      <c r="N283" s="181">
        <v>3</v>
      </c>
      <c r="O283" s="181">
        <v>3</v>
      </c>
      <c r="P283" s="181">
        <v>0</v>
      </c>
      <c r="Q283" s="182">
        <v>2.5</v>
      </c>
      <c r="R283" s="182">
        <v>2</v>
      </c>
      <c r="S283" s="182">
        <v>2</v>
      </c>
      <c r="T283" s="183">
        <f t="array" ref="T283">IF(AND(ISBLANK(F283:S283)),"", SUM(F283:J283)/15*40 + SUM(K283:S283)/27*60)</f>
        <v>74.888888888888886</v>
      </c>
    </row>
    <row r="284" spans="1:20">
      <c r="A284" s="178">
        <v>331</v>
      </c>
      <c r="C284" s="178" t="s">
        <v>2021</v>
      </c>
      <c r="D284" s="178" t="s">
        <v>1993</v>
      </c>
      <c r="F284" s="178">
        <v>3</v>
      </c>
      <c r="G284" s="178">
        <v>2</v>
      </c>
      <c r="H284" s="178">
        <v>2</v>
      </c>
      <c r="I284" s="178">
        <v>1</v>
      </c>
      <c r="J284" s="178">
        <v>3</v>
      </c>
      <c r="K284" s="178">
        <v>3</v>
      </c>
      <c r="L284" s="178">
        <v>3</v>
      </c>
      <c r="M284" s="178">
        <v>1</v>
      </c>
      <c r="N284" s="178">
        <v>1</v>
      </c>
      <c r="O284" s="178">
        <v>3</v>
      </c>
      <c r="P284" s="178">
        <v>0</v>
      </c>
      <c r="Q284" s="178">
        <v>3</v>
      </c>
      <c r="R284" s="178">
        <v>2</v>
      </c>
      <c r="S284" s="178">
        <v>2</v>
      </c>
      <c r="T284" s="183">
        <f t="array" ref="T284">IF(AND(ISBLANK(F284:S284)),"", SUM(F284:J284)/15*40 + SUM(K284:S284)/27*60)</f>
        <v>69.333333333333329</v>
      </c>
    </row>
    <row r="285" spans="1:20">
      <c r="A285" s="178">
        <v>259</v>
      </c>
      <c r="B285" s="178" t="s">
        <v>826</v>
      </c>
      <c r="C285" s="178" t="s">
        <v>824</v>
      </c>
      <c r="D285" s="178">
        <v>11</v>
      </c>
      <c r="E285" s="178" t="s">
        <v>825</v>
      </c>
      <c r="F285" s="186">
        <v>1</v>
      </c>
      <c r="G285" s="186">
        <v>0</v>
      </c>
      <c r="H285" s="187">
        <v>3</v>
      </c>
      <c r="I285" s="187">
        <v>0</v>
      </c>
      <c r="J285" s="182"/>
      <c r="K285" s="180">
        <v>0</v>
      </c>
      <c r="L285" s="180">
        <v>3</v>
      </c>
      <c r="M285" s="180">
        <v>1</v>
      </c>
      <c r="N285" s="181">
        <v>2</v>
      </c>
      <c r="O285" s="181">
        <v>3</v>
      </c>
      <c r="P285" s="181">
        <v>0</v>
      </c>
      <c r="Q285" s="182">
        <v>2.5</v>
      </c>
      <c r="R285" s="182">
        <v>2</v>
      </c>
      <c r="S285" s="182">
        <v>2</v>
      </c>
      <c r="T285" s="183">
        <f t="array" ref="T285">IF(AND(ISBLANK(F285:S285)),"", SUM(F285:J285)/15*40 + SUM(K285:S285)/27*60)</f>
        <v>45.111111111111107</v>
      </c>
    </row>
    <row r="286" spans="1:20">
      <c r="A286" s="178">
        <v>260</v>
      </c>
      <c r="B286" s="178" t="s">
        <v>829</v>
      </c>
      <c r="C286" s="178" t="s">
        <v>827</v>
      </c>
      <c r="D286" s="178">
        <v>1</v>
      </c>
      <c r="E286" s="178" t="s">
        <v>828</v>
      </c>
      <c r="F286" s="186">
        <v>3</v>
      </c>
      <c r="G286" s="186">
        <v>3</v>
      </c>
      <c r="H286" s="187">
        <v>3</v>
      </c>
      <c r="I286" s="187">
        <v>2</v>
      </c>
      <c r="J286" s="182">
        <v>3</v>
      </c>
      <c r="K286" s="180">
        <v>3</v>
      </c>
      <c r="L286" s="180">
        <v>3</v>
      </c>
      <c r="M286" s="180">
        <v>3</v>
      </c>
      <c r="N286" s="181">
        <v>3</v>
      </c>
      <c r="O286" s="181">
        <v>3</v>
      </c>
      <c r="P286" s="181">
        <v>3</v>
      </c>
      <c r="Q286" s="182">
        <v>3</v>
      </c>
      <c r="R286" s="182">
        <v>2</v>
      </c>
      <c r="S286" s="182">
        <v>3</v>
      </c>
      <c r="T286" s="183">
        <f t="array" ref="T286">IF(AND(ISBLANK(F286:S286)),"", SUM(F286:J286)/15*40 + SUM(K286:S286)/27*60)</f>
        <v>95.111111111111114</v>
      </c>
    </row>
    <row r="287" spans="1:20">
      <c r="A287" s="178">
        <v>261</v>
      </c>
      <c r="B287" s="178" t="s">
        <v>832</v>
      </c>
      <c r="C287" s="178" t="s">
        <v>830</v>
      </c>
      <c r="D287" s="178">
        <v>9</v>
      </c>
      <c r="E287" s="178" t="s">
        <v>831</v>
      </c>
      <c r="F287" s="186">
        <v>1</v>
      </c>
      <c r="G287" s="186">
        <v>0</v>
      </c>
      <c r="H287" s="187">
        <v>1</v>
      </c>
      <c r="I287" s="187">
        <v>1</v>
      </c>
      <c r="J287" s="182">
        <v>3</v>
      </c>
      <c r="K287" s="180">
        <v>3</v>
      </c>
      <c r="L287" s="180">
        <v>2</v>
      </c>
      <c r="M287" s="180">
        <v>2</v>
      </c>
      <c r="N287" s="181">
        <v>1</v>
      </c>
      <c r="O287" s="181">
        <v>3</v>
      </c>
      <c r="P287" s="181">
        <v>2</v>
      </c>
      <c r="Q287" s="182">
        <v>0</v>
      </c>
      <c r="R287" s="182"/>
      <c r="S287" s="182"/>
      <c r="T287" s="183">
        <f t="array" ref="T287">IF(AND(ISBLANK(F287:S287)),"", SUM(F287:J287)/15*40 + SUM(K287:S287)/27*60)</f>
        <v>44.888888888888886</v>
      </c>
    </row>
    <row r="288" spans="1:20">
      <c r="A288" s="178">
        <v>262</v>
      </c>
      <c r="B288" s="178" t="s">
        <v>835</v>
      </c>
      <c r="C288" s="178" t="s">
        <v>833</v>
      </c>
      <c r="D288" s="178">
        <v>10</v>
      </c>
      <c r="E288" s="178" t="s">
        <v>834</v>
      </c>
      <c r="F288" s="186">
        <v>2</v>
      </c>
      <c r="G288" s="186">
        <v>1</v>
      </c>
      <c r="H288" s="187">
        <v>1</v>
      </c>
      <c r="I288" s="187">
        <v>1</v>
      </c>
      <c r="J288" s="182"/>
      <c r="K288" s="180">
        <v>2.25</v>
      </c>
      <c r="L288" s="180">
        <v>2.5</v>
      </c>
      <c r="M288" s="180">
        <v>1</v>
      </c>
      <c r="N288" s="181">
        <v>1</v>
      </c>
      <c r="O288" s="181">
        <v>0</v>
      </c>
      <c r="P288" s="181">
        <v>0</v>
      </c>
      <c r="Q288" s="182"/>
      <c r="R288" s="182"/>
      <c r="S288" s="182"/>
      <c r="T288" s="183">
        <f t="array" ref="T288">IF(AND(ISBLANK(F288:S288)),"", SUM(F288:J288)/15*40 + SUM(K288:S288)/27*60)</f>
        <v>28.333333333333332</v>
      </c>
    </row>
    <row r="289" spans="1:20">
      <c r="A289" s="178">
        <v>263</v>
      </c>
      <c r="B289" s="178" t="s">
        <v>838</v>
      </c>
      <c r="C289" s="178" t="s">
        <v>836</v>
      </c>
      <c r="D289" s="178">
        <v>4</v>
      </c>
      <c r="E289" s="178" t="s">
        <v>837</v>
      </c>
      <c r="F289" s="182">
        <v>2</v>
      </c>
      <c r="G289" s="182">
        <v>1</v>
      </c>
      <c r="H289" s="182">
        <v>2</v>
      </c>
      <c r="I289" s="182">
        <v>0</v>
      </c>
      <c r="J289" s="182">
        <v>3</v>
      </c>
      <c r="K289" s="178">
        <v>1.75</v>
      </c>
      <c r="L289" s="178">
        <v>0</v>
      </c>
      <c r="M289" s="178">
        <v>1.5</v>
      </c>
      <c r="N289" s="181">
        <v>2</v>
      </c>
      <c r="O289" s="181">
        <v>3</v>
      </c>
      <c r="P289" s="181">
        <v>0</v>
      </c>
      <c r="Q289" s="182">
        <v>0</v>
      </c>
      <c r="R289" s="182">
        <v>0</v>
      </c>
      <c r="S289" s="182">
        <v>0</v>
      </c>
      <c r="T289" s="183">
        <f t="array" ref="T289">IF(AND(ISBLANK(F289:S289)),"", SUM(F289:J289)/15*40 + SUM(K289:S289)/27*60)</f>
        <v>39.666666666666671</v>
      </c>
    </row>
    <row r="290" spans="1:20">
      <c r="A290" s="178">
        <v>264</v>
      </c>
      <c r="B290" s="178" t="s">
        <v>841</v>
      </c>
      <c r="C290" s="178" t="s">
        <v>839</v>
      </c>
      <c r="D290" s="178">
        <v>1</v>
      </c>
      <c r="E290" s="178" t="s">
        <v>840</v>
      </c>
      <c r="F290" s="186">
        <v>3</v>
      </c>
      <c r="G290" s="186">
        <v>3</v>
      </c>
      <c r="H290" s="187">
        <v>3</v>
      </c>
      <c r="I290" s="187">
        <v>2</v>
      </c>
      <c r="J290" s="182">
        <v>3</v>
      </c>
      <c r="K290" s="180">
        <v>2.25</v>
      </c>
      <c r="L290" s="180">
        <v>3</v>
      </c>
      <c r="M290" s="180">
        <v>2</v>
      </c>
      <c r="N290" s="181">
        <v>3</v>
      </c>
      <c r="O290" s="181">
        <v>3</v>
      </c>
      <c r="P290" s="181">
        <v>3</v>
      </c>
      <c r="Q290" s="182">
        <v>3</v>
      </c>
      <c r="R290" s="182">
        <v>3</v>
      </c>
      <c r="S290" s="182">
        <v>3</v>
      </c>
      <c r="T290" s="183">
        <f t="array" ref="T290">IF(AND(ISBLANK(F290:S290)),"", SUM(F290:J290)/15*40 + SUM(K290:S290)/27*60)</f>
        <v>93.444444444444457</v>
      </c>
    </row>
    <row r="291" spans="1:20">
      <c r="A291" s="178">
        <v>265</v>
      </c>
      <c r="B291" s="178" t="s">
        <v>844</v>
      </c>
      <c r="C291" s="178" t="s">
        <v>1895</v>
      </c>
      <c r="D291" s="178">
        <v>10</v>
      </c>
      <c r="E291" s="178" t="s">
        <v>843</v>
      </c>
      <c r="F291" s="186">
        <v>3</v>
      </c>
      <c r="G291" s="186">
        <v>2</v>
      </c>
      <c r="H291" s="187">
        <v>2</v>
      </c>
      <c r="I291" s="187">
        <v>1</v>
      </c>
      <c r="J291" s="182">
        <v>3</v>
      </c>
      <c r="K291" s="180">
        <v>3</v>
      </c>
      <c r="L291" s="180">
        <v>3</v>
      </c>
      <c r="M291" s="180">
        <v>2</v>
      </c>
      <c r="N291" s="181">
        <v>1</v>
      </c>
      <c r="O291" s="181">
        <v>2</v>
      </c>
      <c r="P291" s="181">
        <v>0</v>
      </c>
      <c r="Q291" s="182">
        <v>2</v>
      </c>
      <c r="R291" s="182">
        <v>0</v>
      </c>
      <c r="S291" s="182"/>
      <c r="T291" s="183">
        <f t="array" ref="T291">IF(AND(ISBLANK(F291:S291)),"", SUM(F291:J291)/15*40 + SUM(K291:S291)/27*60)</f>
        <v>58.222222222222214</v>
      </c>
    </row>
    <row r="292" spans="1:20">
      <c r="A292" s="178">
        <v>266</v>
      </c>
      <c r="B292" s="178" t="s">
        <v>847</v>
      </c>
      <c r="C292" s="178" t="s">
        <v>845</v>
      </c>
      <c r="D292" s="178">
        <v>6</v>
      </c>
      <c r="E292" s="178" t="s">
        <v>846</v>
      </c>
      <c r="F292" s="180">
        <v>1</v>
      </c>
      <c r="G292" s="180">
        <v>1</v>
      </c>
      <c r="H292" s="178">
        <v>3</v>
      </c>
      <c r="I292" s="178">
        <v>1</v>
      </c>
      <c r="J292" s="178">
        <v>3</v>
      </c>
      <c r="K292" s="180">
        <v>2.75</v>
      </c>
      <c r="L292" s="180">
        <v>2</v>
      </c>
      <c r="M292" s="180">
        <v>1</v>
      </c>
      <c r="N292" s="178">
        <v>3</v>
      </c>
      <c r="O292" s="178">
        <v>3</v>
      </c>
      <c r="P292" s="178">
        <v>0</v>
      </c>
      <c r="Q292" s="178">
        <v>1</v>
      </c>
      <c r="R292" s="178">
        <v>2</v>
      </c>
      <c r="T292" s="183">
        <f t="array" ref="T292">IF(AND(ISBLANK(F292:S292)),"", SUM(F292:J292)/15*40 + SUM(K292:S292)/27*60)</f>
        <v>56.777777777777779</v>
      </c>
    </row>
    <row r="293" spans="1:20">
      <c r="A293" s="178">
        <v>267</v>
      </c>
      <c r="B293" s="178" t="s">
        <v>850</v>
      </c>
      <c r="C293" s="178" t="s">
        <v>848</v>
      </c>
      <c r="D293" s="178">
        <v>7</v>
      </c>
      <c r="E293" s="178" t="s">
        <v>849</v>
      </c>
      <c r="F293" s="186">
        <v>2</v>
      </c>
      <c r="G293" s="186">
        <v>3</v>
      </c>
      <c r="H293" s="187">
        <v>3</v>
      </c>
      <c r="I293" s="187">
        <v>2</v>
      </c>
      <c r="J293" s="182">
        <v>3</v>
      </c>
      <c r="K293" s="180">
        <v>3</v>
      </c>
      <c r="L293" s="180">
        <v>3</v>
      </c>
      <c r="M293" s="180">
        <v>2</v>
      </c>
      <c r="N293" s="181">
        <v>3</v>
      </c>
      <c r="O293" s="181">
        <v>3</v>
      </c>
      <c r="P293" s="181">
        <v>0</v>
      </c>
      <c r="Q293" s="182">
        <v>2.5</v>
      </c>
      <c r="R293" s="182">
        <v>2</v>
      </c>
      <c r="S293" s="182">
        <v>3</v>
      </c>
      <c r="T293" s="183">
        <f t="array" ref="T293">IF(AND(ISBLANK(F293:S293)),"", SUM(F293:J293)/15*40 + SUM(K293:S293)/27*60)</f>
        <v>82.444444444444457</v>
      </c>
    </row>
    <row r="294" spans="1:20">
      <c r="A294" s="178">
        <v>268</v>
      </c>
      <c r="B294" s="178" t="s">
        <v>853</v>
      </c>
      <c r="C294" s="178" t="s">
        <v>851</v>
      </c>
      <c r="D294" s="178">
        <v>12</v>
      </c>
      <c r="E294" s="178" t="s">
        <v>852</v>
      </c>
      <c r="F294" s="182">
        <v>3</v>
      </c>
      <c r="G294" s="182">
        <v>2</v>
      </c>
      <c r="H294" s="182">
        <v>3</v>
      </c>
      <c r="I294" s="182">
        <v>2</v>
      </c>
      <c r="J294" s="182">
        <v>3</v>
      </c>
      <c r="K294" s="178">
        <v>2.75</v>
      </c>
      <c r="L294" s="178">
        <v>3</v>
      </c>
      <c r="M294" s="178">
        <v>1</v>
      </c>
      <c r="N294" s="181">
        <v>3</v>
      </c>
      <c r="O294" s="181">
        <v>3</v>
      </c>
      <c r="P294" s="181">
        <v>3</v>
      </c>
      <c r="Q294" s="182">
        <v>2.5</v>
      </c>
      <c r="R294" s="182">
        <v>3</v>
      </c>
      <c r="S294" s="182">
        <v>3</v>
      </c>
      <c r="T294" s="183">
        <f t="array" ref="T294">IF(AND(ISBLANK(F294:S294)),"", SUM(F294:J294)/15*40 + SUM(K294:S294)/27*60)</f>
        <v>88.555555555555557</v>
      </c>
    </row>
    <row r="295" spans="1:20">
      <c r="A295" s="178">
        <v>269</v>
      </c>
      <c r="B295" s="178" t="s">
        <v>856</v>
      </c>
      <c r="C295" s="178" t="s">
        <v>854</v>
      </c>
      <c r="D295" s="178">
        <v>8</v>
      </c>
      <c r="E295" s="178" t="s">
        <v>855</v>
      </c>
      <c r="F295" s="186">
        <v>2</v>
      </c>
      <c r="G295" s="186">
        <v>2</v>
      </c>
      <c r="H295" s="187">
        <v>3</v>
      </c>
      <c r="I295" s="187">
        <v>1</v>
      </c>
      <c r="J295" s="182">
        <v>3</v>
      </c>
      <c r="K295" s="180">
        <v>3</v>
      </c>
      <c r="L295" s="180">
        <v>2</v>
      </c>
      <c r="M295" s="180">
        <v>3</v>
      </c>
      <c r="N295" s="181">
        <v>2</v>
      </c>
      <c r="O295" s="181">
        <v>3</v>
      </c>
      <c r="P295" s="181">
        <v>0</v>
      </c>
      <c r="Q295" s="182">
        <v>2</v>
      </c>
      <c r="R295" s="182">
        <v>2</v>
      </c>
      <c r="S295" s="182">
        <v>2</v>
      </c>
      <c r="T295" s="183">
        <f t="array" ref="T295">IF(AND(ISBLANK(F295:S295)),"", SUM(F295:J295)/15*40 + SUM(K295:S295)/27*60)</f>
        <v>71.555555555555557</v>
      </c>
    </row>
    <row r="296" spans="1:20">
      <c r="A296" s="178">
        <v>270</v>
      </c>
      <c r="B296" s="178" t="s">
        <v>1813</v>
      </c>
      <c r="C296" s="178" t="s">
        <v>1816</v>
      </c>
      <c r="D296" s="178">
        <v>1</v>
      </c>
      <c r="E296" s="178" t="s">
        <v>2022</v>
      </c>
      <c r="N296" s="181"/>
      <c r="O296" s="181"/>
      <c r="P296" s="181"/>
      <c r="T296" s="183">
        <v>0</v>
      </c>
    </row>
    <row r="297" spans="1:20">
      <c r="A297" s="178">
        <v>271</v>
      </c>
      <c r="B297" s="178" t="s">
        <v>863</v>
      </c>
      <c r="C297" s="188" t="s">
        <v>861</v>
      </c>
      <c r="D297" s="178">
        <v>12</v>
      </c>
      <c r="E297" s="178" t="s">
        <v>862</v>
      </c>
      <c r="F297" s="178">
        <v>3</v>
      </c>
      <c r="G297" s="178">
        <v>2</v>
      </c>
      <c r="H297" s="188">
        <v>3</v>
      </c>
      <c r="I297" s="188">
        <v>2</v>
      </c>
      <c r="J297" s="188">
        <v>0</v>
      </c>
      <c r="K297" s="178">
        <v>3</v>
      </c>
      <c r="L297" s="178">
        <v>3</v>
      </c>
      <c r="M297" s="178">
        <v>0</v>
      </c>
      <c r="N297" s="181">
        <v>0.5</v>
      </c>
      <c r="O297" s="181">
        <v>0</v>
      </c>
      <c r="P297" s="181">
        <v>0</v>
      </c>
      <c r="Q297" s="182">
        <v>2</v>
      </c>
      <c r="R297" s="182">
        <v>2</v>
      </c>
      <c r="S297" s="182"/>
      <c r="T297" s="183">
        <f t="array" ref="T297">IF(AND(ISBLANK(F297:S297)),"", SUM(F297:J297)/15*40 + SUM(K297:S297)/27*60)</f>
        <v>50</v>
      </c>
    </row>
    <row r="298" spans="1:20">
      <c r="A298" s="178">
        <v>272</v>
      </c>
      <c r="B298" s="178" t="s">
        <v>866</v>
      </c>
      <c r="C298" s="178" t="s">
        <v>864</v>
      </c>
      <c r="D298" s="178">
        <v>11</v>
      </c>
      <c r="E298" s="178" t="s">
        <v>865</v>
      </c>
      <c r="F298" s="180">
        <v>0</v>
      </c>
      <c r="G298" s="180">
        <v>0</v>
      </c>
      <c r="H298" s="178">
        <v>0</v>
      </c>
      <c r="I298" s="178">
        <v>0</v>
      </c>
      <c r="K298" s="180">
        <v>0</v>
      </c>
      <c r="L298" s="180">
        <v>1</v>
      </c>
      <c r="M298" s="180">
        <v>1</v>
      </c>
      <c r="N298" s="181">
        <v>1</v>
      </c>
      <c r="O298" s="181">
        <v>0</v>
      </c>
      <c r="P298" s="181">
        <v>0</v>
      </c>
      <c r="T298" s="183">
        <f t="array" ref="T298">IF(AND(ISBLANK(F298:S298)),"", SUM(F298:J298)/15*40 + SUM(K298:S298)/27*60)</f>
        <v>6.6666666666666661</v>
      </c>
    </row>
    <row r="299" spans="1:20">
      <c r="A299" s="178">
        <v>273</v>
      </c>
      <c r="B299" s="178" t="s">
        <v>869</v>
      </c>
      <c r="C299" s="178" t="s">
        <v>867</v>
      </c>
      <c r="D299" s="178">
        <v>5</v>
      </c>
      <c r="E299" s="178" t="s">
        <v>868</v>
      </c>
      <c r="F299" s="186">
        <v>1</v>
      </c>
      <c r="G299" s="186">
        <v>1</v>
      </c>
      <c r="H299" s="187">
        <v>2</v>
      </c>
      <c r="I299" s="187">
        <v>1</v>
      </c>
      <c r="J299" s="182">
        <v>3</v>
      </c>
      <c r="K299" s="180">
        <v>3</v>
      </c>
      <c r="L299" s="180">
        <v>3</v>
      </c>
      <c r="M299" s="180">
        <v>1</v>
      </c>
      <c r="N299" s="181">
        <v>3</v>
      </c>
      <c r="O299" s="181">
        <v>0</v>
      </c>
      <c r="P299" s="181">
        <v>0</v>
      </c>
      <c r="Q299" s="182"/>
      <c r="R299" s="182"/>
      <c r="S299" s="182"/>
      <c r="T299" s="183">
        <f t="array" ref="T299">IF(AND(ISBLANK(F299:S299)),"", SUM(F299:J299)/15*40 + SUM(K299:S299)/27*60)</f>
        <v>43.555555555555557</v>
      </c>
    </row>
    <row r="300" spans="1:20">
      <c r="A300" s="178">
        <v>274</v>
      </c>
      <c r="B300" s="178" t="s">
        <v>860</v>
      </c>
      <c r="C300" s="178" t="s">
        <v>1906</v>
      </c>
      <c r="D300" s="178">
        <v>1</v>
      </c>
      <c r="E300" s="178" t="s">
        <v>859</v>
      </c>
      <c r="F300" s="182">
        <v>1</v>
      </c>
      <c r="G300" s="182">
        <v>0</v>
      </c>
      <c r="H300" s="182"/>
      <c r="I300" s="182"/>
      <c r="J300" s="182"/>
      <c r="K300" s="178">
        <v>0</v>
      </c>
      <c r="L300" s="178">
        <v>3</v>
      </c>
      <c r="M300" s="178">
        <v>1.5</v>
      </c>
      <c r="N300" s="181">
        <v>1</v>
      </c>
      <c r="O300" s="181">
        <v>2</v>
      </c>
      <c r="P300" s="181">
        <v>0</v>
      </c>
      <c r="Q300" s="182"/>
      <c r="R300" s="182"/>
      <c r="S300" s="182"/>
      <c r="T300" s="183">
        <f t="array" ref="T300">IF(AND(ISBLANK(F300:S300)),"", SUM(F300:J300)/15*40 + SUM(K300:S300)/27*60)</f>
        <v>19.333333333333336</v>
      </c>
    </row>
    <row r="301" spans="1:20">
      <c r="A301" s="178">
        <v>275</v>
      </c>
      <c r="B301" s="178" t="s">
        <v>872</v>
      </c>
      <c r="C301" s="178" t="s">
        <v>870</v>
      </c>
      <c r="D301" s="178">
        <v>11</v>
      </c>
      <c r="E301" s="178" t="s">
        <v>871</v>
      </c>
      <c r="F301" s="186">
        <v>3</v>
      </c>
      <c r="G301" s="186">
        <v>2</v>
      </c>
      <c r="H301" s="187">
        <v>3</v>
      </c>
      <c r="I301" s="187">
        <v>2</v>
      </c>
      <c r="J301" s="182">
        <v>3</v>
      </c>
      <c r="K301" s="180">
        <v>3</v>
      </c>
      <c r="L301" s="180">
        <v>3</v>
      </c>
      <c r="M301" s="180">
        <v>2</v>
      </c>
      <c r="N301" s="181">
        <v>3</v>
      </c>
      <c r="O301" s="181">
        <v>3</v>
      </c>
      <c r="P301" s="181">
        <v>3</v>
      </c>
      <c r="Q301" s="182">
        <v>3</v>
      </c>
      <c r="R301" s="182">
        <v>3</v>
      </c>
      <c r="S301" s="182">
        <v>2</v>
      </c>
      <c r="T301" s="183">
        <f t="array" ref="T301">IF(AND(ISBLANK(F301:S301)),"", SUM(F301:J301)/15*40 + SUM(K301:S301)/27*60)</f>
        <v>90.222222222222229</v>
      </c>
    </row>
    <row r="302" spans="1:20">
      <c r="A302" s="178">
        <v>276</v>
      </c>
      <c r="B302" s="178" t="s">
        <v>875</v>
      </c>
      <c r="C302" s="178" t="s">
        <v>873</v>
      </c>
      <c r="D302" s="178">
        <v>5</v>
      </c>
      <c r="E302" s="178" t="s">
        <v>874</v>
      </c>
      <c r="F302" s="186">
        <v>3</v>
      </c>
      <c r="G302" s="186">
        <v>1</v>
      </c>
      <c r="H302" s="187">
        <v>1</v>
      </c>
      <c r="I302" s="187">
        <v>1</v>
      </c>
      <c r="J302" s="182">
        <v>3</v>
      </c>
      <c r="K302" s="180">
        <v>3</v>
      </c>
      <c r="L302" s="180">
        <v>3</v>
      </c>
      <c r="M302" s="180">
        <v>3</v>
      </c>
      <c r="N302" s="181">
        <v>3</v>
      </c>
      <c r="O302" s="181">
        <v>3</v>
      </c>
      <c r="P302" s="181">
        <v>3</v>
      </c>
      <c r="Q302" s="182">
        <v>3</v>
      </c>
      <c r="R302" s="182">
        <v>0</v>
      </c>
      <c r="S302" s="182">
        <v>1</v>
      </c>
      <c r="T302" s="183">
        <f t="array" ref="T302">IF(AND(ISBLANK(F302:S302)),"", SUM(F302:J302)/15*40 + SUM(K302:S302)/27*60)</f>
        <v>72.888888888888886</v>
      </c>
    </row>
    <row r="303" spans="1:20">
      <c r="A303" s="178">
        <v>277</v>
      </c>
      <c r="B303" s="178" t="s">
        <v>878</v>
      </c>
      <c r="C303" s="178" t="s">
        <v>876</v>
      </c>
      <c r="D303" s="178">
        <v>5</v>
      </c>
      <c r="E303" s="178" t="s">
        <v>877</v>
      </c>
      <c r="F303" s="180">
        <v>3</v>
      </c>
      <c r="G303" s="180">
        <v>3</v>
      </c>
      <c r="H303" s="178">
        <v>3</v>
      </c>
      <c r="I303" s="178">
        <v>2</v>
      </c>
      <c r="J303" s="178">
        <v>3</v>
      </c>
      <c r="K303" s="180">
        <v>3</v>
      </c>
      <c r="L303" s="180">
        <v>3</v>
      </c>
      <c r="M303" s="180">
        <v>1</v>
      </c>
      <c r="N303" s="178">
        <v>2</v>
      </c>
      <c r="O303" s="178">
        <v>3</v>
      </c>
      <c r="P303" s="178">
        <v>3</v>
      </c>
      <c r="Q303" s="178">
        <v>2.5</v>
      </c>
      <c r="R303" s="178">
        <v>2</v>
      </c>
      <c r="S303" s="178">
        <v>2</v>
      </c>
      <c r="T303" s="183">
        <f t="array" ref="T303">IF(AND(ISBLANK(F303:S303)),"", SUM(F303:J303)/15*40 + SUM(K303:S303)/27*60)</f>
        <v>85.111111111111114</v>
      </c>
    </row>
    <row r="304" spans="1:20">
      <c r="A304" s="178">
        <v>278</v>
      </c>
      <c r="B304" s="178" t="s">
        <v>881</v>
      </c>
      <c r="C304" s="178" t="s">
        <v>879</v>
      </c>
      <c r="D304" s="178">
        <v>4</v>
      </c>
      <c r="E304" s="178" t="s">
        <v>880</v>
      </c>
      <c r="F304" s="186">
        <v>2</v>
      </c>
      <c r="G304" s="186">
        <v>3</v>
      </c>
      <c r="H304" s="187">
        <v>2</v>
      </c>
      <c r="I304" s="187">
        <v>1</v>
      </c>
      <c r="J304" s="182">
        <v>1</v>
      </c>
      <c r="K304" s="180">
        <v>2.25</v>
      </c>
      <c r="L304" s="180">
        <v>3</v>
      </c>
      <c r="M304" s="180">
        <v>1</v>
      </c>
      <c r="N304" s="181">
        <v>0</v>
      </c>
      <c r="O304" s="181">
        <v>2</v>
      </c>
      <c r="P304" s="181">
        <v>0</v>
      </c>
      <c r="Q304" s="182">
        <v>0.5</v>
      </c>
      <c r="R304" s="182">
        <v>2</v>
      </c>
      <c r="S304" s="182">
        <v>1</v>
      </c>
      <c r="T304" s="183">
        <f t="array" ref="T304">IF(AND(ISBLANK(F304:S304)),"", SUM(F304:J304)/15*40 + SUM(K304:S304)/27*60)</f>
        <v>50.111111111111114</v>
      </c>
    </row>
    <row r="305" spans="1:20">
      <c r="A305" s="178">
        <v>279</v>
      </c>
      <c r="B305" s="178" t="s">
        <v>884</v>
      </c>
      <c r="C305" s="178" t="s">
        <v>882</v>
      </c>
      <c r="D305" s="178">
        <v>9</v>
      </c>
      <c r="E305" s="178" t="s">
        <v>883</v>
      </c>
      <c r="F305" s="186">
        <v>3</v>
      </c>
      <c r="G305" s="186">
        <v>2</v>
      </c>
      <c r="H305" s="187">
        <v>3</v>
      </c>
      <c r="I305" s="187">
        <v>2</v>
      </c>
      <c r="J305" s="182">
        <v>3</v>
      </c>
      <c r="K305" s="180">
        <v>3</v>
      </c>
      <c r="L305" s="180">
        <v>3</v>
      </c>
      <c r="M305" s="180">
        <v>1</v>
      </c>
      <c r="N305" s="181">
        <v>3</v>
      </c>
      <c r="O305" s="181">
        <v>3</v>
      </c>
      <c r="P305" s="181">
        <v>1</v>
      </c>
      <c r="Q305" s="182">
        <v>3</v>
      </c>
      <c r="R305" s="182">
        <v>3</v>
      </c>
      <c r="S305" s="182">
        <v>3</v>
      </c>
      <c r="T305" s="183">
        <f t="array" ref="T305">IF(AND(ISBLANK(F305:S305)),"", SUM(F305:J305)/15*40 + SUM(K305:S305)/27*60)</f>
        <v>85.777777777777786</v>
      </c>
    </row>
    <row r="306" spans="1:20">
      <c r="A306" s="178">
        <v>280</v>
      </c>
      <c r="B306" s="178" t="s">
        <v>887</v>
      </c>
      <c r="C306" s="178" t="s">
        <v>885</v>
      </c>
      <c r="D306" s="178">
        <v>4</v>
      </c>
      <c r="E306" s="178" t="s">
        <v>886</v>
      </c>
      <c r="F306" s="186">
        <v>3</v>
      </c>
      <c r="G306" s="186">
        <v>2</v>
      </c>
      <c r="H306" s="187">
        <v>3</v>
      </c>
      <c r="I306" s="187">
        <v>1</v>
      </c>
      <c r="J306" s="182">
        <v>3</v>
      </c>
      <c r="K306" s="180">
        <v>3</v>
      </c>
      <c r="L306" s="180">
        <v>3</v>
      </c>
      <c r="M306" s="180">
        <v>3</v>
      </c>
      <c r="N306" s="181">
        <v>1</v>
      </c>
      <c r="O306" s="181">
        <v>3</v>
      </c>
      <c r="P306" s="181">
        <v>0</v>
      </c>
      <c r="Q306" s="182">
        <v>3</v>
      </c>
      <c r="R306" s="182">
        <v>2</v>
      </c>
      <c r="S306" s="182">
        <v>3</v>
      </c>
      <c r="T306" s="183">
        <f t="array" ref="T306">IF(AND(ISBLANK(F306:S306)),"", SUM(F306:J306)/15*40 + SUM(K306:S306)/27*60)</f>
        <v>78.666666666666657</v>
      </c>
    </row>
    <row r="307" spans="1:20">
      <c r="A307" s="178">
        <v>281</v>
      </c>
      <c r="B307" s="178" t="s">
        <v>890</v>
      </c>
      <c r="C307" s="178" t="s">
        <v>888</v>
      </c>
      <c r="D307" s="178">
        <v>12</v>
      </c>
      <c r="E307" s="178" t="s">
        <v>889</v>
      </c>
      <c r="F307" s="182"/>
      <c r="G307" s="182"/>
      <c r="H307" s="182"/>
      <c r="I307" s="182"/>
      <c r="J307" s="182"/>
      <c r="N307" s="181"/>
      <c r="O307" s="181"/>
      <c r="P307" s="181"/>
      <c r="Q307" s="182"/>
      <c r="R307" s="182"/>
      <c r="S307" s="182"/>
      <c r="T307" s="183">
        <v>0</v>
      </c>
    </row>
    <row r="308" spans="1:20">
      <c r="A308" s="178">
        <v>282</v>
      </c>
      <c r="B308" s="178" t="s">
        <v>893</v>
      </c>
      <c r="C308" s="178" t="s">
        <v>891</v>
      </c>
      <c r="D308" s="178">
        <v>1</v>
      </c>
      <c r="E308" s="178" t="s">
        <v>892</v>
      </c>
      <c r="F308" s="186">
        <v>3</v>
      </c>
      <c r="G308" s="186">
        <v>3</v>
      </c>
      <c r="H308" s="187">
        <v>3</v>
      </c>
      <c r="I308" s="187">
        <v>2</v>
      </c>
      <c r="J308" s="182">
        <v>3</v>
      </c>
      <c r="K308" s="180">
        <v>3</v>
      </c>
      <c r="L308" s="180">
        <v>2</v>
      </c>
      <c r="M308" s="180">
        <v>2</v>
      </c>
      <c r="N308" s="181">
        <v>3</v>
      </c>
      <c r="O308" s="181">
        <v>3</v>
      </c>
      <c r="P308" s="181">
        <v>1</v>
      </c>
      <c r="Q308" s="182">
        <v>2.5</v>
      </c>
      <c r="R308" s="182">
        <v>2</v>
      </c>
      <c r="S308" s="182">
        <v>3</v>
      </c>
      <c r="T308" s="183">
        <f t="array" ref="T308">IF(AND(ISBLANK(F308:S308)),"", SUM(F308:J308)/15*40 + SUM(K308:S308)/27*60)</f>
        <v>85.111111111111114</v>
      </c>
    </row>
    <row r="309" spans="1:20">
      <c r="A309" s="178">
        <v>283</v>
      </c>
      <c r="B309" s="178" t="s">
        <v>896</v>
      </c>
      <c r="C309" s="178" t="s">
        <v>894</v>
      </c>
      <c r="D309" s="178">
        <v>2</v>
      </c>
      <c r="E309" s="178" t="s">
        <v>895</v>
      </c>
      <c r="F309" s="186">
        <v>3</v>
      </c>
      <c r="G309" s="186">
        <v>3</v>
      </c>
      <c r="H309" s="187">
        <v>3</v>
      </c>
      <c r="I309" s="187">
        <v>3</v>
      </c>
      <c r="J309" s="182">
        <v>3</v>
      </c>
      <c r="K309" s="180">
        <v>3</v>
      </c>
      <c r="L309" s="180">
        <v>3</v>
      </c>
      <c r="M309" s="180">
        <v>3</v>
      </c>
      <c r="N309" s="181">
        <v>3</v>
      </c>
      <c r="O309" s="181">
        <v>3</v>
      </c>
      <c r="P309" s="181">
        <v>0</v>
      </c>
      <c r="Q309" s="182">
        <v>3</v>
      </c>
      <c r="R309" s="182">
        <v>3</v>
      </c>
      <c r="S309" s="182">
        <v>3</v>
      </c>
      <c r="T309" s="183">
        <f t="array" ref="T309">IF(AND(ISBLANK(F309:S309)),"", SUM(F309:J309)/15*40 + SUM(K309:S309)/27*60)</f>
        <v>93.333333333333329</v>
      </c>
    </row>
    <row r="310" spans="1:20">
      <c r="A310" s="178">
        <v>284</v>
      </c>
      <c r="B310" s="178" t="s">
        <v>899</v>
      </c>
      <c r="C310" s="178" t="s">
        <v>1944</v>
      </c>
      <c r="D310" s="178">
        <v>7</v>
      </c>
      <c r="E310" s="178" t="s">
        <v>898</v>
      </c>
      <c r="F310" s="186">
        <v>1</v>
      </c>
      <c r="G310" s="186">
        <v>0</v>
      </c>
      <c r="H310" s="187">
        <v>0</v>
      </c>
      <c r="I310" s="187">
        <v>0</v>
      </c>
      <c r="J310" s="182"/>
      <c r="K310" s="180">
        <v>0</v>
      </c>
      <c r="L310" s="180">
        <v>0</v>
      </c>
      <c r="M310" s="180">
        <v>0</v>
      </c>
      <c r="N310" s="181">
        <v>2</v>
      </c>
      <c r="O310" s="181">
        <v>2</v>
      </c>
      <c r="P310" s="181">
        <v>0</v>
      </c>
      <c r="Q310" s="182"/>
      <c r="R310" s="182"/>
      <c r="S310" s="182"/>
      <c r="T310" s="183">
        <f t="array" ref="T310">IF(AND(ISBLANK(F310:S310)),"", SUM(F310:J310)/15*40 + SUM(K310:S310)/27*60)</f>
        <v>11.555555555555555</v>
      </c>
    </row>
    <row r="311" spans="1:20">
      <c r="A311" s="178">
        <v>285</v>
      </c>
      <c r="B311" s="178" t="s">
        <v>902</v>
      </c>
      <c r="C311" s="178" t="s">
        <v>900</v>
      </c>
      <c r="D311" s="178">
        <v>9</v>
      </c>
      <c r="E311" s="178" t="s">
        <v>901</v>
      </c>
      <c r="F311" s="186">
        <v>3</v>
      </c>
      <c r="G311" s="186">
        <v>2</v>
      </c>
      <c r="H311" s="187">
        <v>3</v>
      </c>
      <c r="I311" s="187">
        <v>1</v>
      </c>
      <c r="J311" s="182">
        <v>3</v>
      </c>
      <c r="K311" s="180">
        <v>3</v>
      </c>
      <c r="L311" s="180">
        <v>3</v>
      </c>
      <c r="M311" s="180">
        <v>3</v>
      </c>
      <c r="N311" s="181">
        <v>3</v>
      </c>
      <c r="O311" s="181">
        <v>3</v>
      </c>
      <c r="P311" s="181">
        <v>1</v>
      </c>
      <c r="Q311" s="182">
        <v>0</v>
      </c>
      <c r="R311" s="182">
        <v>0</v>
      </c>
      <c r="S311" s="182"/>
      <c r="T311" s="183">
        <f t="array" ref="T311">IF(AND(ISBLANK(F311:S311)),"", SUM(F311:J311)/15*40 + SUM(K311:S311)/27*60)</f>
        <v>67.555555555555557</v>
      </c>
    </row>
    <row r="312" spans="1:20">
      <c r="A312" s="178">
        <v>286</v>
      </c>
      <c r="B312" s="178" t="s">
        <v>905</v>
      </c>
      <c r="C312" s="178" t="s">
        <v>903</v>
      </c>
      <c r="D312" s="178">
        <v>3</v>
      </c>
      <c r="E312" s="178" t="s">
        <v>904</v>
      </c>
      <c r="F312" s="186">
        <v>3</v>
      </c>
      <c r="G312" s="186">
        <v>2</v>
      </c>
      <c r="H312" s="187">
        <v>3</v>
      </c>
      <c r="I312" s="187">
        <v>2</v>
      </c>
      <c r="J312" s="182">
        <v>3</v>
      </c>
      <c r="K312" s="180">
        <v>3</v>
      </c>
      <c r="L312" s="180">
        <v>3</v>
      </c>
      <c r="M312" s="180">
        <v>1</v>
      </c>
      <c r="N312" s="181">
        <v>2</v>
      </c>
      <c r="O312" s="181">
        <v>3</v>
      </c>
      <c r="P312" s="181">
        <v>3</v>
      </c>
      <c r="Q312" s="182">
        <v>3</v>
      </c>
      <c r="R312" s="182">
        <v>2</v>
      </c>
      <c r="S312" s="182">
        <v>3</v>
      </c>
      <c r="T312" s="183">
        <f t="array" ref="T312">IF(AND(ISBLANK(F312:S312)),"", SUM(F312:J312)/15*40 + SUM(K312:S312)/27*60)</f>
        <v>85.777777777777786</v>
      </c>
    </row>
    <row r="313" spans="1:20">
      <c r="A313" s="178">
        <v>287</v>
      </c>
      <c r="B313" s="178" t="s">
        <v>908</v>
      </c>
      <c r="C313" s="178" t="s">
        <v>906</v>
      </c>
      <c r="D313" s="178">
        <v>11</v>
      </c>
      <c r="E313" s="178" t="s">
        <v>907</v>
      </c>
      <c r="F313" s="186">
        <v>0</v>
      </c>
      <c r="G313" s="186">
        <v>0</v>
      </c>
      <c r="H313" s="187">
        <v>1</v>
      </c>
      <c r="I313" s="187">
        <v>0</v>
      </c>
      <c r="J313" s="182">
        <v>1</v>
      </c>
      <c r="K313" s="180">
        <v>0</v>
      </c>
      <c r="L313" s="180">
        <v>0</v>
      </c>
      <c r="M313" s="180">
        <v>1</v>
      </c>
      <c r="N313" s="181">
        <v>3</v>
      </c>
      <c r="O313" s="181">
        <v>0</v>
      </c>
      <c r="P313" s="181">
        <v>0</v>
      </c>
      <c r="Q313" s="182">
        <v>2</v>
      </c>
      <c r="R313" s="182">
        <v>0</v>
      </c>
      <c r="S313" s="182"/>
      <c r="T313" s="183">
        <f t="array" ref="T313">IF(AND(ISBLANK(F313:S313)),"", SUM(F313:J313)/15*40 + SUM(K313:S313)/27*60)</f>
        <v>18.666666666666664</v>
      </c>
    </row>
    <row r="314" spans="1:20">
      <c r="A314" s="178">
        <v>288</v>
      </c>
      <c r="B314" s="178" t="s">
        <v>911</v>
      </c>
      <c r="C314" s="178" t="s">
        <v>909</v>
      </c>
      <c r="D314" s="178">
        <v>6</v>
      </c>
      <c r="E314" s="178" t="s">
        <v>910</v>
      </c>
      <c r="F314" s="186">
        <v>2</v>
      </c>
      <c r="G314" s="186">
        <v>2</v>
      </c>
      <c r="H314" s="187">
        <v>3</v>
      </c>
      <c r="I314" s="187">
        <v>1</v>
      </c>
      <c r="J314" s="182">
        <v>3</v>
      </c>
      <c r="K314" s="180">
        <v>3</v>
      </c>
      <c r="L314" s="180">
        <v>3</v>
      </c>
      <c r="M314" s="180">
        <v>2</v>
      </c>
      <c r="N314" s="181">
        <v>2</v>
      </c>
      <c r="O314" s="181">
        <v>1</v>
      </c>
      <c r="P314" s="181">
        <v>2</v>
      </c>
      <c r="Q314" s="182">
        <v>3</v>
      </c>
      <c r="R314" s="182">
        <v>2</v>
      </c>
      <c r="S314" s="182">
        <v>2</v>
      </c>
      <c r="T314" s="183">
        <f t="array" ref="T314">IF(AND(ISBLANK(F314:S314)),"", SUM(F314:J314)/15*40 + SUM(K314:S314)/27*60)</f>
        <v>73.777777777777771</v>
      </c>
    </row>
    <row r="315" spans="1:20">
      <c r="A315" s="178">
        <v>289</v>
      </c>
      <c r="B315" s="178" t="s">
        <v>914</v>
      </c>
      <c r="C315" s="178" t="s">
        <v>912</v>
      </c>
      <c r="D315" s="178">
        <v>8</v>
      </c>
      <c r="E315" s="178" t="s">
        <v>913</v>
      </c>
      <c r="F315" s="186">
        <v>2</v>
      </c>
      <c r="G315" s="186">
        <v>1</v>
      </c>
      <c r="H315" s="187">
        <v>2</v>
      </c>
      <c r="I315" s="187">
        <v>0</v>
      </c>
      <c r="J315" s="182">
        <v>3</v>
      </c>
      <c r="K315" s="180">
        <v>3</v>
      </c>
      <c r="L315" s="180">
        <v>3</v>
      </c>
      <c r="M315" s="180">
        <v>2</v>
      </c>
      <c r="N315" s="181">
        <v>1</v>
      </c>
      <c r="O315" s="181">
        <v>1</v>
      </c>
      <c r="P315" s="181">
        <v>0</v>
      </c>
      <c r="Q315" s="182">
        <v>0</v>
      </c>
      <c r="R315" s="182">
        <v>0</v>
      </c>
      <c r="S315" s="182"/>
      <c r="T315" s="183">
        <f t="array" ref="T315">IF(AND(ISBLANK(F315:S315)),"", SUM(F315:J315)/15*40 + SUM(K315:S315)/27*60)</f>
        <v>43.555555555555557</v>
      </c>
    </row>
    <row r="316" spans="1:20">
      <c r="A316" s="178">
        <v>290</v>
      </c>
      <c r="B316" s="178" t="s">
        <v>917</v>
      </c>
      <c r="C316" s="178" t="s">
        <v>915</v>
      </c>
      <c r="D316" s="178">
        <v>9</v>
      </c>
      <c r="E316" s="178" t="s">
        <v>916</v>
      </c>
      <c r="F316" s="186">
        <v>1</v>
      </c>
      <c r="G316" s="186">
        <v>1</v>
      </c>
      <c r="H316" s="187">
        <v>2</v>
      </c>
      <c r="I316" s="187">
        <v>1</v>
      </c>
      <c r="J316" s="182">
        <v>3</v>
      </c>
      <c r="K316" s="180">
        <v>2.75</v>
      </c>
      <c r="L316" s="180">
        <v>2</v>
      </c>
      <c r="M316" s="180">
        <v>1</v>
      </c>
      <c r="N316" s="181">
        <v>2</v>
      </c>
      <c r="O316" s="181">
        <v>1</v>
      </c>
      <c r="P316" s="181">
        <v>1</v>
      </c>
      <c r="Q316" s="182">
        <v>3</v>
      </c>
      <c r="R316" s="182">
        <v>1</v>
      </c>
      <c r="S316" s="182"/>
      <c r="T316" s="183">
        <f t="array" ref="T316">IF(AND(ISBLANK(F316:S316)),"", SUM(F316:J316)/15*40 + SUM(K316:S316)/27*60)</f>
        <v>51.888888888888886</v>
      </c>
    </row>
    <row r="317" spans="1:20">
      <c r="A317" s="178">
        <v>291</v>
      </c>
      <c r="B317" s="178" t="s">
        <v>920</v>
      </c>
      <c r="C317" s="178" t="s">
        <v>918</v>
      </c>
      <c r="D317" s="178">
        <v>3</v>
      </c>
      <c r="E317" s="178" t="s">
        <v>919</v>
      </c>
      <c r="F317" s="186">
        <v>3</v>
      </c>
      <c r="G317" s="186">
        <v>2</v>
      </c>
      <c r="H317" s="187">
        <v>3</v>
      </c>
      <c r="I317" s="187">
        <v>1</v>
      </c>
      <c r="J317" s="182">
        <v>3</v>
      </c>
      <c r="K317" s="180">
        <v>3</v>
      </c>
      <c r="L317" s="180">
        <v>3</v>
      </c>
      <c r="M317" s="180">
        <v>2</v>
      </c>
      <c r="N317" s="181">
        <v>3</v>
      </c>
      <c r="O317" s="181">
        <v>3</v>
      </c>
      <c r="P317" s="181">
        <v>3</v>
      </c>
      <c r="Q317" s="182">
        <v>3</v>
      </c>
      <c r="R317" s="182">
        <v>3</v>
      </c>
      <c r="S317" s="182">
        <v>2</v>
      </c>
      <c r="T317" s="183">
        <f t="array" ref="T317">IF(AND(ISBLANK(F317:S317)),"", SUM(F317:J317)/15*40 + SUM(K317:S317)/27*60)</f>
        <v>87.555555555555557</v>
      </c>
    </row>
    <row r="318" spans="1:20">
      <c r="A318" s="178">
        <v>292</v>
      </c>
      <c r="B318" s="178" t="s">
        <v>923</v>
      </c>
      <c r="C318" s="178" t="s">
        <v>921</v>
      </c>
      <c r="D318" s="178">
        <v>3</v>
      </c>
      <c r="E318" s="178" t="s">
        <v>922</v>
      </c>
      <c r="F318" s="186">
        <v>3</v>
      </c>
      <c r="G318" s="186">
        <v>3</v>
      </c>
      <c r="H318" s="187">
        <v>3</v>
      </c>
      <c r="I318" s="187">
        <v>2</v>
      </c>
      <c r="J318" s="182">
        <v>3</v>
      </c>
      <c r="K318" s="180">
        <v>3</v>
      </c>
      <c r="L318" s="180">
        <v>3</v>
      </c>
      <c r="M318" s="180">
        <v>2</v>
      </c>
      <c r="N318" s="181">
        <v>3</v>
      </c>
      <c r="O318" s="181">
        <v>3</v>
      </c>
      <c r="P318" s="181">
        <v>3</v>
      </c>
      <c r="Q318" s="182">
        <v>3</v>
      </c>
      <c r="R318" s="182">
        <v>2</v>
      </c>
      <c r="S318" s="182">
        <v>3</v>
      </c>
      <c r="T318" s="183">
        <f t="array" ref="T318">IF(AND(ISBLANK(F318:S318)),"", SUM(F318:J318)/15*40 + SUM(K318:S318)/27*60)</f>
        <v>92.888888888888886</v>
      </c>
    </row>
    <row r="319" spans="1:20">
      <c r="A319" s="178">
        <v>293</v>
      </c>
      <c r="B319" s="178" t="s">
        <v>926</v>
      </c>
      <c r="C319" s="178" t="s">
        <v>924</v>
      </c>
      <c r="D319" s="178">
        <v>1</v>
      </c>
      <c r="E319" s="178" t="s">
        <v>925</v>
      </c>
      <c r="F319" s="180">
        <v>2</v>
      </c>
      <c r="G319" s="180">
        <v>3</v>
      </c>
      <c r="H319" s="178">
        <v>2</v>
      </c>
      <c r="I319" s="178">
        <v>3</v>
      </c>
      <c r="J319" s="178">
        <v>3</v>
      </c>
      <c r="K319" s="180">
        <v>3</v>
      </c>
      <c r="L319" s="180">
        <v>2</v>
      </c>
      <c r="M319" s="180">
        <v>2</v>
      </c>
      <c r="N319" s="178">
        <v>1</v>
      </c>
      <c r="O319" s="178">
        <v>3</v>
      </c>
      <c r="P319" s="178">
        <v>0</v>
      </c>
      <c r="Q319" s="178">
        <v>3</v>
      </c>
      <c r="R319" s="178">
        <v>3</v>
      </c>
      <c r="S319" s="178">
        <v>0</v>
      </c>
      <c r="T319" s="183">
        <f t="array" ref="T319">IF(AND(ISBLANK(F319:S319)),"", SUM(F319:J319)/15*40 + SUM(K319:S319)/27*60)</f>
        <v>72.444444444444457</v>
      </c>
    </row>
    <row r="320" spans="1:20">
      <c r="A320" s="178">
        <v>294</v>
      </c>
      <c r="B320" s="178" t="s">
        <v>929</v>
      </c>
      <c r="C320" s="178" t="s">
        <v>927</v>
      </c>
      <c r="D320" s="178">
        <v>5</v>
      </c>
      <c r="E320" s="178" t="s">
        <v>928</v>
      </c>
      <c r="F320" s="180">
        <v>2</v>
      </c>
      <c r="G320" s="180">
        <v>1</v>
      </c>
      <c r="H320" s="178">
        <v>3</v>
      </c>
      <c r="I320" s="178">
        <v>1</v>
      </c>
      <c r="J320" s="178">
        <v>1</v>
      </c>
      <c r="K320" s="180">
        <v>3</v>
      </c>
      <c r="L320" s="180">
        <v>3</v>
      </c>
      <c r="M320" s="180">
        <v>2</v>
      </c>
      <c r="N320" s="181">
        <v>3</v>
      </c>
      <c r="O320" s="181">
        <v>1</v>
      </c>
      <c r="P320" s="181">
        <v>2</v>
      </c>
      <c r="Q320" s="178">
        <v>0</v>
      </c>
      <c r="R320" s="178">
        <v>0</v>
      </c>
      <c r="S320" s="178">
        <v>2</v>
      </c>
      <c r="T320" s="183">
        <f t="array" ref="T320">IF(AND(ISBLANK(F320:S320)),"", SUM(F320:J320)/15*40 + SUM(K320:S320)/27*60)</f>
        <v>56.888888888888886</v>
      </c>
    </row>
    <row r="321" spans="1:20">
      <c r="A321" s="178">
        <v>295</v>
      </c>
      <c r="B321" s="178" t="s">
        <v>932</v>
      </c>
      <c r="C321" s="178" t="s">
        <v>930</v>
      </c>
      <c r="D321" s="178">
        <v>9</v>
      </c>
      <c r="E321" s="178" t="s">
        <v>931</v>
      </c>
      <c r="F321" s="186">
        <v>1</v>
      </c>
      <c r="G321" s="186">
        <v>0</v>
      </c>
      <c r="H321" s="187">
        <v>2</v>
      </c>
      <c r="I321" s="187">
        <v>0</v>
      </c>
      <c r="J321" s="182">
        <v>3</v>
      </c>
      <c r="K321" s="180">
        <v>0</v>
      </c>
      <c r="L321" s="180">
        <v>1.5</v>
      </c>
      <c r="M321" s="180">
        <v>0</v>
      </c>
      <c r="N321" s="181">
        <v>3</v>
      </c>
      <c r="O321" s="181">
        <v>0</v>
      </c>
      <c r="P321" s="181">
        <v>0</v>
      </c>
      <c r="Q321" s="182">
        <v>0.5</v>
      </c>
      <c r="R321" s="182"/>
      <c r="S321" s="182"/>
      <c r="T321" s="183">
        <f t="array" ref="T321">IF(AND(ISBLANK(F321:S321)),"", SUM(F321:J321)/15*40 + SUM(K321:S321)/27*60)</f>
        <v>27.111111111111111</v>
      </c>
    </row>
    <row r="322" spans="1:20">
      <c r="A322" s="178">
        <v>296</v>
      </c>
      <c r="B322" s="178" t="s">
        <v>935</v>
      </c>
      <c r="C322" s="178" t="s">
        <v>933</v>
      </c>
      <c r="D322" s="178">
        <v>7</v>
      </c>
      <c r="E322" s="178" t="s">
        <v>934</v>
      </c>
      <c r="F322" s="186">
        <v>2</v>
      </c>
      <c r="G322" s="186">
        <v>2</v>
      </c>
      <c r="H322" s="187">
        <v>3</v>
      </c>
      <c r="I322" s="187">
        <v>1</v>
      </c>
      <c r="J322" s="182">
        <v>3</v>
      </c>
      <c r="K322" s="180">
        <v>0</v>
      </c>
      <c r="L322" s="180">
        <v>0</v>
      </c>
      <c r="M322" s="180">
        <v>1</v>
      </c>
      <c r="N322" s="181">
        <v>3</v>
      </c>
      <c r="O322" s="181">
        <v>3</v>
      </c>
      <c r="P322" s="181">
        <v>3</v>
      </c>
      <c r="Q322" s="182">
        <v>1</v>
      </c>
      <c r="R322" s="182">
        <v>3</v>
      </c>
      <c r="S322" s="182">
        <v>2</v>
      </c>
      <c r="T322" s="183">
        <f t="array" ref="T322">IF(AND(ISBLANK(F322:S322)),"", SUM(F322:J322)/15*40 + SUM(K322:S322)/27*60)</f>
        <v>64.888888888888886</v>
      </c>
    </row>
    <row r="323" spans="1:20">
      <c r="A323" s="178">
        <v>297</v>
      </c>
      <c r="B323" s="178" t="s">
        <v>938</v>
      </c>
      <c r="C323" s="178" t="s">
        <v>936</v>
      </c>
      <c r="D323" s="178">
        <v>3</v>
      </c>
      <c r="E323" s="178" t="s">
        <v>937</v>
      </c>
      <c r="F323" s="186">
        <v>3</v>
      </c>
      <c r="G323" s="186">
        <v>2</v>
      </c>
      <c r="H323" s="187">
        <v>3</v>
      </c>
      <c r="I323" s="187">
        <v>1</v>
      </c>
      <c r="J323" s="182">
        <v>3</v>
      </c>
      <c r="K323" s="180">
        <v>3</v>
      </c>
      <c r="L323" s="180">
        <v>3</v>
      </c>
      <c r="M323" s="180">
        <v>3</v>
      </c>
      <c r="N323" s="181">
        <v>3</v>
      </c>
      <c r="O323" s="181">
        <v>3</v>
      </c>
      <c r="P323" s="181">
        <v>0</v>
      </c>
      <c r="Q323" s="182">
        <v>3</v>
      </c>
      <c r="R323" s="182">
        <v>2</v>
      </c>
      <c r="S323" s="182">
        <v>2</v>
      </c>
      <c r="T323" s="183">
        <f t="array" ref="T323">IF(AND(ISBLANK(F323:S323)),"", SUM(F323:J323)/15*40 + SUM(K323:S323)/27*60)</f>
        <v>80.888888888888886</v>
      </c>
    </row>
    <row r="324" spans="1:20">
      <c r="A324" s="178">
        <v>298</v>
      </c>
      <c r="B324" s="178" t="s">
        <v>941</v>
      </c>
      <c r="C324" s="178" t="s">
        <v>939</v>
      </c>
      <c r="D324" s="178">
        <v>7</v>
      </c>
      <c r="E324" s="178" t="s">
        <v>940</v>
      </c>
      <c r="F324" s="186">
        <v>3</v>
      </c>
      <c r="G324" s="186">
        <v>2</v>
      </c>
      <c r="H324" s="187">
        <v>3</v>
      </c>
      <c r="I324" s="187">
        <v>1</v>
      </c>
      <c r="J324" s="182">
        <v>3</v>
      </c>
      <c r="K324" s="180">
        <v>3</v>
      </c>
      <c r="L324" s="180">
        <v>3</v>
      </c>
      <c r="M324" s="180">
        <v>3</v>
      </c>
      <c r="N324" s="181">
        <v>1</v>
      </c>
      <c r="O324" s="181">
        <v>3</v>
      </c>
      <c r="P324" s="181">
        <v>3</v>
      </c>
      <c r="Q324" s="182">
        <v>2</v>
      </c>
      <c r="R324" s="182">
        <v>2</v>
      </c>
      <c r="S324" s="182">
        <v>2</v>
      </c>
      <c r="T324" s="183">
        <f t="array" ref="T324">IF(AND(ISBLANK(F324:S324)),"", SUM(F324:J324)/15*40 + SUM(K324:S324)/27*60)</f>
        <v>80.888888888888886</v>
      </c>
    </row>
    <row r="325" spans="1:20">
      <c r="A325" s="178">
        <v>299</v>
      </c>
      <c r="B325" s="178" t="s">
        <v>944</v>
      </c>
      <c r="C325" s="178" t="s">
        <v>942</v>
      </c>
      <c r="D325" s="178">
        <v>6</v>
      </c>
      <c r="E325" s="178" t="s">
        <v>943</v>
      </c>
      <c r="F325" s="186">
        <v>3</v>
      </c>
      <c r="G325" s="186">
        <v>1</v>
      </c>
      <c r="H325" s="187">
        <v>3</v>
      </c>
      <c r="I325" s="187">
        <v>1</v>
      </c>
      <c r="J325" s="182">
        <v>3</v>
      </c>
      <c r="K325" s="180">
        <v>3</v>
      </c>
      <c r="L325" s="180">
        <v>3</v>
      </c>
      <c r="M325" s="180">
        <v>2</v>
      </c>
      <c r="N325" s="181">
        <v>3</v>
      </c>
      <c r="O325" s="181">
        <v>3</v>
      </c>
      <c r="P325" s="181">
        <v>3</v>
      </c>
      <c r="Q325" s="182">
        <v>3</v>
      </c>
      <c r="R325" s="182">
        <v>1</v>
      </c>
      <c r="S325" s="182">
        <v>0</v>
      </c>
      <c r="T325" s="183">
        <f t="array" ref="T325">IF(AND(ISBLANK(F325:S325)),"", SUM(F325:J325)/15*40 + SUM(K325:S325)/27*60)</f>
        <v>76</v>
      </c>
    </row>
    <row r="326" spans="1:20">
      <c r="A326" s="178">
        <v>300</v>
      </c>
      <c r="B326" s="178" t="s">
        <v>947</v>
      </c>
      <c r="C326" s="178" t="s">
        <v>945</v>
      </c>
      <c r="D326" s="178">
        <v>5</v>
      </c>
      <c r="E326" s="178" t="s">
        <v>946</v>
      </c>
      <c r="F326" s="180">
        <v>1</v>
      </c>
      <c r="G326" s="180">
        <v>1</v>
      </c>
      <c r="H326" s="178">
        <v>3</v>
      </c>
      <c r="I326" s="178">
        <v>2</v>
      </c>
      <c r="J326" s="178">
        <v>3</v>
      </c>
      <c r="K326" s="180">
        <v>3</v>
      </c>
      <c r="L326" s="180">
        <v>3</v>
      </c>
      <c r="M326" s="180">
        <v>3</v>
      </c>
      <c r="N326" s="178">
        <v>3</v>
      </c>
      <c r="O326" s="178">
        <v>3</v>
      </c>
      <c r="P326" s="178">
        <v>1</v>
      </c>
      <c r="Q326" s="178">
        <v>0</v>
      </c>
      <c r="R326" s="178">
        <v>1</v>
      </c>
      <c r="S326" s="178">
        <v>1</v>
      </c>
      <c r="T326" s="183">
        <f t="array" ref="T326">IF(AND(ISBLANK(F326:S326)),"", SUM(F326:J326)/15*40 + SUM(K326:S326)/27*60)</f>
        <v>66.666666666666657</v>
      </c>
    </row>
    <row r="327" spans="1:20">
      <c r="A327" s="178">
        <v>301</v>
      </c>
      <c r="B327" s="178" t="s">
        <v>950</v>
      </c>
      <c r="C327" s="178" t="s">
        <v>948</v>
      </c>
      <c r="D327" s="178">
        <v>5</v>
      </c>
      <c r="E327" s="178" t="s">
        <v>949</v>
      </c>
      <c r="F327" s="186">
        <v>3</v>
      </c>
      <c r="G327" s="186">
        <v>2</v>
      </c>
      <c r="H327" s="187">
        <v>3</v>
      </c>
      <c r="I327" s="187">
        <v>2</v>
      </c>
      <c r="J327" s="182">
        <v>3</v>
      </c>
      <c r="K327" s="180">
        <v>1.75</v>
      </c>
      <c r="L327" s="180">
        <v>3</v>
      </c>
      <c r="M327" s="180">
        <v>1</v>
      </c>
      <c r="N327" s="181">
        <v>3</v>
      </c>
      <c r="O327" s="181">
        <v>3</v>
      </c>
      <c r="P327" s="181">
        <v>3</v>
      </c>
      <c r="Q327" s="182">
        <v>0.5</v>
      </c>
      <c r="R327" s="182">
        <v>2</v>
      </c>
      <c r="S327" s="182">
        <v>2</v>
      </c>
      <c r="T327" s="183">
        <f t="array" ref="T327">IF(AND(ISBLANK(F327:S327)),"", SUM(F327:J327)/15*40 + SUM(K327:S327)/27*60)</f>
        <v>77.444444444444443</v>
      </c>
    </row>
    <row r="328" spans="1:20">
      <c r="A328" s="178">
        <v>302</v>
      </c>
      <c r="B328" s="178" t="s">
        <v>953</v>
      </c>
      <c r="C328" s="178" t="s">
        <v>951</v>
      </c>
      <c r="D328" s="178">
        <v>6</v>
      </c>
      <c r="E328" s="178" t="s">
        <v>952</v>
      </c>
      <c r="F328" s="186">
        <v>1</v>
      </c>
      <c r="G328" s="186">
        <v>1</v>
      </c>
      <c r="H328" s="187">
        <v>1</v>
      </c>
      <c r="I328" s="187">
        <v>0</v>
      </c>
      <c r="J328" s="182">
        <v>2</v>
      </c>
      <c r="K328" s="180">
        <v>2.25</v>
      </c>
      <c r="L328" s="180">
        <v>3</v>
      </c>
      <c r="M328" s="180">
        <v>1</v>
      </c>
      <c r="N328" s="181">
        <v>3</v>
      </c>
      <c r="O328" s="181">
        <v>3</v>
      </c>
      <c r="P328" s="181">
        <v>0</v>
      </c>
      <c r="Q328" s="182">
        <v>2.5</v>
      </c>
      <c r="R328" s="182">
        <v>2</v>
      </c>
      <c r="S328" s="182">
        <v>2</v>
      </c>
      <c r="T328" s="183">
        <f t="array" ref="T328">IF(AND(ISBLANK(F328:S328)),"", SUM(F328:J328)/15*40 + SUM(K328:S328)/27*60)</f>
        <v>55</v>
      </c>
    </row>
    <row r="329" spans="1:20">
      <c r="A329" s="178">
        <v>303</v>
      </c>
      <c r="B329" s="178" t="s">
        <v>956</v>
      </c>
      <c r="C329" s="178" t="s">
        <v>954</v>
      </c>
      <c r="D329" s="178">
        <v>5</v>
      </c>
      <c r="E329" s="178" t="s">
        <v>955</v>
      </c>
      <c r="F329" s="186">
        <v>2</v>
      </c>
      <c r="G329" s="186">
        <v>2</v>
      </c>
      <c r="H329" s="187">
        <v>3</v>
      </c>
      <c r="I329" s="187">
        <v>1</v>
      </c>
      <c r="J329" s="182">
        <v>3</v>
      </c>
      <c r="K329" s="180">
        <v>3</v>
      </c>
      <c r="L329" s="180">
        <v>3</v>
      </c>
      <c r="M329" s="180">
        <v>3</v>
      </c>
      <c r="N329" s="181">
        <v>3</v>
      </c>
      <c r="O329" s="181">
        <v>1</v>
      </c>
      <c r="P329" s="181">
        <v>2</v>
      </c>
      <c r="Q329" s="182">
        <v>3</v>
      </c>
      <c r="R329" s="182">
        <v>1</v>
      </c>
      <c r="S329" s="182">
        <v>1</v>
      </c>
      <c r="T329" s="183">
        <f t="array" ref="T329">IF(AND(ISBLANK(F329:S329)),"", SUM(F329:J329)/15*40 + SUM(K329:S329)/27*60)</f>
        <v>73.777777777777771</v>
      </c>
    </row>
    <row r="330" spans="1:20">
      <c r="A330" s="178">
        <v>304</v>
      </c>
      <c r="B330" s="178" t="s">
        <v>959</v>
      </c>
      <c r="C330" s="188" t="s">
        <v>957</v>
      </c>
      <c r="D330" s="178">
        <v>12</v>
      </c>
      <c r="E330" s="178" t="s">
        <v>958</v>
      </c>
      <c r="F330" s="186">
        <v>1</v>
      </c>
      <c r="G330" s="186">
        <v>0</v>
      </c>
      <c r="H330" s="187">
        <v>0</v>
      </c>
      <c r="I330" s="187">
        <v>0</v>
      </c>
      <c r="J330" s="184">
        <v>0</v>
      </c>
      <c r="K330" s="180">
        <v>0</v>
      </c>
      <c r="L330" s="180">
        <v>0</v>
      </c>
      <c r="M330" s="180">
        <v>0</v>
      </c>
      <c r="N330" s="181">
        <v>0</v>
      </c>
      <c r="O330" s="181">
        <v>0</v>
      </c>
      <c r="P330" s="181">
        <v>0</v>
      </c>
      <c r="Q330" s="182"/>
      <c r="R330" s="182"/>
      <c r="S330" s="182"/>
      <c r="T330" s="183">
        <f t="array" ref="T330">IF(AND(ISBLANK(F330:S330)),"", SUM(F330:J330)/15*40 + SUM(K330:S330)/27*60)</f>
        <v>2.6666666666666665</v>
      </c>
    </row>
    <row r="331" spans="1:20">
      <c r="A331" s="178">
        <v>305</v>
      </c>
      <c r="B331" s="178" t="s">
        <v>962</v>
      </c>
      <c r="C331" s="178" t="s">
        <v>960</v>
      </c>
      <c r="D331" s="178">
        <v>3</v>
      </c>
      <c r="E331" s="178" t="s">
        <v>961</v>
      </c>
      <c r="F331" s="186">
        <v>3</v>
      </c>
      <c r="G331" s="186">
        <v>2</v>
      </c>
      <c r="H331" s="187">
        <v>3</v>
      </c>
      <c r="I331" s="187">
        <v>2</v>
      </c>
      <c r="J331" s="182">
        <v>3</v>
      </c>
      <c r="K331" s="180">
        <v>3</v>
      </c>
      <c r="L331" s="180">
        <v>3</v>
      </c>
      <c r="M331" s="180">
        <v>3</v>
      </c>
      <c r="N331" s="181">
        <v>2</v>
      </c>
      <c r="O331" s="181">
        <v>3</v>
      </c>
      <c r="P331" s="181">
        <v>3</v>
      </c>
      <c r="Q331" s="182">
        <v>3</v>
      </c>
      <c r="R331" s="182">
        <v>3</v>
      </c>
      <c r="S331" s="182">
        <v>3</v>
      </c>
      <c r="T331" s="183">
        <f t="array" ref="T331">IF(AND(ISBLANK(F331:S331)),"", SUM(F331:J331)/15*40 + SUM(K331:S331)/27*60)</f>
        <v>92.444444444444443</v>
      </c>
    </row>
    <row r="332" spans="1:20">
      <c r="A332" s="178">
        <v>306</v>
      </c>
      <c r="B332" s="178" t="s">
        <v>965</v>
      </c>
      <c r="C332" s="178" t="s">
        <v>963</v>
      </c>
      <c r="D332" s="178">
        <v>2</v>
      </c>
      <c r="E332" s="178" t="s">
        <v>964</v>
      </c>
      <c r="F332" s="186">
        <v>3</v>
      </c>
      <c r="G332" s="186">
        <v>1</v>
      </c>
      <c r="H332" s="187">
        <v>3</v>
      </c>
      <c r="I332" s="187">
        <v>0</v>
      </c>
      <c r="J332" s="182">
        <v>3</v>
      </c>
      <c r="K332" s="180">
        <v>3</v>
      </c>
      <c r="L332" s="180">
        <v>3</v>
      </c>
      <c r="M332" s="180">
        <v>2</v>
      </c>
      <c r="N332" s="181">
        <v>3</v>
      </c>
      <c r="O332" s="181">
        <v>3</v>
      </c>
      <c r="P332" s="181">
        <v>1</v>
      </c>
      <c r="Q332" s="182">
        <v>2</v>
      </c>
      <c r="R332" s="182">
        <v>0</v>
      </c>
      <c r="S332" s="182">
        <v>0</v>
      </c>
      <c r="T332" s="183">
        <f t="array" ref="T332">IF(AND(ISBLANK(F332:S332)),"", SUM(F332:J332)/15*40 + SUM(K332:S332)/27*60)</f>
        <v>64.444444444444443</v>
      </c>
    </row>
    <row r="333" spans="1:20">
      <c r="A333" s="178">
        <v>307</v>
      </c>
      <c r="B333" s="178" t="s">
        <v>968</v>
      </c>
      <c r="C333" s="178" t="s">
        <v>966</v>
      </c>
      <c r="D333" s="178">
        <v>5</v>
      </c>
      <c r="E333" s="178" t="s">
        <v>2023</v>
      </c>
      <c r="F333" s="178">
        <v>1</v>
      </c>
      <c r="G333" s="178">
        <v>0</v>
      </c>
      <c r="H333" s="178">
        <v>0</v>
      </c>
      <c r="I333" s="178">
        <v>0</v>
      </c>
      <c r="K333" s="178">
        <v>0</v>
      </c>
      <c r="L333" s="178">
        <v>0</v>
      </c>
      <c r="M333" s="178">
        <v>0</v>
      </c>
      <c r="N333" s="178">
        <v>0</v>
      </c>
      <c r="O333" s="178">
        <v>0</v>
      </c>
      <c r="P333" s="178">
        <v>0</v>
      </c>
      <c r="Q333" s="178">
        <v>0</v>
      </c>
      <c r="T333" s="183">
        <f t="array" ref="T333">IF(AND(ISBLANK(F333:S333)),"", SUM(F333:J333)/15*40 + SUM(K333:S333)/27*60)</f>
        <v>2.6666666666666665</v>
      </c>
    </row>
    <row r="334" spans="1:20">
      <c r="A334" s="178">
        <v>308</v>
      </c>
      <c r="B334" s="178" t="s">
        <v>971</v>
      </c>
      <c r="C334" s="178" t="s">
        <v>969</v>
      </c>
      <c r="D334" s="178">
        <v>12</v>
      </c>
      <c r="E334" s="178" t="s">
        <v>970</v>
      </c>
      <c r="N334" s="181"/>
      <c r="O334" s="181"/>
      <c r="P334" s="181"/>
      <c r="T334" s="183">
        <v>0</v>
      </c>
    </row>
    <row r="335" spans="1:20">
      <c r="A335" s="178">
        <v>309</v>
      </c>
      <c r="B335" s="178" t="s">
        <v>974</v>
      </c>
      <c r="C335" s="178" t="s">
        <v>972</v>
      </c>
      <c r="D335" s="178">
        <v>10</v>
      </c>
      <c r="E335" s="178" t="s">
        <v>973</v>
      </c>
      <c r="F335" s="186">
        <v>1</v>
      </c>
      <c r="G335" s="186">
        <v>2</v>
      </c>
      <c r="H335" s="187">
        <v>2</v>
      </c>
      <c r="I335" s="187">
        <v>1</v>
      </c>
      <c r="J335" s="182"/>
      <c r="K335" s="180">
        <v>2.25</v>
      </c>
      <c r="L335" s="180">
        <v>3</v>
      </c>
      <c r="M335" s="180">
        <v>3</v>
      </c>
      <c r="N335" s="181">
        <v>3</v>
      </c>
      <c r="O335" s="181">
        <v>3</v>
      </c>
      <c r="P335" s="181">
        <v>1</v>
      </c>
      <c r="Q335" s="182">
        <v>0.5</v>
      </c>
      <c r="R335" s="182">
        <v>1</v>
      </c>
      <c r="S335" s="182">
        <v>1</v>
      </c>
      <c r="T335" s="183">
        <f t="array" ref="T335">IF(AND(ISBLANK(F335:S335)),"", SUM(F335:J335)/15*40 + SUM(K335:S335)/27*60)</f>
        <v>55.444444444444443</v>
      </c>
    </row>
    <row r="337" spans="5:20">
      <c r="E337" s="178" t="s">
        <v>2024</v>
      </c>
      <c r="F337" s="183">
        <f t="shared" ref="F337:T337" si="0">AVERAGE(F3:F335)</f>
        <v>2.0792079207920793</v>
      </c>
      <c r="G337" s="183">
        <f t="shared" si="0"/>
        <v>1.6523178807947019</v>
      </c>
      <c r="H337" s="183">
        <f t="shared" si="0"/>
        <v>2.2350993377483444</v>
      </c>
      <c r="I337" s="183">
        <f t="shared" si="0"/>
        <v>1.0049833887043189</v>
      </c>
      <c r="J337" s="183">
        <f t="shared" si="0"/>
        <v>2.5729927007299271</v>
      </c>
      <c r="K337" s="183">
        <f t="shared" si="0"/>
        <v>2.4136212624584719</v>
      </c>
      <c r="L337" s="183">
        <f t="shared" si="0"/>
        <v>2.3344370860927151</v>
      </c>
      <c r="M337" s="183">
        <f t="shared" si="0"/>
        <v>1.7757475083056478</v>
      </c>
      <c r="N337" s="183">
        <f t="shared" si="0"/>
        <v>2.0924092409240922</v>
      </c>
      <c r="O337" s="183">
        <f t="shared" si="0"/>
        <v>2.0384615384615383</v>
      </c>
      <c r="P337" s="183">
        <f t="shared" si="0"/>
        <v>1.1486486486486487</v>
      </c>
      <c r="Q337" s="183">
        <f t="shared" si="0"/>
        <v>1.6523297491039426</v>
      </c>
      <c r="R337" s="183">
        <f t="shared" si="0"/>
        <v>1.5447154471544715</v>
      </c>
      <c r="S337" s="183">
        <f t="shared" si="0"/>
        <v>1.6741071428571428</v>
      </c>
      <c r="T337" s="183">
        <f t="shared" si="0"/>
        <v>54.316316316316332</v>
      </c>
    </row>
    <row r="338" spans="5:20">
      <c r="E338" s="178" t="s">
        <v>2025</v>
      </c>
      <c r="F338" s="178">
        <f t="shared" ref="F338:T338" si="1">COUNT(F3:F335)</f>
        <v>303</v>
      </c>
      <c r="G338" s="178">
        <f t="shared" si="1"/>
        <v>302</v>
      </c>
      <c r="H338" s="178">
        <f t="shared" si="1"/>
        <v>302</v>
      </c>
      <c r="I338" s="178">
        <f t="shared" si="1"/>
        <v>301</v>
      </c>
      <c r="J338" s="178">
        <f t="shared" si="1"/>
        <v>274</v>
      </c>
      <c r="K338" s="178">
        <f t="shared" si="1"/>
        <v>301</v>
      </c>
      <c r="L338" s="178">
        <f t="shared" si="1"/>
        <v>302</v>
      </c>
      <c r="M338" s="178">
        <f t="shared" si="1"/>
        <v>301</v>
      </c>
      <c r="N338" s="178">
        <f t="shared" si="1"/>
        <v>303</v>
      </c>
      <c r="O338" s="178">
        <f t="shared" si="1"/>
        <v>299</v>
      </c>
      <c r="P338" s="178">
        <f t="shared" si="1"/>
        <v>296</v>
      </c>
      <c r="Q338" s="178">
        <f t="shared" si="1"/>
        <v>279</v>
      </c>
      <c r="R338" s="178">
        <f t="shared" si="1"/>
        <v>246</v>
      </c>
      <c r="S338" s="178">
        <f t="shared" si="1"/>
        <v>224</v>
      </c>
      <c r="T338" s="178">
        <f t="shared" si="1"/>
        <v>333</v>
      </c>
    </row>
  </sheetData>
  <autoFilter ref="A2:T335" xr:uid="{00000000-0009-0000-0000-000000000000}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Roman,Standaard"&amp;12&amp;A</oddHeader>
    <oddFooter>&amp;C&amp;"Times New Roman,Standaard"&amp;12Page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14</vt:i4>
      </vt:variant>
    </vt:vector>
  </HeadingPairs>
  <TitlesOfParts>
    <vt:vector size="20" baseType="lpstr">
      <vt:lpstr>Весенний рейтинг</vt:lpstr>
      <vt:lpstr>Зимний рейтинг</vt:lpstr>
      <vt:lpstr>Макра</vt:lpstr>
      <vt:lpstr>Английский</vt:lpstr>
      <vt:lpstr>Матан</vt:lpstr>
      <vt:lpstr>Статистика</vt:lpstr>
      <vt:lpstr>балл</vt:lpstr>
      <vt:lpstr>ВПРдек</vt:lpstr>
      <vt:lpstr>Имя</vt:lpstr>
      <vt:lpstr>матанВесна</vt:lpstr>
      <vt:lpstr>студак</vt:lpstr>
      <vt:lpstr>Data</vt:lpstr>
      <vt:lpstr>'Зимний рейтинг'!DATAA</vt:lpstr>
      <vt:lpstr>December</vt:lpstr>
      <vt:lpstr>EngMarch</vt:lpstr>
      <vt:lpstr>Макра!Group</vt:lpstr>
      <vt:lpstr>group</vt:lpstr>
      <vt:lpstr>MacroSpring</vt:lpstr>
      <vt:lpstr>MacroSpring1</vt:lpstr>
      <vt:lpstr>StatSpring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Валентин Борисов</dc:creator>
  <cp:lastModifiedBy>Microsoft Office User</cp:lastModifiedBy>
  <dcterms:created xsi:type="dcterms:W3CDTF">2015-06-05T18:19:34Z</dcterms:created>
  <dcterms:modified xsi:type="dcterms:W3CDTF">2021-05-04T17:01:51Z</dcterms:modified>
</cp:coreProperties>
</file>